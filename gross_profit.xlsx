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autoCompressPictures="0"/>
  <mc:AlternateContent xmlns:mc="http://schemas.openxmlformats.org/markup-compatibility/2006">
    <mc:Choice Requires="x15">
      <x15ac:absPath xmlns:x15ac="http://schemas.microsoft.com/office/spreadsheetml/2010/11/ac" url="/Users/emmanuelkakumba/Desktop/upto date gross/"/>
    </mc:Choice>
  </mc:AlternateContent>
  <xr:revisionPtr revIDLastSave="0" documentId="13_ncr:1_{D3535543-94C6-B841-8E29-32698AE9ED4B}" xr6:coauthVersionLast="47" xr6:coauthVersionMax="47" xr10:uidLastSave="{00000000-0000-0000-0000-000000000000}"/>
  <bookViews>
    <workbookView xWindow="0" yWindow="0" windowWidth="28800" windowHeight="18000" tabRatio="184" firstSheet="34" activeTab="46" xr2:uid="{00000000-000D-0000-FFFF-FFFF00000000}"/>
  </bookViews>
  <sheets>
    <sheet name="DECEMBER" sheetId="1" r:id="rId1"/>
    <sheet name="JANUARY" sheetId="2" r:id="rId2"/>
    <sheet name="FEBUARY" sheetId="3" r:id="rId3"/>
    <sheet name="MARCH" sheetId="4" r:id="rId4"/>
    <sheet name="MAY" sheetId="5" r:id="rId5"/>
    <sheet name="JUNE" sheetId="6" r:id="rId6"/>
    <sheet name="JULY" sheetId="7" r:id="rId7"/>
    <sheet name="AUG" sheetId="8" r:id="rId8"/>
    <sheet name="SEPT" sheetId="9" r:id="rId9"/>
    <sheet name="NOV" sheetId="10" r:id="rId10"/>
    <sheet name="DEC" sheetId="11" r:id="rId11"/>
    <sheet name="JAN" sheetId="12" r:id="rId12"/>
    <sheet name="MARCH 2013" sheetId="14" r:id="rId13"/>
    <sheet name="APRIL 2013" sheetId="20" r:id="rId14"/>
    <sheet name="MAY 2013" sheetId="21" r:id="rId15"/>
    <sheet name="AUG 2013" sheetId="13" r:id="rId16"/>
    <sheet name="SEPT 2013" sheetId="15" r:id="rId17"/>
    <sheet name="Sheet2" sheetId="16" r:id="rId18"/>
    <sheet name="OCT 2013" sheetId="17" r:id="rId19"/>
    <sheet name="NOV 2013" sheetId="18" r:id="rId20"/>
    <sheet name="DEC 2013" sheetId="19" r:id="rId21"/>
    <sheet name="JAN 2014" sheetId="22" r:id="rId22"/>
    <sheet name="MARCH 2014" sheetId="23" r:id="rId23"/>
    <sheet name="APRIL 2014" sheetId="24" r:id="rId24"/>
    <sheet name="MAY 2014" sheetId="25" r:id="rId25"/>
    <sheet name="JULY2014" sheetId="26" r:id="rId26"/>
    <sheet name="AUG 2014" sheetId="27" r:id="rId27"/>
    <sheet name="SEPT 2014" sheetId="28" r:id="rId28"/>
    <sheet name="NOV 2014" sheetId="29" r:id="rId29"/>
    <sheet name="JAN 2015" sheetId="30" r:id="rId30"/>
    <sheet name="APRIL 2015" sheetId="31" r:id="rId31"/>
    <sheet name="june 2015" sheetId="32" r:id="rId32"/>
    <sheet name="july 2015" sheetId="33" r:id="rId33"/>
    <sheet name="Sept 2015" sheetId="34" r:id="rId34"/>
    <sheet name="Oct 2015" sheetId="35" r:id="rId35"/>
    <sheet name="Dec 2015" sheetId="36" r:id="rId36"/>
    <sheet name="Jan 2016" sheetId="37" r:id="rId37"/>
    <sheet name="April 2016" sheetId="38" r:id="rId38"/>
    <sheet name="July 2016" sheetId="39" r:id="rId39"/>
    <sheet name="Sept 2016" sheetId="40" r:id="rId40"/>
    <sheet name="Oct 2016" sheetId="41" r:id="rId41"/>
    <sheet name="Jan 2017" sheetId="42" r:id="rId42"/>
    <sheet name="March 2017" sheetId="43" r:id="rId43"/>
    <sheet name="May 2017" sheetId="44" r:id="rId44"/>
    <sheet name="Jan 2024" sheetId="46" r:id="rId45"/>
    <sheet name="March 2024" sheetId="45" r:id="rId46"/>
    <sheet name="Jan 2026" sheetId="47" r:id="rId4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54" i="47" l="1"/>
  <c r="J56" i="47" s="1"/>
  <c r="E40" i="47"/>
  <c r="G40" i="47"/>
  <c r="H40" i="47"/>
  <c r="J40" i="47"/>
  <c r="L40" i="47"/>
  <c r="M40" i="47"/>
  <c r="L39" i="47"/>
  <c r="M39" i="47" s="1"/>
  <c r="G39" i="47"/>
  <c r="H39" i="47" s="1"/>
  <c r="J39" i="47"/>
  <c r="L38" i="47"/>
  <c r="M38" i="47" s="1"/>
  <c r="G38" i="47"/>
  <c r="H38" i="47" s="1"/>
  <c r="J38" i="47"/>
  <c r="L37" i="47"/>
  <c r="M37" i="47"/>
  <c r="G37" i="47"/>
  <c r="H37" i="47" s="1"/>
  <c r="J37" i="47"/>
  <c r="L36" i="47"/>
  <c r="M36" i="47" s="1"/>
  <c r="G36" i="47"/>
  <c r="H36" i="47" s="1"/>
  <c r="J36" i="47"/>
  <c r="L35" i="47"/>
  <c r="M35" i="47"/>
  <c r="G35" i="47"/>
  <c r="H35" i="47" s="1"/>
  <c r="J35" i="47"/>
  <c r="L34" i="47"/>
  <c r="M34" i="47"/>
  <c r="G34" i="47"/>
  <c r="H34" i="47" s="1"/>
  <c r="J34" i="47"/>
  <c r="J22" i="47"/>
  <c r="L33" i="47"/>
  <c r="J33" i="47"/>
  <c r="G33" i="47"/>
  <c r="H33" i="47" s="1"/>
  <c r="L32" i="47"/>
  <c r="J32" i="47"/>
  <c r="G32" i="47"/>
  <c r="H32" i="47" s="1"/>
  <c r="L31" i="47"/>
  <c r="J31" i="47"/>
  <c r="G31" i="47"/>
  <c r="H31" i="47" s="1"/>
  <c r="L30" i="47"/>
  <c r="J30" i="47"/>
  <c r="M30" i="47" s="1"/>
  <c r="G30" i="47"/>
  <c r="H30" i="47" s="1"/>
  <c r="L29" i="47"/>
  <c r="M29" i="47" s="1"/>
  <c r="J29" i="47"/>
  <c r="G29" i="47"/>
  <c r="H29" i="47" s="1"/>
  <c r="L28" i="47"/>
  <c r="J28" i="47"/>
  <c r="G28" i="47"/>
  <c r="H28" i="47" s="1"/>
  <c r="L27" i="47"/>
  <c r="M27" i="47" s="1"/>
  <c r="J27" i="47"/>
  <c r="G27" i="47"/>
  <c r="H27" i="47" s="1"/>
  <c r="L26" i="47"/>
  <c r="J26" i="47"/>
  <c r="G26" i="47"/>
  <c r="H26" i="47" s="1"/>
  <c r="L25" i="47"/>
  <c r="J25" i="47"/>
  <c r="G25" i="47"/>
  <c r="H25" i="47" s="1"/>
  <c r="L24" i="47"/>
  <c r="J24" i="47"/>
  <c r="G24" i="47"/>
  <c r="H24" i="47" s="1"/>
  <c r="L23" i="47"/>
  <c r="J23" i="47"/>
  <c r="G23" i="47"/>
  <c r="H23" i="47" s="1"/>
  <c r="L22" i="47"/>
  <c r="G22" i="47"/>
  <c r="H22" i="47" s="1"/>
  <c r="L21" i="47"/>
  <c r="J21" i="47"/>
  <c r="M21" i="47" s="1"/>
  <c r="G21" i="47"/>
  <c r="H21" i="47" s="1"/>
  <c r="L20" i="47"/>
  <c r="J20" i="47"/>
  <c r="G20" i="47"/>
  <c r="H20" i="47" s="1"/>
  <c r="L19" i="47"/>
  <c r="J19" i="47"/>
  <c r="G19" i="47"/>
  <c r="H19" i="47" s="1"/>
  <c r="L18" i="47"/>
  <c r="J18" i="47"/>
  <c r="G18" i="47"/>
  <c r="H18" i="47" s="1"/>
  <c r="L17" i="47"/>
  <c r="J17" i="47"/>
  <c r="G17" i="47"/>
  <c r="H17" i="47" s="1"/>
  <c r="L16" i="47"/>
  <c r="J16" i="47"/>
  <c r="M16" i="47" s="1"/>
  <c r="G16" i="47"/>
  <c r="H16" i="47" s="1"/>
  <c r="L15" i="47"/>
  <c r="J15" i="47"/>
  <c r="G15" i="47"/>
  <c r="H15" i="47" s="1"/>
  <c r="L14" i="47"/>
  <c r="J14" i="47"/>
  <c r="M14" i="47" s="1"/>
  <c r="G14" i="47"/>
  <c r="H14" i="47" s="1"/>
  <c r="L13" i="47"/>
  <c r="J13" i="47"/>
  <c r="M13" i="47" s="1"/>
  <c r="G13" i="47"/>
  <c r="H13" i="47" s="1"/>
  <c r="L12" i="47"/>
  <c r="J12" i="47"/>
  <c r="M12" i="47" s="1"/>
  <c r="G12" i="47"/>
  <c r="H12" i="47" s="1"/>
  <c r="L11" i="47"/>
  <c r="J11" i="47"/>
  <c r="H11" i="47"/>
  <c r="G11" i="47"/>
  <c r="L10" i="47"/>
  <c r="J10" i="47"/>
  <c r="G10" i="47"/>
  <c r="H10" i="47" s="1"/>
  <c r="L9" i="47"/>
  <c r="J9" i="47"/>
  <c r="G9" i="47"/>
  <c r="H9" i="47" s="1"/>
  <c r="L8" i="47"/>
  <c r="J8" i="47"/>
  <c r="M8" i="47" s="1"/>
  <c r="G8" i="47"/>
  <c r="H8" i="47" s="1"/>
  <c r="L7" i="47"/>
  <c r="J7" i="47"/>
  <c r="G7" i="47"/>
  <c r="H7" i="47" s="1"/>
  <c r="L6" i="47"/>
  <c r="J6" i="47"/>
  <c r="M6" i="47" s="1"/>
  <c r="G6" i="47"/>
  <c r="H6" i="47" s="1"/>
  <c r="L5" i="47"/>
  <c r="J5" i="47"/>
  <c r="M5" i="47" s="1"/>
  <c r="G5" i="47"/>
  <c r="H5" i="47" s="1"/>
  <c r="L4" i="47"/>
  <c r="J4" i="47"/>
  <c r="M4" i="47" s="1"/>
  <c r="G4" i="47"/>
  <c r="H4" i="47" s="1"/>
  <c r="L3" i="47"/>
  <c r="J3" i="47"/>
  <c r="G3" i="47"/>
  <c r="H3" i="47" s="1"/>
  <c r="E38" i="45"/>
  <c r="H38" i="45"/>
  <c r="J38" i="45"/>
  <c r="L38" i="45"/>
  <c r="M38" i="45"/>
  <c r="L37" i="45"/>
  <c r="M37" i="45" s="1"/>
  <c r="G37" i="45"/>
  <c r="H37" i="45" s="1"/>
  <c r="J37" i="45"/>
  <c r="L36" i="45"/>
  <c r="M36" i="45" s="1"/>
  <c r="G36" i="45"/>
  <c r="H36" i="45" s="1"/>
  <c r="J36" i="45"/>
  <c r="L35" i="45"/>
  <c r="M35" i="45" s="1"/>
  <c r="G35" i="45"/>
  <c r="H35" i="45"/>
  <c r="J35" i="45"/>
  <c r="L34" i="45"/>
  <c r="M34" i="45" s="1"/>
  <c r="G34" i="45"/>
  <c r="H34" i="45" s="1"/>
  <c r="J34" i="45"/>
  <c r="L33" i="45"/>
  <c r="M33" i="45" s="1"/>
  <c r="G33" i="45"/>
  <c r="H33" i="45" s="1"/>
  <c r="J33" i="45"/>
  <c r="J50" i="45"/>
  <c r="J52" i="45" s="1"/>
  <c r="J45" i="46"/>
  <c r="J47" i="46" s="1"/>
  <c r="L32" i="45"/>
  <c r="G32" i="45"/>
  <c r="H32" i="45" s="1"/>
  <c r="J32" i="45"/>
  <c r="L31" i="45"/>
  <c r="G31" i="45"/>
  <c r="H31" i="45" s="1"/>
  <c r="J31" i="45"/>
  <c r="L30" i="45"/>
  <c r="G30" i="45"/>
  <c r="H30" i="45"/>
  <c r="J30" i="45"/>
  <c r="L29" i="45"/>
  <c r="G29" i="45"/>
  <c r="H29" i="45" s="1"/>
  <c r="J29" i="45"/>
  <c r="L28" i="45"/>
  <c r="G28" i="45"/>
  <c r="H28" i="45" s="1"/>
  <c r="J28" i="45"/>
  <c r="L27" i="45"/>
  <c r="G27" i="45"/>
  <c r="H27" i="45" s="1"/>
  <c r="J27" i="45"/>
  <c r="L26" i="45"/>
  <c r="G26" i="45"/>
  <c r="H26" i="45" s="1"/>
  <c r="J26" i="45"/>
  <c r="L25" i="45"/>
  <c r="G25" i="45"/>
  <c r="H25" i="45" s="1"/>
  <c r="J25" i="45"/>
  <c r="L24" i="45"/>
  <c r="G24" i="45"/>
  <c r="H24" i="45" s="1"/>
  <c r="J24" i="45"/>
  <c r="L23" i="45"/>
  <c r="G23" i="45"/>
  <c r="H23" i="45" s="1"/>
  <c r="J23" i="45"/>
  <c r="L22" i="45"/>
  <c r="G22" i="45"/>
  <c r="H22" i="45" s="1"/>
  <c r="J22" i="45"/>
  <c r="L21" i="45"/>
  <c r="G21" i="45"/>
  <c r="H21" i="45" s="1"/>
  <c r="J21" i="45"/>
  <c r="L20" i="45"/>
  <c r="G20" i="45"/>
  <c r="H20" i="45" s="1"/>
  <c r="J20" i="45"/>
  <c r="L19" i="45"/>
  <c r="G19" i="45"/>
  <c r="H19" i="45" s="1"/>
  <c r="J19" i="45"/>
  <c r="L18" i="45"/>
  <c r="G18" i="45"/>
  <c r="H18" i="45" s="1"/>
  <c r="J18" i="45"/>
  <c r="L4" i="45"/>
  <c r="L17" i="45"/>
  <c r="G17" i="45"/>
  <c r="H17" i="45" s="1"/>
  <c r="J17" i="45"/>
  <c r="L16" i="45"/>
  <c r="G16" i="45"/>
  <c r="H16" i="45" s="1"/>
  <c r="J16" i="45"/>
  <c r="L15" i="45"/>
  <c r="G15" i="45"/>
  <c r="H15" i="45" s="1"/>
  <c r="J15" i="45"/>
  <c r="L14" i="45"/>
  <c r="G14" i="45"/>
  <c r="H14" i="45" s="1"/>
  <c r="J14" i="45"/>
  <c r="L13" i="45"/>
  <c r="G13" i="45"/>
  <c r="H13" i="45" s="1"/>
  <c r="J13" i="45"/>
  <c r="L12" i="45"/>
  <c r="G12" i="45"/>
  <c r="H12" i="45" s="1"/>
  <c r="J12" i="45"/>
  <c r="L11" i="45"/>
  <c r="J11" i="45"/>
  <c r="G11" i="45"/>
  <c r="H11" i="45" s="1"/>
  <c r="L10" i="45"/>
  <c r="J10" i="45"/>
  <c r="G10" i="45"/>
  <c r="H10" i="45" s="1"/>
  <c r="L9" i="45"/>
  <c r="J9" i="45"/>
  <c r="G9" i="45"/>
  <c r="H9" i="45" s="1"/>
  <c r="L8" i="45"/>
  <c r="J8" i="45"/>
  <c r="G8" i="45"/>
  <c r="H8" i="45" s="1"/>
  <c r="L7" i="45"/>
  <c r="J7" i="45"/>
  <c r="G7" i="45"/>
  <c r="H7" i="45" s="1"/>
  <c r="L6" i="45"/>
  <c r="J6" i="45"/>
  <c r="G6" i="45"/>
  <c r="H6" i="45" s="1"/>
  <c r="L5" i="45"/>
  <c r="J5" i="45"/>
  <c r="G5" i="45"/>
  <c r="H5" i="45" s="1"/>
  <c r="J4" i="45"/>
  <c r="G4" i="45"/>
  <c r="H4" i="45" s="1"/>
  <c r="L3" i="45"/>
  <c r="J3" i="45"/>
  <c r="G3" i="45"/>
  <c r="H3" i="45" s="1"/>
  <c r="L33" i="46"/>
  <c r="M33" i="46" s="1"/>
  <c r="G33" i="46"/>
  <c r="H33" i="46" s="1"/>
  <c r="J33" i="46"/>
  <c r="J34" i="46"/>
  <c r="E34" i="46"/>
  <c r="M10" i="46"/>
  <c r="M18" i="46"/>
  <c r="M26" i="46"/>
  <c r="L32" i="46"/>
  <c r="M32" i="46" s="1"/>
  <c r="G32" i="46"/>
  <c r="H32" i="46" s="1"/>
  <c r="J32" i="46"/>
  <c r="L31" i="46"/>
  <c r="G31" i="46"/>
  <c r="H31" i="46" s="1"/>
  <c r="J31" i="46"/>
  <c r="M31" i="46" s="1"/>
  <c r="L30" i="46"/>
  <c r="M30" i="46" s="1"/>
  <c r="G30" i="46"/>
  <c r="H30" i="46" s="1"/>
  <c r="J30" i="46"/>
  <c r="L29" i="46"/>
  <c r="M29" i="46" s="1"/>
  <c r="G29" i="46"/>
  <c r="H29" i="46" s="1"/>
  <c r="J29" i="46"/>
  <c r="L28" i="46"/>
  <c r="M28" i="46" s="1"/>
  <c r="G28" i="46"/>
  <c r="H28" i="46" s="1"/>
  <c r="J28" i="46"/>
  <c r="L27" i="46"/>
  <c r="M27" i="46" s="1"/>
  <c r="G27" i="46"/>
  <c r="H27" i="46" s="1"/>
  <c r="J27" i="46"/>
  <c r="L26" i="46"/>
  <c r="G26" i="46"/>
  <c r="H26" i="46" s="1"/>
  <c r="J26" i="46"/>
  <c r="L25" i="46"/>
  <c r="M25" i="46" s="1"/>
  <c r="G25" i="46"/>
  <c r="H25" i="46" s="1"/>
  <c r="J25" i="46"/>
  <c r="L24" i="46"/>
  <c r="G24" i="46"/>
  <c r="H24" i="46" s="1"/>
  <c r="J24" i="46"/>
  <c r="L23" i="46"/>
  <c r="G23" i="46"/>
  <c r="H23" i="46" s="1"/>
  <c r="J23" i="46"/>
  <c r="M23" i="46" s="1"/>
  <c r="L22" i="46"/>
  <c r="M22" i="46" s="1"/>
  <c r="G22" i="46"/>
  <c r="H22" i="46" s="1"/>
  <c r="J22" i="46"/>
  <c r="L21" i="46"/>
  <c r="M21" i="46" s="1"/>
  <c r="G21" i="46"/>
  <c r="H21" i="46" s="1"/>
  <c r="J21" i="46"/>
  <c r="L20" i="46"/>
  <c r="M20" i="46" s="1"/>
  <c r="G20" i="46"/>
  <c r="H20" i="46" s="1"/>
  <c r="J20" i="46"/>
  <c r="L19" i="46"/>
  <c r="M19" i="46" s="1"/>
  <c r="G19" i="46"/>
  <c r="H19" i="46" s="1"/>
  <c r="J19" i="46"/>
  <c r="L18" i="46"/>
  <c r="G18" i="46"/>
  <c r="H18" i="46" s="1"/>
  <c r="J18" i="46"/>
  <c r="L17" i="46"/>
  <c r="M17" i="46" s="1"/>
  <c r="G17" i="46"/>
  <c r="H17" i="46" s="1"/>
  <c r="J17" i="46"/>
  <c r="L16" i="46"/>
  <c r="M16" i="46" s="1"/>
  <c r="G16" i="46"/>
  <c r="H16" i="46" s="1"/>
  <c r="J16" i="46"/>
  <c r="L15" i="46"/>
  <c r="L34" i="46" s="1"/>
  <c r="G15" i="46"/>
  <c r="H15" i="46" s="1"/>
  <c r="J15" i="46"/>
  <c r="L14" i="46"/>
  <c r="M14" i="46" s="1"/>
  <c r="G14" i="46"/>
  <c r="H14" i="46" s="1"/>
  <c r="J14" i="46"/>
  <c r="L13" i="46"/>
  <c r="M13" i="46" s="1"/>
  <c r="G13" i="46"/>
  <c r="H13" i="46" s="1"/>
  <c r="J13" i="46"/>
  <c r="L12" i="46"/>
  <c r="M12" i="46" s="1"/>
  <c r="G12" i="46"/>
  <c r="H12" i="46" s="1"/>
  <c r="J12" i="46"/>
  <c r="L3" i="46"/>
  <c r="L11" i="46"/>
  <c r="M11" i="46" s="1"/>
  <c r="J11" i="46"/>
  <c r="G11" i="46"/>
  <c r="H11" i="46" s="1"/>
  <c r="L10" i="46"/>
  <c r="J10" i="46"/>
  <c r="G10" i="46"/>
  <c r="H10" i="46" s="1"/>
  <c r="L9" i="46"/>
  <c r="M9" i="46" s="1"/>
  <c r="J9" i="46"/>
  <c r="G9" i="46"/>
  <c r="H9" i="46" s="1"/>
  <c r="L8" i="46"/>
  <c r="M8" i="46" s="1"/>
  <c r="J8" i="46"/>
  <c r="G8" i="46"/>
  <c r="H8" i="46" s="1"/>
  <c r="L7" i="46"/>
  <c r="J7" i="46"/>
  <c r="M7" i="46" s="1"/>
  <c r="G7" i="46"/>
  <c r="H7" i="46" s="1"/>
  <c r="L6" i="46"/>
  <c r="M6" i="46" s="1"/>
  <c r="J6" i="46"/>
  <c r="G6" i="46"/>
  <c r="H6" i="46" s="1"/>
  <c r="L5" i="46"/>
  <c r="M5" i="46" s="1"/>
  <c r="J5" i="46"/>
  <c r="G5" i="46"/>
  <c r="H5" i="46" s="1"/>
  <c r="L4" i="46"/>
  <c r="J4" i="46"/>
  <c r="G4" i="46"/>
  <c r="H4" i="46" s="1"/>
  <c r="J3" i="46"/>
  <c r="G3" i="46"/>
  <c r="H3" i="46" s="1"/>
  <c r="E19" i="44"/>
  <c r="L18" i="44"/>
  <c r="M18" i="44" s="1"/>
  <c r="G18" i="44"/>
  <c r="H18" i="44" s="1"/>
  <c r="J18" i="44"/>
  <c r="L17" i="44"/>
  <c r="M17" i="44" s="1"/>
  <c r="G17" i="44"/>
  <c r="H17" i="44"/>
  <c r="J17" i="44"/>
  <c r="L16" i="44"/>
  <c r="M16" i="44" s="1"/>
  <c r="G16" i="44"/>
  <c r="H16" i="44"/>
  <c r="J16" i="44"/>
  <c r="L15" i="44"/>
  <c r="M15" i="44"/>
  <c r="G15" i="44"/>
  <c r="H15" i="44" s="1"/>
  <c r="J15" i="44"/>
  <c r="L14" i="44"/>
  <c r="G14" i="44"/>
  <c r="H14" i="44" s="1"/>
  <c r="J14" i="44"/>
  <c r="M14" i="44" s="1"/>
  <c r="L13" i="44"/>
  <c r="G13" i="44"/>
  <c r="H13" i="44"/>
  <c r="J13" i="44"/>
  <c r="L12" i="44"/>
  <c r="M12" i="44" s="1"/>
  <c r="G12" i="44"/>
  <c r="H12" i="44" s="1"/>
  <c r="J12" i="44"/>
  <c r="L11" i="44"/>
  <c r="J11" i="44"/>
  <c r="M11" i="44"/>
  <c r="G11" i="44"/>
  <c r="H11" i="44" s="1"/>
  <c r="L10" i="44"/>
  <c r="M10" i="44" s="1"/>
  <c r="J10" i="44"/>
  <c r="G10" i="44"/>
  <c r="H10" i="44"/>
  <c r="L9" i="44"/>
  <c r="M9" i="44" s="1"/>
  <c r="J9" i="44"/>
  <c r="G9" i="44"/>
  <c r="H9" i="44" s="1"/>
  <c r="L8" i="44"/>
  <c r="J8" i="44"/>
  <c r="M8" i="44"/>
  <c r="G8" i="44"/>
  <c r="H8" i="44" s="1"/>
  <c r="L7" i="44"/>
  <c r="J7" i="44"/>
  <c r="M7" i="44" s="1"/>
  <c r="G7" i="44"/>
  <c r="H7" i="44"/>
  <c r="L6" i="44"/>
  <c r="J6" i="44"/>
  <c r="G6" i="44"/>
  <c r="H6" i="44"/>
  <c r="L5" i="44"/>
  <c r="M5" i="44" s="1"/>
  <c r="J5" i="44"/>
  <c r="G5" i="44"/>
  <c r="H5" i="44"/>
  <c r="L4" i="44"/>
  <c r="J4" i="44"/>
  <c r="M4" i="44"/>
  <c r="G4" i="44"/>
  <c r="H4" i="44" s="1"/>
  <c r="L3" i="44"/>
  <c r="J3" i="44"/>
  <c r="M3" i="44"/>
  <c r="G3" i="44"/>
  <c r="H3" i="44" s="1"/>
  <c r="L37" i="42"/>
  <c r="M37" i="42" s="1"/>
  <c r="L3" i="42"/>
  <c r="M3" i="42" s="1"/>
  <c r="L4" i="42"/>
  <c r="L5" i="42"/>
  <c r="L6" i="42"/>
  <c r="L7" i="42"/>
  <c r="M7" i="42" s="1"/>
  <c r="L8" i="42"/>
  <c r="L9" i="42"/>
  <c r="L10" i="42"/>
  <c r="M10" i="42" s="1"/>
  <c r="L11" i="42"/>
  <c r="M11" i="42" s="1"/>
  <c r="L12" i="42"/>
  <c r="L13" i="42"/>
  <c r="L14" i="42"/>
  <c r="L15" i="42"/>
  <c r="M15" i="42" s="1"/>
  <c r="L16" i="42"/>
  <c r="L17" i="42"/>
  <c r="L18" i="42"/>
  <c r="M18" i="42" s="1"/>
  <c r="L19" i="42"/>
  <c r="M19" i="42" s="1"/>
  <c r="L20" i="42"/>
  <c r="L21" i="42"/>
  <c r="L22" i="42"/>
  <c r="L23" i="42"/>
  <c r="M23" i="42" s="1"/>
  <c r="L24" i="42"/>
  <c r="L25" i="42"/>
  <c r="L26" i="42"/>
  <c r="M26" i="42" s="1"/>
  <c r="L27" i="42"/>
  <c r="M27" i="42" s="1"/>
  <c r="L28" i="42"/>
  <c r="L29" i="42"/>
  <c r="L30" i="42"/>
  <c r="L31" i="42"/>
  <c r="M31" i="42" s="1"/>
  <c r="L32" i="42"/>
  <c r="L33" i="42"/>
  <c r="L34" i="42"/>
  <c r="M34" i="42" s="1"/>
  <c r="L35" i="42"/>
  <c r="M35" i="42" s="1"/>
  <c r="L36" i="42"/>
  <c r="J37" i="42"/>
  <c r="J3" i="42"/>
  <c r="J4" i="42"/>
  <c r="J5" i="42"/>
  <c r="M5" i="42" s="1"/>
  <c r="J6" i="42"/>
  <c r="M6" i="42"/>
  <c r="J7" i="42"/>
  <c r="J8" i="42"/>
  <c r="M8" i="42" s="1"/>
  <c r="J9" i="42"/>
  <c r="M9" i="42" s="1"/>
  <c r="J10" i="42"/>
  <c r="J11" i="42"/>
  <c r="J12" i="42"/>
  <c r="M12" i="42" s="1"/>
  <c r="J13" i="42"/>
  <c r="M13" i="42" s="1"/>
  <c r="J14" i="42"/>
  <c r="M14" i="42"/>
  <c r="J15" i="42"/>
  <c r="J16" i="42"/>
  <c r="M16" i="42" s="1"/>
  <c r="J17" i="42"/>
  <c r="M17" i="42" s="1"/>
  <c r="J18" i="42"/>
  <c r="J19" i="42"/>
  <c r="J20" i="42"/>
  <c r="J21" i="42"/>
  <c r="M21" i="42" s="1"/>
  <c r="J22" i="42"/>
  <c r="M22" i="42"/>
  <c r="J23" i="42"/>
  <c r="J24" i="42"/>
  <c r="M24" i="42" s="1"/>
  <c r="J25" i="42"/>
  <c r="M25" i="42" s="1"/>
  <c r="J26" i="42"/>
  <c r="J27" i="42"/>
  <c r="J28" i="42"/>
  <c r="J29" i="42"/>
  <c r="M29" i="42" s="1"/>
  <c r="J30" i="42"/>
  <c r="M30" i="42"/>
  <c r="J31" i="42"/>
  <c r="J32" i="42"/>
  <c r="M32" i="42" s="1"/>
  <c r="J33" i="42"/>
  <c r="M33" i="42" s="1"/>
  <c r="J34" i="42"/>
  <c r="J35" i="42"/>
  <c r="J36" i="42"/>
  <c r="G37" i="42"/>
  <c r="H37" i="42"/>
  <c r="G3" i="42"/>
  <c r="H3" i="42" s="1"/>
  <c r="G4" i="42"/>
  <c r="H4" i="42"/>
  <c r="G5" i="42"/>
  <c r="H5" i="42"/>
  <c r="G6" i="42"/>
  <c r="H6" i="42"/>
  <c r="G7" i="42"/>
  <c r="H7" i="42" s="1"/>
  <c r="G8" i="42"/>
  <c r="H8" i="42"/>
  <c r="G9" i="42"/>
  <c r="H9" i="42"/>
  <c r="G10" i="42"/>
  <c r="H10" i="42"/>
  <c r="G11" i="42"/>
  <c r="H11" i="42" s="1"/>
  <c r="G12" i="42"/>
  <c r="H12" i="42"/>
  <c r="G13" i="42"/>
  <c r="H13" i="42"/>
  <c r="G14" i="42"/>
  <c r="H14" i="42"/>
  <c r="G15" i="42"/>
  <c r="H15" i="42" s="1"/>
  <c r="G16" i="42"/>
  <c r="H16" i="42"/>
  <c r="G17" i="42"/>
  <c r="H17" i="42"/>
  <c r="G18" i="42"/>
  <c r="H18" i="42"/>
  <c r="G19" i="42"/>
  <c r="H19" i="42" s="1"/>
  <c r="G20" i="42"/>
  <c r="H20" i="42"/>
  <c r="G21" i="42"/>
  <c r="H21" i="42"/>
  <c r="G22" i="42"/>
  <c r="H22" i="42"/>
  <c r="G23" i="42"/>
  <c r="H23" i="42" s="1"/>
  <c r="G24" i="42"/>
  <c r="H24" i="42"/>
  <c r="G25" i="42"/>
  <c r="H25" i="42"/>
  <c r="G26" i="42"/>
  <c r="H26" i="42"/>
  <c r="G27" i="42"/>
  <c r="H27" i="42" s="1"/>
  <c r="G28" i="42"/>
  <c r="H28" i="42"/>
  <c r="G29" i="42"/>
  <c r="H29" i="42"/>
  <c r="G30" i="42"/>
  <c r="H30" i="42"/>
  <c r="G31" i="42"/>
  <c r="H31" i="42" s="1"/>
  <c r="G32" i="42"/>
  <c r="H32" i="42"/>
  <c r="G33" i="42"/>
  <c r="H33" i="42"/>
  <c r="G34" i="42"/>
  <c r="H34" i="42"/>
  <c r="G35" i="42"/>
  <c r="H35" i="42" s="1"/>
  <c r="G36" i="42"/>
  <c r="H36" i="42"/>
  <c r="E38" i="42"/>
  <c r="J55" i="42"/>
  <c r="J57" i="42"/>
  <c r="L40" i="41"/>
  <c r="M40" i="41" s="1"/>
  <c r="L37" i="41"/>
  <c r="L36" i="41"/>
  <c r="L12" i="41"/>
  <c r="J64" i="41"/>
  <c r="J66" i="41" s="1"/>
  <c r="L51" i="41"/>
  <c r="M51" i="41" s="1"/>
  <c r="M37" i="41"/>
  <c r="M36" i="41"/>
  <c r="M12" i="41"/>
  <c r="G51" i="41"/>
  <c r="H51" i="41"/>
  <c r="J51" i="41"/>
  <c r="E52" i="41"/>
  <c r="L50" i="41"/>
  <c r="J50" i="41"/>
  <c r="G50" i="41"/>
  <c r="H50" i="41"/>
  <c r="G36" i="41"/>
  <c r="H36" i="41"/>
  <c r="J36" i="41"/>
  <c r="G37" i="41"/>
  <c r="H37" i="41"/>
  <c r="J37" i="41"/>
  <c r="G3" i="41"/>
  <c r="H3" i="41"/>
  <c r="G4" i="41"/>
  <c r="H4" i="41"/>
  <c r="G5" i="41"/>
  <c r="H5" i="41"/>
  <c r="G6" i="41"/>
  <c r="H6" i="41" s="1"/>
  <c r="G7" i="41"/>
  <c r="H7" i="41"/>
  <c r="G8" i="41"/>
  <c r="H8" i="41"/>
  <c r="G9" i="41"/>
  <c r="H9" i="41"/>
  <c r="G10" i="41"/>
  <c r="H10" i="41" s="1"/>
  <c r="G11" i="41"/>
  <c r="H11" i="41" s="1"/>
  <c r="G12" i="41"/>
  <c r="H12" i="41" s="1"/>
  <c r="G13" i="41"/>
  <c r="H13" i="41" s="1"/>
  <c r="G14" i="41"/>
  <c r="H14" i="41" s="1"/>
  <c r="G15" i="41"/>
  <c r="H15" i="41" s="1"/>
  <c r="G16" i="41"/>
  <c r="H16" i="41" s="1"/>
  <c r="G17" i="41"/>
  <c r="H17" i="41" s="1"/>
  <c r="G18" i="41"/>
  <c r="H18" i="41"/>
  <c r="G19" i="41"/>
  <c r="H19" i="41" s="1"/>
  <c r="G20" i="41"/>
  <c r="H20" i="41" s="1"/>
  <c r="G21" i="41"/>
  <c r="H21" i="41" s="1"/>
  <c r="G22" i="41"/>
  <c r="H22" i="41" s="1"/>
  <c r="G23" i="41"/>
  <c r="H23" i="41" s="1"/>
  <c r="G24" i="41"/>
  <c r="H24" i="41" s="1"/>
  <c r="G25" i="41"/>
  <c r="H25" i="41" s="1"/>
  <c r="G26" i="41"/>
  <c r="H26" i="41"/>
  <c r="G27" i="41"/>
  <c r="H27" i="41" s="1"/>
  <c r="G28" i="41"/>
  <c r="H28" i="41" s="1"/>
  <c r="G29" i="41"/>
  <c r="H29" i="41" s="1"/>
  <c r="G30" i="41"/>
  <c r="H30" i="41"/>
  <c r="G31" i="41"/>
  <c r="H31" i="41" s="1"/>
  <c r="G32" i="41"/>
  <c r="H32" i="41"/>
  <c r="G33" i="41"/>
  <c r="H33" i="41"/>
  <c r="G34" i="41"/>
  <c r="H34" i="41"/>
  <c r="G35" i="41"/>
  <c r="H35" i="41" s="1"/>
  <c r="G38" i="41"/>
  <c r="H38" i="41"/>
  <c r="G39" i="41"/>
  <c r="H39" i="41"/>
  <c r="G40" i="41"/>
  <c r="H40" i="41"/>
  <c r="G41" i="41"/>
  <c r="H41" i="41" s="1"/>
  <c r="G42" i="41"/>
  <c r="H42" i="41"/>
  <c r="G43" i="41"/>
  <c r="H43" i="41"/>
  <c r="G44" i="41"/>
  <c r="H44" i="41"/>
  <c r="G45" i="41"/>
  <c r="H45" i="41" s="1"/>
  <c r="G46" i="41"/>
  <c r="H46" i="41"/>
  <c r="G47" i="41"/>
  <c r="H47" i="41"/>
  <c r="G48" i="41"/>
  <c r="H48" i="41"/>
  <c r="G49" i="41"/>
  <c r="H49" i="41" s="1"/>
  <c r="L3" i="41"/>
  <c r="J3" i="41"/>
  <c r="M3" i="41" s="1"/>
  <c r="L4" i="41"/>
  <c r="J4" i="41"/>
  <c r="M4" i="41"/>
  <c r="L5" i="41"/>
  <c r="J5" i="41"/>
  <c r="L6" i="41"/>
  <c r="M6" i="41" s="1"/>
  <c r="J6" i="41"/>
  <c r="L7" i="41"/>
  <c r="J7" i="41"/>
  <c r="M7" i="41"/>
  <c r="L8" i="41"/>
  <c r="J8" i="41"/>
  <c r="M8" i="41"/>
  <c r="L9" i="41"/>
  <c r="J9" i="41"/>
  <c r="M9" i="41" s="1"/>
  <c r="L10" i="41"/>
  <c r="J10" i="41"/>
  <c r="L11" i="41"/>
  <c r="J11" i="41"/>
  <c r="M11" i="41" s="1"/>
  <c r="J12" i="41"/>
  <c r="L13" i="41"/>
  <c r="J13" i="41"/>
  <c r="M13" i="41" s="1"/>
  <c r="L14" i="41"/>
  <c r="J14" i="41"/>
  <c r="M14" i="41"/>
  <c r="L15" i="41"/>
  <c r="J15" i="41"/>
  <c r="M15" i="41" s="1"/>
  <c r="L16" i="41"/>
  <c r="J16" i="41"/>
  <c r="L17" i="41"/>
  <c r="J17" i="41"/>
  <c r="M17" i="41" s="1"/>
  <c r="L18" i="41"/>
  <c r="J18" i="41"/>
  <c r="M18" i="41"/>
  <c r="L19" i="41"/>
  <c r="M19" i="41" s="1"/>
  <c r="J19" i="41"/>
  <c r="L20" i="41"/>
  <c r="M20" i="41" s="1"/>
  <c r="J20" i="41"/>
  <c r="L21" i="41"/>
  <c r="J21" i="41"/>
  <c r="M21" i="41"/>
  <c r="L22" i="41"/>
  <c r="J22" i="41"/>
  <c r="M22" i="41"/>
  <c r="L23" i="41"/>
  <c r="J23" i="41"/>
  <c r="M23" i="41" s="1"/>
  <c r="L24" i="41"/>
  <c r="J24" i="41"/>
  <c r="L25" i="41"/>
  <c r="J25" i="41"/>
  <c r="M25" i="41" s="1"/>
  <c r="L26" i="41"/>
  <c r="J26" i="41"/>
  <c r="M26" i="41"/>
  <c r="L27" i="41"/>
  <c r="M27" i="41" s="1"/>
  <c r="J27" i="41"/>
  <c r="L28" i="41"/>
  <c r="M28" i="41" s="1"/>
  <c r="J28" i="41"/>
  <c r="L29" i="41"/>
  <c r="J29" i="41"/>
  <c r="M29" i="41" s="1"/>
  <c r="L30" i="41"/>
  <c r="J30" i="41"/>
  <c r="M30" i="41"/>
  <c r="L31" i="41"/>
  <c r="J31" i="41"/>
  <c r="M31" i="41" s="1"/>
  <c r="L32" i="41"/>
  <c r="J32" i="41"/>
  <c r="L33" i="41"/>
  <c r="J33" i="41"/>
  <c r="M33" i="41" s="1"/>
  <c r="L34" i="41"/>
  <c r="J34" i="41"/>
  <c r="M34" i="41"/>
  <c r="L35" i="41"/>
  <c r="M35" i="41" s="1"/>
  <c r="J35" i="41"/>
  <c r="L38" i="41"/>
  <c r="M38" i="41" s="1"/>
  <c r="J38" i="41"/>
  <c r="L39" i="41"/>
  <c r="J39" i="41"/>
  <c r="M39" i="41"/>
  <c r="J40" i="41"/>
  <c r="L41" i="41"/>
  <c r="J41" i="41"/>
  <c r="M41" i="41" s="1"/>
  <c r="L42" i="41"/>
  <c r="J42" i="41"/>
  <c r="M42" i="41"/>
  <c r="L43" i="41"/>
  <c r="M43" i="41" s="1"/>
  <c r="J43" i="41"/>
  <c r="L44" i="41"/>
  <c r="M44" i="41" s="1"/>
  <c r="J44" i="41"/>
  <c r="L45" i="41"/>
  <c r="J45" i="41"/>
  <c r="M45" i="41" s="1"/>
  <c r="L46" i="41"/>
  <c r="J46" i="41"/>
  <c r="M46" i="41"/>
  <c r="L47" i="41"/>
  <c r="J47" i="41"/>
  <c r="M47" i="41" s="1"/>
  <c r="L48" i="41"/>
  <c r="J48" i="41"/>
  <c r="L49" i="41"/>
  <c r="J49" i="41"/>
  <c r="M49" i="41" s="1"/>
  <c r="J3" i="40"/>
  <c r="M3" i="40" s="1"/>
  <c r="J4" i="40"/>
  <c r="J5" i="40"/>
  <c r="J6" i="40"/>
  <c r="J7" i="40"/>
  <c r="J8" i="40"/>
  <c r="J9" i="40"/>
  <c r="J10" i="40"/>
  <c r="J11" i="40"/>
  <c r="M11" i="40" s="1"/>
  <c r="J12" i="40"/>
  <c r="J13" i="40"/>
  <c r="J14" i="40"/>
  <c r="J15" i="40"/>
  <c r="J16" i="40"/>
  <c r="J17" i="40"/>
  <c r="J18" i="40"/>
  <c r="J19" i="40"/>
  <c r="M19" i="40" s="1"/>
  <c r="J20" i="40"/>
  <c r="J21" i="40"/>
  <c r="M21" i="40" s="1"/>
  <c r="J22" i="40"/>
  <c r="J23" i="40"/>
  <c r="J24" i="40"/>
  <c r="J25" i="40"/>
  <c r="J26" i="40"/>
  <c r="J27" i="40"/>
  <c r="M27" i="40" s="1"/>
  <c r="J28" i="40"/>
  <c r="J29" i="40"/>
  <c r="J30" i="40"/>
  <c r="J31" i="40"/>
  <c r="J32" i="40"/>
  <c r="J33" i="40"/>
  <c r="J34" i="40"/>
  <c r="J35" i="40"/>
  <c r="M35" i="40" s="1"/>
  <c r="J36" i="40"/>
  <c r="J37" i="40"/>
  <c r="M37" i="40" s="1"/>
  <c r="J38" i="40"/>
  <c r="J39" i="40"/>
  <c r="J40" i="40"/>
  <c r="E41" i="40"/>
  <c r="G3" i="40"/>
  <c r="H3" i="40" s="1"/>
  <c r="G4" i="40"/>
  <c r="H4" i="40"/>
  <c r="G5" i="40"/>
  <c r="H5" i="40" s="1"/>
  <c r="G6" i="40"/>
  <c r="H6" i="40" s="1"/>
  <c r="G7" i="40"/>
  <c r="H7" i="40" s="1"/>
  <c r="G8" i="40"/>
  <c r="H8" i="40"/>
  <c r="G9" i="40"/>
  <c r="H9" i="40" s="1"/>
  <c r="G10" i="40"/>
  <c r="H10" i="40" s="1"/>
  <c r="G11" i="40"/>
  <c r="H11" i="40" s="1"/>
  <c r="G12" i="40"/>
  <c r="H12" i="40" s="1"/>
  <c r="G13" i="40"/>
  <c r="H13" i="40" s="1"/>
  <c r="G14" i="40"/>
  <c r="H14" i="40" s="1"/>
  <c r="G15" i="40"/>
  <c r="H15" i="40" s="1"/>
  <c r="G16" i="40"/>
  <c r="H16" i="40"/>
  <c r="G17" i="40"/>
  <c r="H17" i="40" s="1"/>
  <c r="G18" i="40"/>
  <c r="H18" i="40" s="1"/>
  <c r="G19" i="40"/>
  <c r="H19" i="40" s="1"/>
  <c r="G20" i="40"/>
  <c r="H20" i="40" s="1"/>
  <c r="G21" i="40"/>
  <c r="H21" i="40" s="1"/>
  <c r="G22" i="40"/>
  <c r="H22" i="40" s="1"/>
  <c r="G23" i="40"/>
  <c r="H23" i="40" s="1"/>
  <c r="G24" i="40"/>
  <c r="H24" i="40"/>
  <c r="G25" i="40"/>
  <c r="H25" i="40" s="1"/>
  <c r="G26" i="40"/>
  <c r="H26" i="40" s="1"/>
  <c r="G27" i="40"/>
  <c r="H27" i="40" s="1"/>
  <c r="G28" i="40"/>
  <c r="H28" i="40"/>
  <c r="G29" i="40"/>
  <c r="H29" i="40" s="1"/>
  <c r="G30" i="40"/>
  <c r="H30" i="40" s="1"/>
  <c r="G31" i="40"/>
  <c r="H31" i="40" s="1"/>
  <c r="G32" i="40"/>
  <c r="H32" i="40" s="1"/>
  <c r="G33" i="40"/>
  <c r="H33" i="40" s="1"/>
  <c r="G34" i="40"/>
  <c r="H34" i="40" s="1"/>
  <c r="G35" i="40"/>
  <c r="H35" i="40" s="1"/>
  <c r="G36" i="40"/>
  <c r="H36" i="40"/>
  <c r="G37" i="40"/>
  <c r="H37" i="40" s="1"/>
  <c r="G38" i="40"/>
  <c r="H38" i="40" s="1"/>
  <c r="G39" i="40"/>
  <c r="H39" i="40" s="1"/>
  <c r="G40" i="40"/>
  <c r="H40" i="40"/>
  <c r="L3" i="40"/>
  <c r="L4" i="40"/>
  <c r="M4" i="40" s="1"/>
  <c r="L5" i="40"/>
  <c r="L6" i="40"/>
  <c r="M6" i="40" s="1"/>
  <c r="L7" i="40"/>
  <c r="L8" i="40"/>
  <c r="M8" i="40" s="1"/>
  <c r="L9" i="40"/>
  <c r="L10" i="40"/>
  <c r="L11" i="40"/>
  <c r="L12" i="40"/>
  <c r="M12" i="40" s="1"/>
  <c r="L13" i="40"/>
  <c r="L14" i="40"/>
  <c r="M14" i="40" s="1"/>
  <c r="L15" i="40"/>
  <c r="L16" i="40"/>
  <c r="M16" i="40" s="1"/>
  <c r="L17" i="40"/>
  <c r="L18" i="40"/>
  <c r="L19" i="40"/>
  <c r="L20" i="40"/>
  <c r="M20" i="40" s="1"/>
  <c r="L21" i="40"/>
  <c r="L22" i="40"/>
  <c r="M22" i="40" s="1"/>
  <c r="L23" i="40"/>
  <c r="L24" i="40"/>
  <c r="M24" i="40" s="1"/>
  <c r="L25" i="40"/>
  <c r="L26" i="40"/>
  <c r="L27" i="40"/>
  <c r="L28" i="40"/>
  <c r="M28" i="40" s="1"/>
  <c r="L29" i="40"/>
  <c r="L30" i="40"/>
  <c r="M30" i="40" s="1"/>
  <c r="L31" i="40"/>
  <c r="L32" i="40"/>
  <c r="M32" i="40" s="1"/>
  <c r="L33" i="40"/>
  <c r="L34" i="40"/>
  <c r="L35" i="40"/>
  <c r="L36" i="40"/>
  <c r="M36" i="40" s="1"/>
  <c r="L37" i="40"/>
  <c r="L38" i="40"/>
  <c r="M38" i="40" s="1"/>
  <c r="L39" i="40"/>
  <c r="L40" i="40"/>
  <c r="M40" i="40" s="1"/>
  <c r="M7" i="40"/>
  <c r="M9" i="40"/>
  <c r="M10" i="40"/>
  <c r="M13" i="40"/>
  <c r="M15" i="40"/>
  <c r="M17" i="40"/>
  <c r="M18" i="40"/>
  <c r="M23" i="40"/>
  <c r="M25" i="40"/>
  <c r="M26" i="40"/>
  <c r="M29" i="40"/>
  <c r="M31" i="40"/>
  <c r="M33" i="40"/>
  <c r="M34" i="40"/>
  <c r="M39" i="40"/>
  <c r="J54" i="40"/>
  <c r="J56" i="40" s="1"/>
  <c r="J61" i="39"/>
  <c r="J63" i="39"/>
  <c r="J3" i="39"/>
  <c r="J4" i="39"/>
  <c r="J5" i="39"/>
  <c r="J6" i="39"/>
  <c r="J7" i="39"/>
  <c r="J8" i="39"/>
  <c r="J9" i="39"/>
  <c r="J10" i="39"/>
  <c r="M10" i="39" s="1"/>
  <c r="J11" i="39"/>
  <c r="J12" i="39"/>
  <c r="J13" i="39"/>
  <c r="J14" i="39"/>
  <c r="J15" i="39"/>
  <c r="M15" i="39" s="1"/>
  <c r="J16" i="39"/>
  <c r="J17" i="39"/>
  <c r="J18" i="39"/>
  <c r="M18" i="39" s="1"/>
  <c r="J19" i="39"/>
  <c r="J20" i="39"/>
  <c r="J21" i="39"/>
  <c r="J22" i="39"/>
  <c r="J23" i="39"/>
  <c r="J24" i="39"/>
  <c r="J25" i="39"/>
  <c r="J26" i="39"/>
  <c r="J27" i="39"/>
  <c r="J28" i="39"/>
  <c r="J29" i="39"/>
  <c r="J30" i="39"/>
  <c r="J31" i="39"/>
  <c r="J32" i="39"/>
  <c r="J33" i="39"/>
  <c r="J34" i="39"/>
  <c r="J35" i="39"/>
  <c r="J36" i="39"/>
  <c r="J37" i="39"/>
  <c r="J38" i="39"/>
  <c r="M38" i="39" s="1"/>
  <c r="J39" i="39"/>
  <c r="M39" i="39" s="1"/>
  <c r="J40" i="39"/>
  <c r="J41" i="39"/>
  <c r="J42" i="39"/>
  <c r="J43" i="39"/>
  <c r="J44" i="39"/>
  <c r="J45" i="39"/>
  <c r="J46" i="39"/>
  <c r="J47" i="39"/>
  <c r="G3" i="39"/>
  <c r="H3" i="39"/>
  <c r="G4" i="39"/>
  <c r="H4" i="39"/>
  <c r="G5" i="39"/>
  <c r="H5" i="39"/>
  <c r="G6" i="39"/>
  <c r="H6" i="39" s="1"/>
  <c r="G7" i="39"/>
  <c r="H7" i="39"/>
  <c r="G8" i="39"/>
  <c r="H8" i="39"/>
  <c r="G9" i="39"/>
  <c r="H9" i="39"/>
  <c r="G10" i="39"/>
  <c r="H10" i="39" s="1"/>
  <c r="G11" i="39"/>
  <c r="H11" i="39"/>
  <c r="G12" i="39"/>
  <c r="H12" i="39"/>
  <c r="G13" i="39"/>
  <c r="H13" i="39"/>
  <c r="G14" i="39"/>
  <c r="H14" i="39" s="1"/>
  <c r="G15" i="39"/>
  <c r="H15" i="39"/>
  <c r="G16" i="39"/>
  <c r="H16" i="39"/>
  <c r="G17" i="39"/>
  <c r="H17" i="39"/>
  <c r="G18" i="39"/>
  <c r="H18" i="39" s="1"/>
  <c r="G19" i="39"/>
  <c r="H19" i="39"/>
  <c r="G20" i="39"/>
  <c r="H20" i="39"/>
  <c r="G21" i="39"/>
  <c r="H21" i="39"/>
  <c r="G22" i="39"/>
  <c r="H22" i="39" s="1"/>
  <c r="G23" i="39"/>
  <c r="H23" i="39"/>
  <c r="G24" i="39"/>
  <c r="H24" i="39"/>
  <c r="G25" i="39"/>
  <c r="H25" i="39"/>
  <c r="G26" i="39"/>
  <c r="H26" i="39" s="1"/>
  <c r="G27" i="39"/>
  <c r="H27" i="39"/>
  <c r="G28" i="39"/>
  <c r="H28" i="39"/>
  <c r="G29" i="39"/>
  <c r="H29" i="39"/>
  <c r="G30" i="39"/>
  <c r="H30" i="39" s="1"/>
  <c r="G31" i="39"/>
  <c r="H31" i="39"/>
  <c r="G32" i="39"/>
  <c r="H32" i="39"/>
  <c r="G33" i="39"/>
  <c r="H33" i="39"/>
  <c r="G34" i="39"/>
  <c r="H34" i="39" s="1"/>
  <c r="G35" i="39"/>
  <c r="H35" i="39"/>
  <c r="G36" i="39"/>
  <c r="H36" i="39"/>
  <c r="G37" i="39"/>
  <c r="H37" i="39"/>
  <c r="G38" i="39"/>
  <c r="H38" i="39" s="1"/>
  <c r="G39" i="39"/>
  <c r="H39" i="39"/>
  <c r="G40" i="39"/>
  <c r="H40" i="39"/>
  <c r="G41" i="39"/>
  <c r="H41" i="39"/>
  <c r="G42" i="39"/>
  <c r="H42" i="39" s="1"/>
  <c r="G43" i="39"/>
  <c r="H43" i="39"/>
  <c r="G44" i="39"/>
  <c r="H44" i="39"/>
  <c r="G45" i="39"/>
  <c r="H45" i="39"/>
  <c r="G46" i="39"/>
  <c r="H46" i="39" s="1"/>
  <c r="G47" i="39"/>
  <c r="H47" i="39"/>
  <c r="E48" i="39"/>
  <c r="L3" i="39"/>
  <c r="L4" i="39"/>
  <c r="L5" i="39"/>
  <c r="M5" i="39" s="1"/>
  <c r="L6" i="39"/>
  <c r="L7" i="39"/>
  <c r="L8" i="39"/>
  <c r="M8" i="39" s="1"/>
  <c r="L9" i="39"/>
  <c r="M9" i="39" s="1"/>
  <c r="L10" i="39"/>
  <c r="L11" i="39"/>
  <c r="L12" i="39"/>
  <c r="M12" i="39" s="1"/>
  <c r="L13" i="39"/>
  <c r="M13" i="39" s="1"/>
  <c r="L14" i="39"/>
  <c r="L15" i="39"/>
  <c r="L16" i="39"/>
  <c r="M16" i="39" s="1"/>
  <c r="L17" i="39"/>
  <c r="M17" i="39" s="1"/>
  <c r="L18" i="39"/>
  <c r="L19" i="39"/>
  <c r="L20" i="39"/>
  <c r="L21" i="39"/>
  <c r="M21" i="39" s="1"/>
  <c r="L22" i="39"/>
  <c r="L23" i="39"/>
  <c r="L24" i="39"/>
  <c r="M24" i="39" s="1"/>
  <c r="L25" i="39"/>
  <c r="M25" i="39" s="1"/>
  <c r="L26" i="39"/>
  <c r="L27" i="39"/>
  <c r="L28" i="39"/>
  <c r="M28" i="39" s="1"/>
  <c r="L29" i="39"/>
  <c r="M29" i="39" s="1"/>
  <c r="L30" i="39"/>
  <c r="L31" i="39"/>
  <c r="L32" i="39"/>
  <c r="M32" i="39" s="1"/>
  <c r="L33" i="39"/>
  <c r="M33" i="39" s="1"/>
  <c r="L34" i="39"/>
  <c r="L35" i="39"/>
  <c r="L36" i="39"/>
  <c r="L37" i="39"/>
  <c r="M37" i="39" s="1"/>
  <c r="L38" i="39"/>
  <c r="L39" i="39"/>
  <c r="L40" i="39"/>
  <c r="M40" i="39" s="1"/>
  <c r="L41" i="39"/>
  <c r="M41" i="39" s="1"/>
  <c r="L42" i="39"/>
  <c r="L43" i="39"/>
  <c r="L44" i="39"/>
  <c r="L45" i="39"/>
  <c r="M45" i="39" s="1"/>
  <c r="L46" i="39"/>
  <c r="L47" i="39"/>
  <c r="M3" i="39"/>
  <c r="M6" i="39"/>
  <c r="M7" i="39"/>
  <c r="M11" i="39"/>
  <c r="M14" i="39"/>
  <c r="M19" i="39"/>
  <c r="M20" i="39"/>
  <c r="M22" i="39"/>
  <c r="M23" i="39"/>
  <c r="M27" i="39"/>
  <c r="M30" i="39"/>
  <c r="M31" i="39"/>
  <c r="M34" i="39"/>
  <c r="M35" i="39"/>
  <c r="M36" i="39"/>
  <c r="M43" i="39"/>
  <c r="M44" i="39"/>
  <c r="M46" i="39"/>
  <c r="M47" i="39"/>
  <c r="L65" i="38"/>
  <c r="L3" i="38"/>
  <c r="L4" i="38"/>
  <c r="L5" i="38"/>
  <c r="L6" i="38"/>
  <c r="L7" i="38"/>
  <c r="M7" i="38" s="1"/>
  <c r="L8" i="38"/>
  <c r="M8" i="38" s="1"/>
  <c r="L9" i="38"/>
  <c r="L10" i="38"/>
  <c r="L11" i="38"/>
  <c r="L12" i="38"/>
  <c r="L13" i="38"/>
  <c r="L14" i="38"/>
  <c r="L15" i="38"/>
  <c r="L16" i="38"/>
  <c r="M16" i="38" s="1"/>
  <c r="L17" i="38"/>
  <c r="L18" i="38"/>
  <c r="L19" i="38"/>
  <c r="L20" i="38"/>
  <c r="L21" i="38"/>
  <c r="M21" i="38" s="1"/>
  <c r="L22" i="38"/>
  <c r="L23" i="38"/>
  <c r="L24" i="38"/>
  <c r="L25" i="38"/>
  <c r="L26" i="38"/>
  <c r="L27" i="38"/>
  <c r="L28" i="38"/>
  <c r="L29" i="38"/>
  <c r="L30" i="38"/>
  <c r="L31" i="38"/>
  <c r="M31" i="38" s="1"/>
  <c r="L32" i="38"/>
  <c r="L33" i="38"/>
  <c r="L34" i="38"/>
  <c r="L35" i="38"/>
  <c r="L36" i="38"/>
  <c r="L37" i="38"/>
  <c r="L38" i="38"/>
  <c r="L39" i="38"/>
  <c r="M39" i="38" s="1"/>
  <c r="L40" i="38"/>
  <c r="M40" i="38" s="1"/>
  <c r="L41" i="38"/>
  <c r="L42" i="38"/>
  <c r="L43" i="38"/>
  <c r="L44" i="38"/>
  <c r="L45" i="38"/>
  <c r="L46" i="38"/>
  <c r="L47" i="38"/>
  <c r="L48" i="38"/>
  <c r="M48" i="38" s="1"/>
  <c r="L49" i="38"/>
  <c r="L50" i="38"/>
  <c r="L51" i="38"/>
  <c r="L52" i="38"/>
  <c r="L53" i="38"/>
  <c r="M53" i="38" s="1"/>
  <c r="L54" i="38"/>
  <c r="L55" i="38"/>
  <c r="M55" i="38" s="1"/>
  <c r="L56" i="38"/>
  <c r="L57" i="38"/>
  <c r="L58" i="38"/>
  <c r="L59" i="38"/>
  <c r="L60" i="38"/>
  <c r="L61" i="38"/>
  <c r="L62" i="38"/>
  <c r="L63" i="38"/>
  <c r="M63" i="38" s="1"/>
  <c r="L64" i="38"/>
  <c r="J65" i="38"/>
  <c r="M65" i="38"/>
  <c r="J3" i="38"/>
  <c r="M3" i="38"/>
  <c r="J4" i="38"/>
  <c r="M4" i="38"/>
  <c r="J5" i="38"/>
  <c r="J6" i="38"/>
  <c r="M6" i="38"/>
  <c r="J7" i="38"/>
  <c r="J8" i="38"/>
  <c r="J9" i="38"/>
  <c r="M9" i="38" s="1"/>
  <c r="J10" i="38"/>
  <c r="M10" i="38"/>
  <c r="J11" i="38"/>
  <c r="M11" i="38"/>
  <c r="J12" i="38"/>
  <c r="M12" i="38"/>
  <c r="J13" i="38"/>
  <c r="J14" i="38"/>
  <c r="M14" i="38"/>
  <c r="J15" i="38"/>
  <c r="M15" i="38"/>
  <c r="J16" i="38"/>
  <c r="J17" i="38"/>
  <c r="M17" i="38" s="1"/>
  <c r="J18" i="38"/>
  <c r="M18" i="38"/>
  <c r="J19" i="38"/>
  <c r="M19" i="38"/>
  <c r="J20" i="38"/>
  <c r="M20" i="38"/>
  <c r="J21" i="38"/>
  <c r="J22" i="38"/>
  <c r="M22" i="38"/>
  <c r="J23" i="38"/>
  <c r="M23" i="38"/>
  <c r="J24" i="38"/>
  <c r="M24" i="38"/>
  <c r="J25" i="38"/>
  <c r="M25" i="38" s="1"/>
  <c r="J26" i="38"/>
  <c r="M26" i="38"/>
  <c r="J27" i="38"/>
  <c r="M27" i="38"/>
  <c r="J28" i="38"/>
  <c r="M28" i="38"/>
  <c r="J29" i="38"/>
  <c r="J30" i="38"/>
  <c r="M30" i="38"/>
  <c r="J31" i="38"/>
  <c r="J32" i="38"/>
  <c r="M32" i="38"/>
  <c r="J33" i="38"/>
  <c r="M33" i="38" s="1"/>
  <c r="J34" i="38"/>
  <c r="M34" i="38"/>
  <c r="J35" i="38"/>
  <c r="M35" i="38"/>
  <c r="J36" i="38"/>
  <c r="M36" i="38"/>
  <c r="J37" i="38"/>
  <c r="J38" i="38"/>
  <c r="M38" i="38"/>
  <c r="J39" i="38"/>
  <c r="J40" i="38"/>
  <c r="J41" i="38"/>
  <c r="M41" i="38" s="1"/>
  <c r="J42" i="38"/>
  <c r="M42" i="38"/>
  <c r="J43" i="38"/>
  <c r="M43" i="38"/>
  <c r="J44" i="38"/>
  <c r="M44" i="38"/>
  <c r="J45" i="38"/>
  <c r="J46" i="38"/>
  <c r="M46" i="38"/>
  <c r="J47" i="38"/>
  <c r="M47" i="38"/>
  <c r="J48" i="38"/>
  <c r="J49" i="38"/>
  <c r="M49" i="38" s="1"/>
  <c r="J50" i="38"/>
  <c r="M50" i="38"/>
  <c r="J51" i="38"/>
  <c r="M51" i="38"/>
  <c r="J52" i="38"/>
  <c r="M52" i="38"/>
  <c r="J53" i="38"/>
  <c r="J54" i="38"/>
  <c r="M54" i="38"/>
  <c r="J55" i="38"/>
  <c r="J56" i="38"/>
  <c r="M56" i="38"/>
  <c r="J57" i="38"/>
  <c r="M57" i="38" s="1"/>
  <c r="J58" i="38"/>
  <c r="M58" i="38"/>
  <c r="J59" i="38"/>
  <c r="M59" i="38"/>
  <c r="J60" i="38"/>
  <c r="M60" i="38"/>
  <c r="J61" i="38"/>
  <c r="J62" i="38"/>
  <c r="M62" i="38"/>
  <c r="J63" i="38"/>
  <c r="J64" i="38"/>
  <c r="M64" i="38"/>
  <c r="G65" i="38"/>
  <c r="H65" i="38" s="1"/>
  <c r="G3" i="38"/>
  <c r="H3" i="38" s="1"/>
  <c r="G4" i="38"/>
  <c r="H4" i="38" s="1"/>
  <c r="G5" i="38"/>
  <c r="H5" i="38"/>
  <c r="G6" i="38"/>
  <c r="H6" i="38" s="1"/>
  <c r="G7" i="38"/>
  <c r="H7" i="38" s="1"/>
  <c r="G8" i="38"/>
  <c r="H8" i="38" s="1"/>
  <c r="G9" i="38"/>
  <c r="H9" i="38" s="1"/>
  <c r="G10" i="38"/>
  <c r="H10" i="38" s="1"/>
  <c r="G11" i="38"/>
  <c r="H11" i="38" s="1"/>
  <c r="G12" i="38"/>
  <c r="H12" i="38" s="1"/>
  <c r="G13" i="38"/>
  <c r="H13" i="38"/>
  <c r="G14" i="38"/>
  <c r="H14" i="38" s="1"/>
  <c r="G15" i="38"/>
  <c r="H15" i="38" s="1"/>
  <c r="G16" i="38"/>
  <c r="H16" i="38" s="1"/>
  <c r="G17" i="38"/>
  <c r="H17" i="38"/>
  <c r="G18" i="38"/>
  <c r="H18" i="38" s="1"/>
  <c r="G19" i="38"/>
  <c r="H19" i="38" s="1"/>
  <c r="G20" i="38"/>
  <c r="H20" i="38" s="1"/>
  <c r="G21" i="38"/>
  <c r="H21" i="38"/>
  <c r="G22" i="38"/>
  <c r="H22" i="38" s="1"/>
  <c r="G23" i="38"/>
  <c r="H23" i="38" s="1"/>
  <c r="G24" i="38"/>
  <c r="H24" i="38" s="1"/>
  <c r="G25" i="38"/>
  <c r="H25" i="38"/>
  <c r="G26" i="38"/>
  <c r="H26" i="38" s="1"/>
  <c r="G27" i="38"/>
  <c r="H27" i="38" s="1"/>
  <c r="G28" i="38"/>
  <c r="H28" i="38" s="1"/>
  <c r="G29" i="38"/>
  <c r="H29" i="38" s="1"/>
  <c r="G30" i="38"/>
  <c r="H30" i="38" s="1"/>
  <c r="G31" i="38"/>
  <c r="H31" i="38" s="1"/>
  <c r="G32" i="38"/>
  <c r="H32" i="38" s="1"/>
  <c r="G33" i="38"/>
  <c r="H33" i="38" s="1"/>
  <c r="G34" i="38"/>
  <c r="H34" i="38" s="1"/>
  <c r="G35" i="38"/>
  <c r="H35" i="38" s="1"/>
  <c r="G36" i="38"/>
  <c r="H36" i="38" s="1"/>
  <c r="G37" i="38"/>
  <c r="H37" i="38"/>
  <c r="G38" i="38"/>
  <c r="H38" i="38" s="1"/>
  <c r="G39" i="38"/>
  <c r="H39" i="38" s="1"/>
  <c r="H66" i="38" s="1"/>
  <c r="G40" i="38"/>
  <c r="H40" i="38" s="1"/>
  <c r="G41" i="38"/>
  <c r="H41" i="38"/>
  <c r="G42" i="38"/>
  <c r="H42" i="38" s="1"/>
  <c r="G43" i="38"/>
  <c r="H43" i="38" s="1"/>
  <c r="G44" i="38"/>
  <c r="H44" i="38" s="1"/>
  <c r="G45" i="38"/>
  <c r="H45" i="38"/>
  <c r="G46" i="38"/>
  <c r="H46" i="38" s="1"/>
  <c r="G47" i="38"/>
  <c r="H47" i="38" s="1"/>
  <c r="G48" i="38"/>
  <c r="H48" i="38" s="1"/>
  <c r="G49" i="38"/>
  <c r="H49" i="38"/>
  <c r="G50" i="38"/>
  <c r="H50" i="38" s="1"/>
  <c r="G51" i="38"/>
  <c r="H51" i="38" s="1"/>
  <c r="G52" i="38"/>
  <c r="H52" i="38" s="1"/>
  <c r="G53" i="38"/>
  <c r="H53" i="38" s="1"/>
  <c r="G54" i="38"/>
  <c r="H54" i="38" s="1"/>
  <c r="G55" i="38"/>
  <c r="H55" i="38" s="1"/>
  <c r="G56" i="38"/>
  <c r="H56" i="38" s="1"/>
  <c r="G57" i="38"/>
  <c r="H57" i="38"/>
  <c r="G58" i="38"/>
  <c r="H58" i="38" s="1"/>
  <c r="G59" i="38"/>
  <c r="H59" i="38" s="1"/>
  <c r="G60" i="38"/>
  <c r="H60" i="38" s="1"/>
  <c r="G61" i="38"/>
  <c r="H61" i="38" s="1"/>
  <c r="G62" i="38"/>
  <c r="H62" i="38" s="1"/>
  <c r="G63" i="38"/>
  <c r="H63" i="38" s="1"/>
  <c r="G64" i="38"/>
  <c r="H64" i="38" s="1"/>
  <c r="J66" i="38"/>
  <c r="E66" i="38"/>
  <c r="J79" i="38"/>
  <c r="J81" i="38"/>
  <c r="L3" i="37"/>
  <c r="L4" i="37"/>
  <c r="L5" i="37"/>
  <c r="M5" i="37" s="1"/>
  <c r="L6" i="37"/>
  <c r="L7" i="37"/>
  <c r="M7" i="37" s="1"/>
  <c r="L8" i="37"/>
  <c r="L9" i="37"/>
  <c r="L10" i="37"/>
  <c r="M10" i="37" s="1"/>
  <c r="L11" i="37"/>
  <c r="L12" i="37"/>
  <c r="L13" i="37"/>
  <c r="L14" i="37"/>
  <c r="M14" i="37" s="1"/>
  <c r="L15" i="37"/>
  <c r="M15" i="37" s="1"/>
  <c r="L16" i="37"/>
  <c r="L17" i="37"/>
  <c r="L18" i="37"/>
  <c r="M18" i="37" s="1"/>
  <c r="L19" i="37"/>
  <c r="L20" i="37"/>
  <c r="L21" i="37"/>
  <c r="L22" i="37"/>
  <c r="M22" i="37" s="1"/>
  <c r="L23" i="37"/>
  <c r="M23" i="37" s="1"/>
  <c r="L24" i="37"/>
  <c r="L25" i="37"/>
  <c r="L26" i="37"/>
  <c r="M26" i="37" s="1"/>
  <c r="L27" i="37"/>
  <c r="L28" i="37"/>
  <c r="L29" i="37"/>
  <c r="L30" i="37"/>
  <c r="M30" i="37" s="1"/>
  <c r="L31" i="37"/>
  <c r="M31" i="37" s="1"/>
  <c r="L32" i="37"/>
  <c r="L33" i="37"/>
  <c r="L34" i="37"/>
  <c r="M34" i="37" s="1"/>
  <c r="L35" i="37"/>
  <c r="L36" i="37"/>
  <c r="L37" i="37"/>
  <c r="L38" i="37"/>
  <c r="M38" i="37" s="1"/>
  <c r="L39" i="37"/>
  <c r="M39" i="37" s="1"/>
  <c r="L40" i="37"/>
  <c r="L41" i="37"/>
  <c r="L42" i="37"/>
  <c r="M42" i="37" s="1"/>
  <c r="L43" i="37"/>
  <c r="L44" i="37"/>
  <c r="J3" i="37"/>
  <c r="J4" i="37"/>
  <c r="J5" i="37"/>
  <c r="J6" i="37"/>
  <c r="J7" i="37"/>
  <c r="J8" i="37"/>
  <c r="J9" i="37"/>
  <c r="J10" i="37"/>
  <c r="J11" i="37"/>
  <c r="J12" i="37"/>
  <c r="M12" i="37" s="1"/>
  <c r="J13" i="37"/>
  <c r="J14" i="37"/>
  <c r="J15" i="37"/>
  <c r="J16" i="37"/>
  <c r="J17" i="37"/>
  <c r="J18" i="37"/>
  <c r="J19" i="37"/>
  <c r="J20" i="37"/>
  <c r="M20" i="37" s="1"/>
  <c r="J21" i="37"/>
  <c r="J22" i="37"/>
  <c r="J23" i="37"/>
  <c r="J24" i="37"/>
  <c r="J25" i="37"/>
  <c r="J26" i="37"/>
  <c r="J27" i="37"/>
  <c r="J28" i="37"/>
  <c r="M28" i="37" s="1"/>
  <c r="J29" i="37"/>
  <c r="J30" i="37"/>
  <c r="J31" i="37"/>
  <c r="J32" i="37"/>
  <c r="J33" i="37"/>
  <c r="M33" i="37" s="1"/>
  <c r="J34" i="37"/>
  <c r="J35" i="37"/>
  <c r="J36" i="37"/>
  <c r="J37" i="37"/>
  <c r="J38" i="37"/>
  <c r="J39" i="37"/>
  <c r="J40" i="37"/>
  <c r="J41" i="37"/>
  <c r="J42" i="37"/>
  <c r="J43" i="37"/>
  <c r="J44" i="37"/>
  <c r="M44" i="37" s="1"/>
  <c r="M6" i="37"/>
  <c r="M3" i="37"/>
  <c r="M8" i="37"/>
  <c r="M9" i="37"/>
  <c r="M13" i="37"/>
  <c r="M16" i="37"/>
  <c r="M17" i="37"/>
  <c r="M21" i="37"/>
  <c r="M24" i="37"/>
  <c r="M25" i="37"/>
  <c r="M29" i="37"/>
  <c r="M32" i="37"/>
  <c r="M37" i="37"/>
  <c r="M40" i="37"/>
  <c r="M41" i="37"/>
  <c r="G3" i="37"/>
  <c r="H3" i="37" s="1"/>
  <c r="G4" i="37"/>
  <c r="H4" i="37"/>
  <c r="G5" i="37"/>
  <c r="H5" i="37" s="1"/>
  <c r="G6" i="37"/>
  <c r="H6" i="37" s="1"/>
  <c r="G7" i="37"/>
  <c r="H7" i="37" s="1"/>
  <c r="G8" i="37"/>
  <c r="H8" i="37" s="1"/>
  <c r="G9" i="37"/>
  <c r="H9" i="37" s="1"/>
  <c r="G10" i="37"/>
  <c r="H10" i="37"/>
  <c r="G11" i="37"/>
  <c r="H11" i="37" s="1"/>
  <c r="G12" i="37"/>
  <c r="H12" i="37" s="1"/>
  <c r="G13" i="37"/>
  <c r="H13" i="37" s="1"/>
  <c r="G14" i="37"/>
  <c r="H14" i="37"/>
  <c r="G15" i="37"/>
  <c r="H15" i="37" s="1"/>
  <c r="G16" i="37"/>
  <c r="H16" i="37"/>
  <c r="G17" i="37"/>
  <c r="H17" i="37" s="1"/>
  <c r="G18" i="37"/>
  <c r="H18" i="37" s="1"/>
  <c r="G19" i="37"/>
  <c r="H19" i="37" s="1"/>
  <c r="G20" i="37"/>
  <c r="H20" i="37"/>
  <c r="G21" i="37"/>
  <c r="H21" i="37" s="1"/>
  <c r="G22" i="37"/>
  <c r="H22" i="37" s="1"/>
  <c r="G23" i="37"/>
  <c r="H23" i="37" s="1"/>
  <c r="G24" i="37"/>
  <c r="H24" i="37" s="1"/>
  <c r="G25" i="37"/>
  <c r="H25" i="37" s="1"/>
  <c r="G26" i="37"/>
  <c r="H26" i="37"/>
  <c r="G27" i="37"/>
  <c r="H27" i="37" s="1"/>
  <c r="G28" i="37"/>
  <c r="H28" i="37" s="1"/>
  <c r="G29" i="37"/>
  <c r="H29" i="37" s="1"/>
  <c r="G30" i="37"/>
  <c r="H30" i="37"/>
  <c r="G31" i="37"/>
  <c r="H31" i="37" s="1"/>
  <c r="G32" i="37"/>
  <c r="H32" i="37"/>
  <c r="G33" i="37"/>
  <c r="H33" i="37" s="1"/>
  <c r="G34" i="37"/>
  <c r="H34" i="37"/>
  <c r="G35" i="37"/>
  <c r="H35" i="37" s="1"/>
  <c r="G36" i="37"/>
  <c r="H36" i="37"/>
  <c r="G37" i="37"/>
  <c r="H37" i="37" s="1"/>
  <c r="G38" i="37"/>
  <c r="H38" i="37" s="1"/>
  <c r="G39" i="37"/>
  <c r="H39" i="37" s="1"/>
  <c r="G40" i="37"/>
  <c r="H40" i="37" s="1"/>
  <c r="G41" i="37"/>
  <c r="H41" i="37" s="1"/>
  <c r="G42" i="37"/>
  <c r="H42" i="37"/>
  <c r="G43" i="37"/>
  <c r="H43" i="37"/>
  <c r="G44" i="37"/>
  <c r="H44" i="37" s="1"/>
  <c r="E45" i="37"/>
  <c r="J57" i="37"/>
  <c r="J59" i="37"/>
  <c r="L65" i="36"/>
  <c r="L3" i="36"/>
  <c r="L4" i="36"/>
  <c r="M4" i="36" s="1"/>
  <c r="L5" i="36"/>
  <c r="M5" i="36" s="1"/>
  <c r="L6" i="36"/>
  <c r="L7" i="36"/>
  <c r="L8" i="36"/>
  <c r="L9" i="36"/>
  <c r="M9" i="36" s="1"/>
  <c r="L10" i="36"/>
  <c r="M10" i="36" s="1"/>
  <c r="L11" i="36"/>
  <c r="M11" i="36" s="1"/>
  <c r="L12" i="36"/>
  <c r="M12" i="36" s="1"/>
  <c r="L13" i="36"/>
  <c r="L14" i="36"/>
  <c r="L15" i="36"/>
  <c r="L16" i="36"/>
  <c r="L17" i="36"/>
  <c r="L18" i="36"/>
  <c r="M18" i="36" s="1"/>
  <c r="L19" i="36"/>
  <c r="M19" i="36" s="1"/>
  <c r="L20" i="36"/>
  <c r="L21" i="36"/>
  <c r="L22" i="36"/>
  <c r="L23" i="36"/>
  <c r="L24" i="36"/>
  <c r="L25" i="36"/>
  <c r="L26" i="36"/>
  <c r="L27" i="36"/>
  <c r="M27" i="36" s="1"/>
  <c r="L28" i="36"/>
  <c r="M28" i="36" s="1"/>
  <c r="L29" i="36"/>
  <c r="L30" i="36"/>
  <c r="L31" i="36"/>
  <c r="L32" i="36"/>
  <c r="L33" i="36"/>
  <c r="L34" i="36"/>
  <c r="L35" i="36"/>
  <c r="L36" i="36"/>
  <c r="M36" i="36" s="1"/>
  <c r="L37" i="36"/>
  <c r="M37" i="36" s="1"/>
  <c r="L38" i="36"/>
  <c r="L39" i="36"/>
  <c r="L40" i="36"/>
  <c r="L41" i="36"/>
  <c r="L42" i="36"/>
  <c r="M42" i="36" s="1"/>
  <c r="L43" i="36"/>
  <c r="M43" i="36" s="1"/>
  <c r="L44" i="36"/>
  <c r="M44" i="36" s="1"/>
  <c r="L45" i="36"/>
  <c r="L46" i="36"/>
  <c r="L47" i="36"/>
  <c r="L48" i="36"/>
  <c r="L49" i="36"/>
  <c r="L50" i="36"/>
  <c r="M50" i="36" s="1"/>
  <c r="L51" i="36"/>
  <c r="M51" i="36" s="1"/>
  <c r="L52" i="36"/>
  <c r="M52" i="36" s="1"/>
  <c r="L53" i="36"/>
  <c r="M53" i="36" s="1"/>
  <c r="L54" i="36"/>
  <c r="L55" i="36"/>
  <c r="L56" i="36"/>
  <c r="L57" i="36"/>
  <c r="L58" i="36"/>
  <c r="L59" i="36"/>
  <c r="L60" i="36"/>
  <c r="M60" i="36" s="1"/>
  <c r="L61" i="36"/>
  <c r="L62" i="36"/>
  <c r="L63" i="36"/>
  <c r="L64" i="36"/>
  <c r="J65" i="36"/>
  <c r="M65" i="36" s="1"/>
  <c r="J3" i="36"/>
  <c r="M3" i="36" s="1"/>
  <c r="J4" i="36"/>
  <c r="J5" i="36"/>
  <c r="J6" i="36"/>
  <c r="M6" i="36"/>
  <c r="J7" i="36"/>
  <c r="M7" i="36" s="1"/>
  <c r="J8" i="36"/>
  <c r="J9" i="36"/>
  <c r="J10" i="36"/>
  <c r="J11" i="36"/>
  <c r="J12" i="36"/>
  <c r="J13" i="36"/>
  <c r="J14" i="36"/>
  <c r="M14" i="36"/>
  <c r="J15" i="36"/>
  <c r="M15" i="36"/>
  <c r="J16" i="36"/>
  <c r="J17" i="36"/>
  <c r="M17" i="36" s="1"/>
  <c r="J18" i="36"/>
  <c r="J19" i="36"/>
  <c r="J20" i="36"/>
  <c r="J21" i="36"/>
  <c r="M21" i="36" s="1"/>
  <c r="J22" i="36"/>
  <c r="M22" i="36" s="1"/>
  <c r="J23" i="36"/>
  <c r="M23" i="36"/>
  <c r="J24" i="36"/>
  <c r="J25" i="36"/>
  <c r="M25" i="36" s="1"/>
  <c r="J26" i="36"/>
  <c r="J27" i="36"/>
  <c r="J28" i="36"/>
  <c r="J29" i="36"/>
  <c r="M29" i="36"/>
  <c r="J30" i="36"/>
  <c r="M30" i="36"/>
  <c r="J31" i="36"/>
  <c r="M31" i="36" s="1"/>
  <c r="J32" i="36"/>
  <c r="M32" i="36"/>
  <c r="J33" i="36"/>
  <c r="M33" i="36"/>
  <c r="J34" i="36"/>
  <c r="M34" i="36"/>
  <c r="J35" i="36"/>
  <c r="J36" i="36"/>
  <c r="J37" i="36"/>
  <c r="J38" i="36"/>
  <c r="M38" i="36" s="1"/>
  <c r="J39" i="36"/>
  <c r="M39" i="36" s="1"/>
  <c r="J40" i="36"/>
  <c r="M40" i="36"/>
  <c r="J41" i="36"/>
  <c r="M41" i="36"/>
  <c r="J42" i="36"/>
  <c r="J43" i="36"/>
  <c r="J44" i="36"/>
  <c r="J45" i="36"/>
  <c r="M45" i="36"/>
  <c r="J46" i="36"/>
  <c r="M46" i="36" s="1"/>
  <c r="J47" i="36"/>
  <c r="M47" i="36" s="1"/>
  <c r="J48" i="36"/>
  <c r="M48" i="36"/>
  <c r="J49" i="36"/>
  <c r="M49" i="36"/>
  <c r="J50" i="36"/>
  <c r="J51" i="36"/>
  <c r="J52" i="36"/>
  <c r="J53" i="36"/>
  <c r="J54" i="36"/>
  <c r="M54" i="36" s="1"/>
  <c r="J55" i="36"/>
  <c r="M55" i="36" s="1"/>
  <c r="J56" i="36"/>
  <c r="M56" i="36"/>
  <c r="J57" i="36"/>
  <c r="M57" i="36"/>
  <c r="J58" i="36"/>
  <c r="M58" i="36"/>
  <c r="J59" i="36"/>
  <c r="J60" i="36"/>
  <c r="J61" i="36"/>
  <c r="M61" i="36"/>
  <c r="J62" i="36"/>
  <c r="M62" i="36"/>
  <c r="J63" i="36"/>
  <c r="M63" i="36" s="1"/>
  <c r="J64" i="36"/>
  <c r="M64" i="36"/>
  <c r="G65" i="36"/>
  <c r="H65" i="36" s="1"/>
  <c r="G3" i="36"/>
  <c r="H3" i="36" s="1"/>
  <c r="G4" i="36"/>
  <c r="H4" i="36"/>
  <c r="G5" i="36"/>
  <c r="H5" i="36"/>
  <c r="G6" i="36"/>
  <c r="H6" i="36" s="1"/>
  <c r="G7" i="36"/>
  <c r="H7" i="36" s="1"/>
  <c r="G8" i="36"/>
  <c r="H8" i="36"/>
  <c r="G9" i="36"/>
  <c r="H9" i="36"/>
  <c r="G10" i="36"/>
  <c r="H10" i="36" s="1"/>
  <c r="G11" i="36"/>
  <c r="H11" i="36" s="1"/>
  <c r="G12" i="36"/>
  <c r="H12" i="36"/>
  <c r="G13" i="36"/>
  <c r="H13" i="36"/>
  <c r="G14" i="36"/>
  <c r="H14" i="36" s="1"/>
  <c r="G15" i="36"/>
  <c r="H15" i="36" s="1"/>
  <c r="G16" i="36"/>
  <c r="H16" i="36"/>
  <c r="G17" i="36"/>
  <c r="H17" i="36"/>
  <c r="G18" i="36"/>
  <c r="H18" i="36"/>
  <c r="G19" i="36"/>
  <c r="H19" i="36" s="1"/>
  <c r="G20" i="36"/>
  <c r="H20" i="36"/>
  <c r="G21" i="36"/>
  <c r="H21" i="36"/>
  <c r="G22" i="36"/>
  <c r="H22" i="36"/>
  <c r="G23" i="36"/>
  <c r="H23" i="36" s="1"/>
  <c r="G24" i="36"/>
  <c r="H24" i="36"/>
  <c r="G25" i="36"/>
  <c r="H25" i="36"/>
  <c r="G26" i="36"/>
  <c r="H26" i="36" s="1"/>
  <c r="G27" i="36"/>
  <c r="H27" i="36" s="1"/>
  <c r="G28" i="36"/>
  <c r="H28" i="36"/>
  <c r="G29" i="36"/>
  <c r="H29" i="36"/>
  <c r="G30" i="36"/>
  <c r="H30" i="36"/>
  <c r="G31" i="36"/>
  <c r="H31" i="36" s="1"/>
  <c r="G32" i="36"/>
  <c r="H32" i="36"/>
  <c r="G33" i="36"/>
  <c r="H33" i="36"/>
  <c r="G34" i="36"/>
  <c r="H34" i="36" s="1"/>
  <c r="G35" i="36"/>
  <c r="H35" i="36" s="1"/>
  <c r="G36" i="36"/>
  <c r="H36" i="36"/>
  <c r="G37" i="36"/>
  <c r="H37" i="36"/>
  <c r="G38" i="36"/>
  <c r="H38" i="36" s="1"/>
  <c r="G39" i="36"/>
  <c r="H39" i="36" s="1"/>
  <c r="G40" i="36"/>
  <c r="H40" i="36"/>
  <c r="G41" i="36"/>
  <c r="H41" i="36"/>
  <c r="G42" i="36"/>
  <c r="H42" i="36" s="1"/>
  <c r="G43" i="36"/>
  <c r="H43" i="36" s="1"/>
  <c r="G44" i="36"/>
  <c r="H44" i="36"/>
  <c r="G45" i="36"/>
  <c r="H45" i="36"/>
  <c r="G46" i="36"/>
  <c r="H46" i="36" s="1"/>
  <c r="G47" i="36"/>
  <c r="H47" i="36" s="1"/>
  <c r="G48" i="36"/>
  <c r="H48" i="36"/>
  <c r="G49" i="36"/>
  <c r="H49" i="36"/>
  <c r="G50" i="36"/>
  <c r="H50" i="36"/>
  <c r="G51" i="36"/>
  <c r="H51" i="36" s="1"/>
  <c r="G52" i="36"/>
  <c r="H52" i="36"/>
  <c r="G53" i="36"/>
  <c r="H53" i="36"/>
  <c r="G54" i="36"/>
  <c r="H54" i="36"/>
  <c r="G55" i="36"/>
  <c r="H55" i="36" s="1"/>
  <c r="G56" i="36"/>
  <c r="H56" i="36"/>
  <c r="G57" i="36"/>
  <c r="H57" i="36"/>
  <c r="G58" i="36"/>
  <c r="H58" i="36" s="1"/>
  <c r="G59" i="36"/>
  <c r="H59" i="36" s="1"/>
  <c r="G60" i="36"/>
  <c r="H60" i="36"/>
  <c r="G61" i="36"/>
  <c r="H61" i="36"/>
  <c r="G62" i="36"/>
  <c r="H62" i="36"/>
  <c r="G63" i="36"/>
  <c r="H63" i="36" s="1"/>
  <c r="G64" i="36"/>
  <c r="H64" i="36"/>
  <c r="E66" i="36"/>
  <c r="J84" i="36"/>
  <c r="J86" i="36" s="1"/>
  <c r="L52" i="35"/>
  <c r="M52" i="35" s="1"/>
  <c r="L3" i="35"/>
  <c r="L4" i="35"/>
  <c r="L5" i="35"/>
  <c r="L6" i="35"/>
  <c r="L7" i="35"/>
  <c r="M7" i="35" s="1"/>
  <c r="L8" i="35"/>
  <c r="L9" i="35"/>
  <c r="M9" i="35" s="1"/>
  <c r="L10" i="35"/>
  <c r="M10" i="35" s="1"/>
  <c r="L11" i="35"/>
  <c r="L12" i="35"/>
  <c r="L13" i="35"/>
  <c r="L14" i="35"/>
  <c r="L15" i="35"/>
  <c r="M15" i="35" s="1"/>
  <c r="L16" i="35"/>
  <c r="M16" i="35" s="1"/>
  <c r="L17" i="35"/>
  <c r="M17" i="35" s="1"/>
  <c r="L18" i="35"/>
  <c r="M18" i="35" s="1"/>
  <c r="L19" i="35"/>
  <c r="L20" i="35"/>
  <c r="L21" i="35"/>
  <c r="L22" i="35"/>
  <c r="L23" i="35"/>
  <c r="M23" i="35" s="1"/>
  <c r="L24" i="35"/>
  <c r="M24" i="35" s="1"/>
  <c r="L25" i="35"/>
  <c r="M25" i="35" s="1"/>
  <c r="L26" i="35"/>
  <c r="M26" i="35" s="1"/>
  <c r="L27" i="35"/>
  <c r="L28" i="35"/>
  <c r="L29" i="35"/>
  <c r="L30" i="35"/>
  <c r="L31" i="35"/>
  <c r="L32" i="35"/>
  <c r="M32" i="35" s="1"/>
  <c r="L33" i="35"/>
  <c r="M33" i="35" s="1"/>
  <c r="L34" i="35"/>
  <c r="M34" i="35" s="1"/>
  <c r="L35" i="35"/>
  <c r="L36" i="35"/>
  <c r="L37" i="35"/>
  <c r="L38" i="35"/>
  <c r="L39" i="35"/>
  <c r="M39" i="35" s="1"/>
  <c r="L40" i="35"/>
  <c r="M40" i="35" s="1"/>
  <c r="L41" i="35"/>
  <c r="M41" i="35" s="1"/>
  <c r="L42" i="35"/>
  <c r="M42" i="35" s="1"/>
  <c r="L43" i="35"/>
  <c r="L44" i="35"/>
  <c r="L45" i="35"/>
  <c r="L46" i="35"/>
  <c r="L47" i="35"/>
  <c r="M47" i="35" s="1"/>
  <c r="L48" i="35"/>
  <c r="M48" i="35" s="1"/>
  <c r="L49" i="35"/>
  <c r="M49" i="35" s="1"/>
  <c r="L50" i="35"/>
  <c r="M50" i="35" s="1"/>
  <c r="L51" i="35"/>
  <c r="J52" i="35"/>
  <c r="J3" i="35"/>
  <c r="M3" i="35" s="1"/>
  <c r="J4" i="35"/>
  <c r="M4" i="35" s="1"/>
  <c r="J5" i="35"/>
  <c r="M5" i="35"/>
  <c r="J6" i="35"/>
  <c r="M6" i="35"/>
  <c r="J7" i="35"/>
  <c r="J8" i="35"/>
  <c r="M8" i="35"/>
  <c r="J9" i="35"/>
  <c r="J10" i="35"/>
  <c r="J11" i="35"/>
  <c r="M11" i="35" s="1"/>
  <c r="J12" i="35"/>
  <c r="M12" i="35" s="1"/>
  <c r="J13" i="35"/>
  <c r="M13" i="35"/>
  <c r="J14" i="35"/>
  <c r="M14" i="35"/>
  <c r="J15" i="35"/>
  <c r="J16" i="35"/>
  <c r="J17" i="35"/>
  <c r="J18" i="35"/>
  <c r="J19" i="35"/>
  <c r="M19" i="35" s="1"/>
  <c r="J20" i="35"/>
  <c r="M20" i="35" s="1"/>
  <c r="J21" i="35"/>
  <c r="M21" i="35"/>
  <c r="J22" i="35"/>
  <c r="M22" i="35"/>
  <c r="J23" i="35"/>
  <c r="J24" i="35"/>
  <c r="J25" i="35"/>
  <c r="J26" i="35"/>
  <c r="J27" i="35"/>
  <c r="M27" i="35" s="1"/>
  <c r="J28" i="35"/>
  <c r="M28" i="35" s="1"/>
  <c r="J29" i="35"/>
  <c r="M29" i="35"/>
  <c r="J30" i="35"/>
  <c r="M30" i="35"/>
  <c r="J31" i="35"/>
  <c r="M31" i="35"/>
  <c r="J32" i="35"/>
  <c r="J33" i="35"/>
  <c r="J34" i="35"/>
  <c r="J35" i="35"/>
  <c r="M35" i="35" s="1"/>
  <c r="J36" i="35"/>
  <c r="M36" i="35"/>
  <c r="J37" i="35"/>
  <c r="M37" i="35"/>
  <c r="J38" i="35"/>
  <c r="M38" i="35"/>
  <c r="J39" i="35"/>
  <c r="J40" i="35"/>
  <c r="J41" i="35"/>
  <c r="J42" i="35"/>
  <c r="J43" i="35"/>
  <c r="M43" i="35" s="1"/>
  <c r="J44" i="35"/>
  <c r="M44" i="35" s="1"/>
  <c r="J45" i="35"/>
  <c r="M45" i="35"/>
  <c r="J46" i="35"/>
  <c r="M46" i="35"/>
  <c r="J47" i="35"/>
  <c r="J48" i="35"/>
  <c r="J49" i="35"/>
  <c r="J50" i="35"/>
  <c r="J51" i="35"/>
  <c r="M51" i="35" s="1"/>
  <c r="G52" i="35"/>
  <c r="H52" i="35" s="1"/>
  <c r="G3" i="35"/>
  <c r="H3" i="35"/>
  <c r="G4" i="35"/>
  <c r="H4" i="35"/>
  <c r="G5" i="35"/>
  <c r="H5" i="35" s="1"/>
  <c r="G6" i="35"/>
  <c r="H6" i="35" s="1"/>
  <c r="G7" i="35"/>
  <c r="H7" i="35"/>
  <c r="G8" i="35"/>
  <c r="H8" i="35"/>
  <c r="G9" i="35"/>
  <c r="H9" i="35" s="1"/>
  <c r="G10" i="35"/>
  <c r="H10" i="35" s="1"/>
  <c r="G11" i="35"/>
  <c r="H11" i="35" s="1"/>
  <c r="G12" i="35"/>
  <c r="H12" i="35"/>
  <c r="G13" i="35"/>
  <c r="H13" i="35"/>
  <c r="G14" i="35"/>
  <c r="H14" i="35" s="1"/>
  <c r="G15" i="35"/>
  <c r="H15" i="35" s="1"/>
  <c r="G16" i="35"/>
  <c r="H16" i="35"/>
  <c r="G17" i="35"/>
  <c r="H17" i="35"/>
  <c r="G18" i="35"/>
  <c r="H18" i="35" s="1"/>
  <c r="G19" i="35"/>
  <c r="H19" i="35" s="1"/>
  <c r="G20" i="35"/>
  <c r="H20" i="35"/>
  <c r="G21" i="35"/>
  <c r="H21" i="35" s="1"/>
  <c r="G22" i="35"/>
  <c r="H22" i="35" s="1"/>
  <c r="G23" i="35"/>
  <c r="H23" i="35" s="1"/>
  <c r="G24" i="35"/>
  <c r="H24" i="35"/>
  <c r="G25" i="35"/>
  <c r="H25" i="35" s="1"/>
  <c r="G26" i="35"/>
  <c r="H26" i="35" s="1"/>
  <c r="G27" i="35"/>
  <c r="H27" i="35" s="1"/>
  <c r="G28" i="35"/>
  <c r="H28" i="35"/>
  <c r="G29" i="35"/>
  <c r="H29" i="35"/>
  <c r="G30" i="35"/>
  <c r="H30" i="35" s="1"/>
  <c r="G31" i="35"/>
  <c r="H31" i="35" s="1"/>
  <c r="G32" i="35"/>
  <c r="H32" i="35"/>
  <c r="G33" i="35"/>
  <c r="H33" i="35"/>
  <c r="G34" i="35"/>
  <c r="H34" i="35" s="1"/>
  <c r="G35" i="35"/>
  <c r="H35" i="35" s="1"/>
  <c r="G36" i="35"/>
  <c r="H36" i="35"/>
  <c r="G37" i="35"/>
  <c r="H37" i="35" s="1"/>
  <c r="G38" i="35"/>
  <c r="H38" i="35" s="1"/>
  <c r="G39" i="35"/>
  <c r="H39" i="35" s="1"/>
  <c r="G40" i="35"/>
  <c r="H40" i="35"/>
  <c r="G41" i="35"/>
  <c r="H41" i="35" s="1"/>
  <c r="G42" i="35"/>
  <c r="H42" i="35" s="1"/>
  <c r="G43" i="35"/>
  <c r="H43" i="35" s="1"/>
  <c r="G44" i="35"/>
  <c r="H44" i="35"/>
  <c r="G45" i="35"/>
  <c r="H45" i="35"/>
  <c r="G46" i="35"/>
  <c r="H46" i="35" s="1"/>
  <c r="G47" i="35"/>
  <c r="H47" i="35" s="1"/>
  <c r="G48" i="35"/>
  <c r="H48" i="35"/>
  <c r="G49" i="35"/>
  <c r="H49" i="35"/>
  <c r="G50" i="35"/>
  <c r="H50" i="35" s="1"/>
  <c r="G51" i="35"/>
  <c r="H51" i="35" s="1"/>
  <c r="E53" i="35"/>
  <c r="G83" i="35"/>
  <c r="H83" i="35" s="1"/>
  <c r="G84" i="35"/>
  <c r="H84" i="35"/>
  <c r="G85" i="35"/>
  <c r="H85" i="35"/>
  <c r="G86" i="35"/>
  <c r="H86" i="35" s="1"/>
  <c r="G87" i="35"/>
  <c r="H87" i="35" s="1"/>
  <c r="G88" i="35"/>
  <c r="H88" i="35"/>
  <c r="J83" i="35"/>
  <c r="J84" i="35"/>
  <c r="M84" i="35" s="1"/>
  <c r="J85" i="35"/>
  <c r="M85" i="35" s="1"/>
  <c r="J86" i="35"/>
  <c r="J87" i="35"/>
  <c r="J88" i="35"/>
  <c r="L85" i="35"/>
  <c r="L83" i="35"/>
  <c r="M83" i="35" s="1"/>
  <c r="L84" i="35"/>
  <c r="L86" i="35"/>
  <c r="L87" i="35"/>
  <c r="L88" i="35"/>
  <c r="M88" i="35" s="1"/>
  <c r="M87" i="35"/>
  <c r="J66" i="35"/>
  <c r="J68" i="35"/>
  <c r="J80" i="35"/>
  <c r="J81" i="35"/>
  <c r="L80" i="35"/>
  <c r="M80" i="35" s="1"/>
  <c r="L81" i="35"/>
  <c r="M81" i="35" s="1"/>
  <c r="G80" i="35"/>
  <c r="H80" i="35"/>
  <c r="G81" i="35"/>
  <c r="H81" i="35"/>
  <c r="J63" i="34"/>
  <c r="J65" i="34" s="1"/>
  <c r="J3" i="34"/>
  <c r="M3" i="34" s="1"/>
  <c r="J4" i="34"/>
  <c r="J5" i="34"/>
  <c r="J6" i="34"/>
  <c r="J7" i="34"/>
  <c r="J8" i="34"/>
  <c r="J9" i="34"/>
  <c r="M9" i="34" s="1"/>
  <c r="J10" i="34"/>
  <c r="M10" i="34" s="1"/>
  <c r="J11" i="34"/>
  <c r="M11" i="34" s="1"/>
  <c r="J12" i="34"/>
  <c r="J13" i="34"/>
  <c r="J14" i="34"/>
  <c r="J15" i="34"/>
  <c r="J16" i="34"/>
  <c r="J17" i="34"/>
  <c r="M17" i="34" s="1"/>
  <c r="J18" i="34"/>
  <c r="M18" i="34" s="1"/>
  <c r="J19" i="34"/>
  <c r="J20" i="34"/>
  <c r="J21" i="34"/>
  <c r="J22" i="34"/>
  <c r="J23" i="34"/>
  <c r="J24" i="34"/>
  <c r="J25" i="34"/>
  <c r="M25" i="34" s="1"/>
  <c r="J26" i="34"/>
  <c r="J27" i="34"/>
  <c r="M27" i="34" s="1"/>
  <c r="J28" i="34"/>
  <c r="J29" i="34"/>
  <c r="J30" i="34"/>
  <c r="J31" i="34"/>
  <c r="J32" i="34"/>
  <c r="J33" i="34"/>
  <c r="J34" i="34"/>
  <c r="J35" i="34"/>
  <c r="J36" i="34"/>
  <c r="J37" i="34"/>
  <c r="J38" i="34"/>
  <c r="J39" i="34"/>
  <c r="J40" i="34"/>
  <c r="J41" i="34"/>
  <c r="J42" i="34"/>
  <c r="J43" i="34"/>
  <c r="J44" i="34"/>
  <c r="J45" i="34"/>
  <c r="J46" i="34"/>
  <c r="J47" i="34"/>
  <c r="J48" i="34"/>
  <c r="J49" i="34"/>
  <c r="E49" i="34"/>
  <c r="G3" i="34"/>
  <c r="H3" i="34" s="1"/>
  <c r="G4" i="34"/>
  <c r="H4" i="34" s="1"/>
  <c r="G5" i="34"/>
  <c r="H5" i="34"/>
  <c r="G6" i="34"/>
  <c r="H6" i="34" s="1"/>
  <c r="G7" i="34"/>
  <c r="H7" i="34" s="1"/>
  <c r="G8" i="34"/>
  <c r="H8" i="34" s="1"/>
  <c r="G9" i="34"/>
  <c r="H9" i="34"/>
  <c r="G10" i="34"/>
  <c r="H10" i="34"/>
  <c r="G11" i="34"/>
  <c r="H11" i="34" s="1"/>
  <c r="G12" i="34"/>
  <c r="H12" i="34" s="1"/>
  <c r="G13" i="34"/>
  <c r="H13" i="34"/>
  <c r="G14" i="34"/>
  <c r="H14" i="34" s="1"/>
  <c r="G15" i="34"/>
  <c r="H15" i="34"/>
  <c r="G16" i="34"/>
  <c r="H16" i="34" s="1"/>
  <c r="G17" i="34"/>
  <c r="H17" i="34"/>
  <c r="G18" i="34"/>
  <c r="H18" i="34"/>
  <c r="G19" i="34"/>
  <c r="H19" i="34"/>
  <c r="G20" i="34"/>
  <c r="H20" i="34" s="1"/>
  <c r="G21" i="34"/>
  <c r="H21" i="34"/>
  <c r="G22" i="34"/>
  <c r="H22" i="34" s="1"/>
  <c r="G23" i="34"/>
  <c r="H23" i="34"/>
  <c r="G24" i="34"/>
  <c r="H24" i="34" s="1"/>
  <c r="G25" i="34"/>
  <c r="H25" i="34"/>
  <c r="G26" i="34"/>
  <c r="H26" i="34"/>
  <c r="G27" i="34"/>
  <c r="H27" i="34"/>
  <c r="G28" i="34"/>
  <c r="H28" i="34" s="1"/>
  <c r="G29" i="34"/>
  <c r="H29" i="34"/>
  <c r="G30" i="34"/>
  <c r="H30" i="34" s="1"/>
  <c r="G31" i="34"/>
  <c r="H31" i="34" s="1"/>
  <c r="G32" i="34"/>
  <c r="H32" i="34" s="1"/>
  <c r="G33" i="34"/>
  <c r="H33" i="34"/>
  <c r="G34" i="34"/>
  <c r="H34" i="34" s="1"/>
  <c r="G35" i="34"/>
  <c r="H35" i="34"/>
  <c r="G36" i="34"/>
  <c r="H36" i="34" s="1"/>
  <c r="G37" i="34"/>
  <c r="H37" i="34"/>
  <c r="G38" i="34"/>
  <c r="H38" i="34" s="1"/>
  <c r="G39" i="34"/>
  <c r="H39" i="34" s="1"/>
  <c r="G40" i="34"/>
  <c r="H40" i="34" s="1"/>
  <c r="G41" i="34"/>
  <c r="H41" i="34" s="1"/>
  <c r="G42" i="34"/>
  <c r="H42" i="34"/>
  <c r="G43" i="34"/>
  <c r="H43" i="34" s="1"/>
  <c r="G44" i="34"/>
  <c r="H44" i="34" s="1"/>
  <c r="G45" i="34"/>
  <c r="H45" i="34"/>
  <c r="G46" i="34"/>
  <c r="H46" i="34"/>
  <c r="G47" i="34"/>
  <c r="H47" i="34"/>
  <c r="G48" i="34"/>
  <c r="H48" i="34" s="1"/>
  <c r="L3" i="34"/>
  <c r="L4" i="34"/>
  <c r="L5" i="34"/>
  <c r="L6" i="34"/>
  <c r="L7" i="34"/>
  <c r="M7" i="34" s="1"/>
  <c r="L8" i="34"/>
  <c r="M8" i="34" s="1"/>
  <c r="L9" i="34"/>
  <c r="L10" i="34"/>
  <c r="L11" i="34"/>
  <c r="L12" i="34"/>
  <c r="L13" i="34"/>
  <c r="L14" i="34"/>
  <c r="L15" i="34"/>
  <c r="L16" i="34"/>
  <c r="M16" i="34" s="1"/>
  <c r="L17" i="34"/>
  <c r="L18" i="34"/>
  <c r="L19" i="34"/>
  <c r="L20" i="34"/>
  <c r="L21" i="34"/>
  <c r="M21" i="34" s="1"/>
  <c r="L22" i="34"/>
  <c r="L23" i="34"/>
  <c r="M23" i="34" s="1"/>
  <c r="L24" i="34"/>
  <c r="M24" i="34" s="1"/>
  <c r="L25" i="34"/>
  <c r="L26" i="34"/>
  <c r="L27" i="34"/>
  <c r="L28" i="34"/>
  <c r="L29" i="34"/>
  <c r="L30" i="34"/>
  <c r="L31" i="34"/>
  <c r="M31" i="34" s="1"/>
  <c r="L32" i="34"/>
  <c r="L33" i="34"/>
  <c r="L34" i="34"/>
  <c r="M34" i="34" s="1"/>
  <c r="L35" i="34"/>
  <c r="L36" i="34"/>
  <c r="L37" i="34"/>
  <c r="L38" i="34"/>
  <c r="L39" i="34"/>
  <c r="M39" i="34" s="1"/>
  <c r="L40" i="34"/>
  <c r="M40" i="34" s="1"/>
  <c r="L41" i="34"/>
  <c r="L42" i="34"/>
  <c r="M42" i="34" s="1"/>
  <c r="L43" i="34"/>
  <c r="L44" i="34"/>
  <c r="L45" i="34"/>
  <c r="L46" i="34"/>
  <c r="L47" i="34"/>
  <c r="M47" i="34" s="1"/>
  <c r="L48" i="34"/>
  <c r="M48" i="34" s="1"/>
  <c r="M4" i="34"/>
  <c r="M5" i="34"/>
  <c r="M6" i="34"/>
  <c r="M12" i="34"/>
  <c r="M13" i="34"/>
  <c r="M14" i="34"/>
  <c r="M15" i="34"/>
  <c r="M19" i="34"/>
  <c r="M20" i="34"/>
  <c r="M22" i="34"/>
  <c r="M26" i="34"/>
  <c r="M28" i="34"/>
  <c r="M29" i="34"/>
  <c r="M30" i="34"/>
  <c r="M32" i="34"/>
  <c r="M33" i="34"/>
  <c r="M35" i="34"/>
  <c r="M36" i="34"/>
  <c r="M37" i="34"/>
  <c r="M38" i="34"/>
  <c r="M41" i="34"/>
  <c r="M43" i="34"/>
  <c r="M44" i="34"/>
  <c r="M45" i="34"/>
  <c r="M46" i="34"/>
  <c r="E32" i="33"/>
  <c r="J45" i="33"/>
  <c r="J47" i="33"/>
  <c r="J3" i="33"/>
  <c r="J4" i="33"/>
  <c r="J5" i="33"/>
  <c r="J6" i="33"/>
  <c r="J7" i="33"/>
  <c r="J8" i="33"/>
  <c r="J9" i="33"/>
  <c r="M9" i="33" s="1"/>
  <c r="J10" i="33"/>
  <c r="J11" i="33"/>
  <c r="M11" i="33" s="1"/>
  <c r="J12" i="33"/>
  <c r="J13" i="33"/>
  <c r="J14" i="33"/>
  <c r="J15" i="33"/>
  <c r="J16" i="33"/>
  <c r="J17" i="33"/>
  <c r="M17" i="33" s="1"/>
  <c r="J18" i="33"/>
  <c r="J19" i="33"/>
  <c r="J20" i="33"/>
  <c r="J21" i="33"/>
  <c r="J22" i="33"/>
  <c r="J23" i="33"/>
  <c r="J24" i="33"/>
  <c r="J25" i="33"/>
  <c r="M25" i="33" s="1"/>
  <c r="J26" i="33"/>
  <c r="J27" i="33"/>
  <c r="J28" i="33"/>
  <c r="J29" i="33"/>
  <c r="J30" i="33"/>
  <c r="J31" i="33"/>
  <c r="L3" i="33"/>
  <c r="L4" i="33"/>
  <c r="L5" i="33"/>
  <c r="M5" i="33" s="1"/>
  <c r="L6" i="33"/>
  <c r="M6" i="33" s="1"/>
  <c r="L7" i="33"/>
  <c r="L8" i="33"/>
  <c r="L9" i="33"/>
  <c r="L10" i="33"/>
  <c r="L11" i="33"/>
  <c r="L12" i="33"/>
  <c r="M12" i="33" s="1"/>
  <c r="L13" i="33"/>
  <c r="M13" i="33" s="1"/>
  <c r="L14" i="33"/>
  <c r="L15" i="33"/>
  <c r="L16" i="33"/>
  <c r="L17" i="33"/>
  <c r="L18" i="33"/>
  <c r="L19" i="33"/>
  <c r="L20" i="33"/>
  <c r="M20" i="33" s="1"/>
  <c r="L21" i="33"/>
  <c r="L22" i="33"/>
  <c r="L23" i="33"/>
  <c r="L24" i="33"/>
  <c r="L25" i="33"/>
  <c r="L26" i="33"/>
  <c r="L27" i="33"/>
  <c r="L28" i="33"/>
  <c r="M28" i="33" s="1"/>
  <c r="L29" i="33"/>
  <c r="M29" i="33" s="1"/>
  <c r="L30" i="33"/>
  <c r="L31" i="33"/>
  <c r="G3" i="33"/>
  <c r="H3" i="33"/>
  <c r="G4" i="33"/>
  <c r="H4" i="33" s="1"/>
  <c r="G5" i="33"/>
  <c r="H5" i="33" s="1"/>
  <c r="G6" i="33"/>
  <c r="H6" i="33"/>
  <c r="G7" i="33"/>
  <c r="H7" i="33"/>
  <c r="G8" i="33"/>
  <c r="H8" i="33"/>
  <c r="G9" i="33"/>
  <c r="H9" i="33" s="1"/>
  <c r="G10" i="33"/>
  <c r="H10" i="33"/>
  <c r="G11" i="33"/>
  <c r="H11" i="33"/>
  <c r="G12" i="33"/>
  <c r="H12" i="33" s="1"/>
  <c r="G13" i="33"/>
  <c r="H13" i="33" s="1"/>
  <c r="G14" i="33"/>
  <c r="H14" i="33"/>
  <c r="G15" i="33"/>
  <c r="H15" i="33"/>
  <c r="G16" i="33"/>
  <c r="H16" i="33" s="1"/>
  <c r="G17" i="33"/>
  <c r="H17" i="33" s="1"/>
  <c r="G18" i="33"/>
  <c r="H18" i="33"/>
  <c r="G19" i="33"/>
  <c r="H19" i="33"/>
  <c r="G20" i="33"/>
  <c r="H20" i="33" s="1"/>
  <c r="G21" i="33"/>
  <c r="H21" i="33" s="1"/>
  <c r="G22" i="33"/>
  <c r="H22" i="33"/>
  <c r="G23" i="33"/>
  <c r="H23" i="33"/>
  <c r="G24" i="33"/>
  <c r="H24" i="33" s="1"/>
  <c r="G25" i="33"/>
  <c r="H25" i="33" s="1"/>
  <c r="G26" i="33"/>
  <c r="H26" i="33"/>
  <c r="G27" i="33"/>
  <c r="H27" i="33"/>
  <c r="G28" i="33"/>
  <c r="H28" i="33"/>
  <c r="G29" i="33"/>
  <c r="H29" i="33" s="1"/>
  <c r="G30" i="33"/>
  <c r="H30" i="33"/>
  <c r="G31" i="33"/>
  <c r="H31" i="33"/>
  <c r="M3" i="33"/>
  <c r="M4" i="33"/>
  <c r="M7" i="33"/>
  <c r="M10" i="33"/>
  <c r="M14" i="33"/>
  <c r="M15" i="33"/>
  <c r="M19" i="33"/>
  <c r="M21" i="33"/>
  <c r="M22" i="33"/>
  <c r="M23" i="33"/>
  <c r="M30" i="33"/>
  <c r="M31" i="33"/>
  <c r="G54" i="33"/>
  <c r="H54" i="33" s="1"/>
  <c r="G55" i="33"/>
  <c r="H55" i="33" s="1"/>
  <c r="G56" i="33"/>
  <c r="H56" i="33" s="1"/>
  <c r="G57" i="33"/>
  <c r="H57" i="33" s="1"/>
  <c r="G58" i="33"/>
  <c r="H58" i="33" s="1"/>
  <c r="G59" i="33"/>
  <c r="H59" i="33"/>
  <c r="G60" i="33"/>
  <c r="H60" i="33"/>
  <c r="G61" i="33"/>
  <c r="H61" i="33" s="1"/>
  <c r="G62" i="33"/>
  <c r="H62" i="33"/>
  <c r="G63" i="33"/>
  <c r="H63" i="33" s="1"/>
  <c r="L63" i="33"/>
  <c r="J63" i="33"/>
  <c r="M63" i="33"/>
  <c r="L62" i="33"/>
  <c r="J62" i="33"/>
  <c r="M62" i="33" s="1"/>
  <c r="L61" i="33"/>
  <c r="M61" i="33" s="1"/>
  <c r="J61" i="33"/>
  <c r="L60" i="33"/>
  <c r="J60" i="33"/>
  <c r="L59" i="33"/>
  <c r="M59" i="33" s="1"/>
  <c r="J59" i="33"/>
  <c r="L58" i="33"/>
  <c r="M58" i="33" s="1"/>
  <c r="J58" i="33"/>
  <c r="L57" i="33"/>
  <c r="J57" i="33"/>
  <c r="M57" i="33"/>
  <c r="L56" i="33"/>
  <c r="J56" i="33"/>
  <c r="L55" i="33"/>
  <c r="M55" i="33" s="1"/>
  <c r="J55" i="33"/>
  <c r="L54" i="33"/>
  <c r="J54" i="33"/>
  <c r="M54" i="33"/>
  <c r="J70" i="31"/>
  <c r="M70" i="31" s="1"/>
  <c r="L70" i="31"/>
  <c r="L48" i="32"/>
  <c r="L50" i="32"/>
  <c r="D49" i="32"/>
  <c r="D51" i="32" s="1"/>
  <c r="E37" i="32"/>
  <c r="G3" i="32"/>
  <c r="H3" i="32"/>
  <c r="G4" i="32"/>
  <c r="H4" i="32" s="1"/>
  <c r="G5" i="32"/>
  <c r="H5" i="32"/>
  <c r="G6" i="32"/>
  <c r="H6" i="32"/>
  <c r="G7" i="32"/>
  <c r="H7" i="32" s="1"/>
  <c r="G8" i="32"/>
  <c r="H8" i="32" s="1"/>
  <c r="G9" i="32"/>
  <c r="H9" i="32"/>
  <c r="G10" i="32"/>
  <c r="H10" i="32"/>
  <c r="G11" i="32"/>
  <c r="H11" i="32"/>
  <c r="G12" i="32"/>
  <c r="H12" i="32" s="1"/>
  <c r="G13" i="32"/>
  <c r="H13" i="32"/>
  <c r="G14" i="32"/>
  <c r="H14" i="32"/>
  <c r="G15" i="32"/>
  <c r="H15" i="32" s="1"/>
  <c r="G16" i="32"/>
  <c r="H16" i="32" s="1"/>
  <c r="G17" i="32"/>
  <c r="H17" i="32"/>
  <c r="G18" i="32"/>
  <c r="H18" i="32"/>
  <c r="G19" i="32"/>
  <c r="H19" i="32" s="1"/>
  <c r="G20" i="32"/>
  <c r="H20" i="32" s="1"/>
  <c r="G21" i="32"/>
  <c r="H21" i="32"/>
  <c r="G22" i="32"/>
  <c r="H22" i="32"/>
  <c r="G23" i="32"/>
  <c r="H23" i="32"/>
  <c r="G24" i="32"/>
  <c r="H24" i="32" s="1"/>
  <c r="G25" i="32"/>
  <c r="H25" i="32"/>
  <c r="G26" i="32"/>
  <c r="H26" i="32"/>
  <c r="G27" i="32"/>
  <c r="H27" i="32" s="1"/>
  <c r="G28" i="32"/>
  <c r="H28" i="32" s="1"/>
  <c r="G29" i="32"/>
  <c r="H29" i="32"/>
  <c r="G30" i="32"/>
  <c r="H30" i="32"/>
  <c r="G31" i="32"/>
  <c r="H31" i="32"/>
  <c r="G32" i="32"/>
  <c r="H32" i="32" s="1"/>
  <c r="G33" i="32"/>
  <c r="H33" i="32"/>
  <c r="G34" i="32"/>
  <c r="H34" i="32"/>
  <c r="G35" i="32"/>
  <c r="H35" i="32"/>
  <c r="G36" i="32"/>
  <c r="H36" i="32" s="1"/>
  <c r="L3" i="32"/>
  <c r="L4" i="32"/>
  <c r="L5" i="32"/>
  <c r="M5" i="32" s="1"/>
  <c r="L6" i="32"/>
  <c r="M6" i="32" s="1"/>
  <c r="L7" i="32"/>
  <c r="L8" i="32"/>
  <c r="L9" i="32"/>
  <c r="L10" i="32"/>
  <c r="L11" i="32"/>
  <c r="L12" i="32"/>
  <c r="L13" i="32"/>
  <c r="M13" i="32" s="1"/>
  <c r="L14" i="32"/>
  <c r="M14" i="32" s="1"/>
  <c r="L15" i="32"/>
  <c r="M15" i="32" s="1"/>
  <c r="L16" i="32"/>
  <c r="L17" i="32"/>
  <c r="L18" i="32"/>
  <c r="L19" i="32"/>
  <c r="L20" i="32"/>
  <c r="L21" i="32"/>
  <c r="M21" i="32" s="1"/>
  <c r="L22" i="32"/>
  <c r="M22" i="32" s="1"/>
  <c r="L23" i="32"/>
  <c r="M23" i="32" s="1"/>
  <c r="L24" i="32"/>
  <c r="M24" i="32" s="1"/>
  <c r="L25" i="32"/>
  <c r="L26" i="32"/>
  <c r="L27" i="32"/>
  <c r="L28" i="32"/>
  <c r="L29" i="32"/>
  <c r="M29" i="32" s="1"/>
  <c r="L30" i="32"/>
  <c r="M30" i="32" s="1"/>
  <c r="L31" i="32"/>
  <c r="M31" i="32" s="1"/>
  <c r="L32" i="32"/>
  <c r="M32" i="32" s="1"/>
  <c r="L33" i="32"/>
  <c r="M33" i="32" s="1"/>
  <c r="L34" i="32"/>
  <c r="L35" i="32"/>
  <c r="L36" i="32"/>
  <c r="L37" i="32"/>
  <c r="J3" i="32"/>
  <c r="M3" i="32" s="1"/>
  <c r="J4" i="32"/>
  <c r="M4" i="32" s="1"/>
  <c r="J5" i="32"/>
  <c r="J6" i="32"/>
  <c r="J7" i="32"/>
  <c r="J8" i="32"/>
  <c r="J9" i="32"/>
  <c r="J10" i="32"/>
  <c r="J11" i="32"/>
  <c r="M11" i="32" s="1"/>
  <c r="J12" i="32"/>
  <c r="M12" i="32" s="1"/>
  <c r="J13" i="32"/>
  <c r="J14" i="32"/>
  <c r="J15" i="32"/>
  <c r="J16" i="32"/>
  <c r="J17" i="32"/>
  <c r="J18" i="32"/>
  <c r="M18" i="32" s="1"/>
  <c r="J19" i="32"/>
  <c r="M19" i="32" s="1"/>
  <c r="J20" i="32"/>
  <c r="M20" i="32" s="1"/>
  <c r="J21" i="32"/>
  <c r="J22" i="32"/>
  <c r="J23" i="32"/>
  <c r="J24" i="32"/>
  <c r="J25" i="32"/>
  <c r="J26" i="32"/>
  <c r="J27" i="32"/>
  <c r="J28" i="32"/>
  <c r="J29" i="32"/>
  <c r="J30" i="32"/>
  <c r="J31" i="32"/>
  <c r="J32" i="32"/>
  <c r="J33" i="32"/>
  <c r="J34" i="32"/>
  <c r="J35" i="32"/>
  <c r="J36" i="32"/>
  <c r="M36" i="32" s="1"/>
  <c r="M7" i="32"/>
  <c r="M8" i="32"/>
  <c r="M9" i="32"/>
  <c r="M10" i="32"/>
  <c r="M16" i="32"/>
  <c r="M17" i="32"/>
  <c r="M25" i="32"/>
  <c r="M26" i="32"/>
  <c r="M27" i="32"/>
  <c r="M28" i="32"/>
  <c r="M34" i="32"/>
  <c r="M35" i="32"/>
  <c r="G54" i="32"/>
  <c r="G55" i="32"/>
  <c r="G56" i="32"/>
  <c r="L54" i="32"/>
  <c r="J54" i="32"/>
  <c r="M54" i="32"/>
  <c r="L55" i="32"/>
  <c r="M55" i="32" s="1"/>
  <c r="J55" i="32"/>
  <c r="L56" i="32"/>
  <c r="M56" i="32" s="1"/>
  <c r="J56" i="32"/>
  <c r="G112" i="31"/>
  <c r="H112" i="31" s="1"/>
  <c r="J112" i="31"/>
  <c r="L112" i="31"/>
  <c r="G113" i="31"/>
  <c r="H113" i="31" s="1"/>
  <c r="J113" i="31"/>
  <c r="L113" i="31"/>
  <c r="M113" i="31" s="1"/>
  <c r="G114" i="31"/>
  <c r="H114" i="31"/>
  <c r="J114" i="31"/>
  <c r="L114" i="31"/>
  <c r="M114" i="31" s="1"/>
  <c r="L92" i="31"/>
  <c r="M92" i="31" s="1"/>
  <c r="J92" i="31"/>
  <c r="G92" i="31"/>
  <c r="H92" i="31"/>
  <c r="L91" i="31"/>
  <c r="J91" i="31"/>
  <c r="M91" i="31"/>
  <c r="G91" i="31"/>
  <c r="H91" i="31" s="1"/>
  <c r="L90" i="31"/>
  <c r="J90" i="31"/>
  <c r="M90" i="31"/>
  <c r="G90" i="31"/>
  <c r="H90" i="31"/>
  <c r="L89" i="31"/>
  <c r="M89" i="31" s="1"/>
  <c r="J89" i="31"/>
  <c r="G89" i="31"/>
  <c r="H89" i="31" s="1"/>
  <c r="L88" i="31"/>
  <c r="M88" i="31" s="1"/>
  <c r="J88" i="31"/>
  <c r="G88" i="31"/>
  <c r="H88" i="31" s="1"/>
  <c r="J103" i="31"/>
  <c r="J105" i="31" s="1"/>
  <c r="L78" i="31"/>
  <c r="J78" i="31"/>
  <c r="L79" i="31"/>
  <c r="J79" i="31"/>
  <c r="L80" i="31"/>
  <c r="M80" i="31" s="1"/>
  <c r="J80" i="31"/>
  <c r="L81" i="31"/>
  <c r="J81" i="31"/>
  <c r="M81" i="31"/>
  <c r="L82" i="31"/>
  <c r="M82" i="31" s="1"/>
  <c r="J82" i="31"/>
  <c r="L83" i="31"/>
  <c r="J83" i="31"/>
  <c r="M83" i="31"/>
  <c r="L84" i="31"/>
  <c r="J84" i="31"/>
  <c r="M84" i="31"/>
  <c r="L85" i="31"/>
  <c r="M85" i="31" s="1"/>
  <c r="J85" i="31"/>
  <c r="L86" i="31"/>
  <c r="J86" i="31"/>
  <c r="M86" i="31"/>
  <c r="L87" i="31"/>
  <c r="M87" i="31" s="1"/>
  <c r="J87" i="31"/>
  <c r="G78" i="31"/>
  <c r="H78" i="31" s="1"/>
  <c r="G79" i="31"/>
  <c r="H79" i="31" s="1"/>
  <c r="G80" i="31"/>
  <c r="H80" i="31" s="1"/>
  <c r="G81" i="31"/>
  <c r="H81" i="31" s="1"/>
  <c r="G82" i="31"/>
  <c r="H82" i="31" s="1"/>
  <c r="G83" i="31"/>
  <c r="H83" i="31" s="1"/>
  <c r="G84" i="31"/>
  <c r="H84" i="31" s="1"/>
  <c r="G85" i="31"/>
  <c r="H85" i="31" s="1"/>
  <c r="G86" i="31"/>
  <c r="H86" i="31"/>
  <c r="G87" i="31"/>
  <c r="H87" i="31" s="1"/>
  <c r="E93" i="31"/>
  <c r="J61" i="31"/>
  <c r="J63" i="31" s="1"/>
  <c r="E48" i="31"/>
  <c r="G3" i="31"/>
  <c r="H3" i="31" s="1"/>
  <c r="G4" i="31"/>
  <c r="H4" i="31" s="1"/>
  <c r="G5" i="31"/>
  <c r="H5" i="31" s="1"/>
  <c r="G6" i="31"/>
  <c r="H6" i="31"/>
  <c r="G7" i="31"/>
  <c r="H7" i="31" s="1"/>
  <c r="G8" i="31"/>
  <c r="H8" i="31" s="1"/>
  <c r="G9" i="31"/>
  <c r="H9" i="31" s="1"/>
  <c r="G10" i="31"/>
  <c r="H10" i="31"/>
  <c r="G11" i="31"/>
  <c r="H11" i="31" s="1"/>
  <c r="G12" i="31"/>
  <c r="H12" i="31" s="1"/>
  <c r="G70" i="31"/>
  <c r="H70" i="31" s="1"/>
  <c r="G13" i="31"/>
  <c r="H13" i="31"/>
  <c r="G14" i="31"/>
  <c r="H14" i="31" s="1"/>
  <c r="G15" i="31"/>
  <c r="H15" i="31" s="1"/>
  <c r="G16" i="31"/>
  <c r="H16" i="31" s="1"/>
  <c r="G17" i="31"/>
  <c r="H17" i="31"/>
  <c r="G18" i="31"/>
  <c r="H18" i="31" s="1"/>
  <c r="G19" i="31"/>
  <c r="H19" i="31" s="1"/>
  <c r="G20" i="31"/>
  <c r="H20" i="31" s="1"/>
  <c r="G21" i="31"/>
  <c r="H21" i="31"/>
  <c r="G22" i="31"/>
  <c r="H22" i="31" s="1"/>
  <c r="G23" i="31"/>
  <c r="H23" i="31" s="1"/>
  <c r="G24" i="31"/>
  <c r="H24" i="31" s="1"/>
  <c r="G25" i="31"/>
  <c r="H25" i="31"/>
  <c r="G26" i="31"/>
  <c r="H26" i="31" s="1"/>
  <c r="G27" i="31"/>
  <c r="H27" i="31" s="1"/>
  <c r="G28" i="31"/>
  <c r="H28" i="31" s="1"/>
  <c r="G29" i="31"/>
  <c r="H29" i="31"/>
  <c r="G30" i="31"/>
  <c r="H30" i="31" s="1"/>
  <c r="G31" i="31"/>
  <c r="H31" i="31" s="1"/>
  <c r="G32" i="31"/>
  <c r="H32" i="31" s="1"/>
  <c r="G33" i="31"/>
  <c r="H33" i="31"/>
  <c r="G34" i="31"/>
  <c r="H34" i="31" s="1"/>
  <c r="G35" i="31"/>
  <c r="H35" i="31" s="1"/>
  <c r="G36" i="31"/>
  <c r="H36" i="31" s="1"/>
  <c r="G37" i="31"/>
  <c r="H37" i="31"/>
  <c r="G38" i="31"/>
  <c r="H38" i="31" s="1"/>
  <c r="G39" i="31"/>
  <c r="H39" i="31" s="1"/>
  <c r="G40" i="31"/>
  <c r="H40" i="31" s="1"/>
  <c r="G41" i="31"/>
  <c r="H41" i="31"/>
  <c r="G42" i="31"/>
  <c r="H42" i="31" s="1"/>
  <c r="G43" i="31"/>
  <c r="H43" i="31" s="1"/>
  <c r="G44" i="31"/>
  <c r="H44" i="31" s="1"/>
  <c r="G45" i="31"/>
  <c r="H45" i="31"/>
  <c r="G46" i="31"/>
  <c r="H46" i="31" s="1"/>
  <c r="G47" i="31"/>
  <c r="H47" i="31" s="1"/>
  <c r="J3" i="31"/>
  <c r="J4" i="31"/>
  <c r="J5" i="31"/>
  <c r="M5" i="31" s="1"/>
  <c r="J6" i="31"/>
  <c r="M6" i="31" s="1"/>
  <c r="J7" i="31"/>
  <c r="J8" i="31"/>
  <c r="J9" i="31"/>
  <c r="J10" i="31"/>
  <c r="J11" i="31"/>
  <c r="J12" i="31"/>
  <c r="J13" i="31"/>
  <c r="M13" i="31" s="1"/>
  <c r="J14" i="31"/>
  <c r="M14" i="31" s="1"/>
  <c r="J15" i="31"/>
  <c r="J16" i="31"/>
  <c r="J17" i="31"/>
  <c r="J18" i="31"/>
  <c r="J19" i="31"/>
  <c r="J20" i="31"/>
  <c r="J21" i="31"/>
  <c r="M21" i="31" s="1"/>
  <c r="J22" i="31"/>
  <c r="M22" i="31" s="1"/>
  <c r="J23" i="31"/>
  <c r="J24" i="31"/>
  <c r="M24" i="31" s="1"/>
  <c r="J25" i="31"/>
  <c r="J26" i="31"/>
  <c r="J27" i="31"/>
  <c r="J28" i="31"/>
  <c r="J29" i="31"/>
  <c r="M29" i="31" s="1"/>
  <c r="J30" i="31"/>
  <c r="M30" i="31" s="1"/>
  <c r="J31" i="31"/>
  <c r="J32" i="31"/>
  <c r="M32" i="31" s="1"/>
  <c r="J33" i="31"/>
  <c r="J34" i="31"/>
  <c r="J35" i="31"/>
  <c r="J36" i="31"/>
  <c r="J37" i="31"/>
  <c r="M37" i="31" s="1"/>
  <c r="J38" i="31"/>
  <c r="M38" i="31" s="1"/>
  <c r="J39" i="31"/>
  <c r="J40" i="31"/>
  <c r="M40" i="31" s="1"/>
  <c r="J41" i="31"/>
  <c r="J42" i="31"/>
  <c r="J43" i="31"/>
  <c r="J44" i="31"/>
  <c r="J45" i="31"/>
  <c r="M45" i="31" s="1"/>
  <c r="J46" i="31"/>
  <c r="M46" i="31" s="1"/>
  <c r="J47" i="31"/>
  <c r="J48" i="31"/>
  <c r="L3" i="31"/>
  <c r="L4" i="31"/>
  <c r="L5" i="31"/>
  <c r="L6" i="31"/>
  <c r="L7" i="31"/>
  <c r="M7" i="31" s="1"/>
  <c r="L8" i="31"/>
  <c r="L9" i="31"/>
  <c r="L10" i="31"/>
  <c r="L11" i="31"/>
  <c r="L12" i="31"/>
  <c r="L13" i="31"/>
  <c r="L14" i="31"/>
  <c r="L15" i="31"/>
  <c r="M15" i="31" s="1"/>
  <c r="L16" i="31"/>
  <c r="L17" i="31"/>
  <c r="L18" i="31"/>
  <c r="L19" i="31"/>
  <c r="L20" i="31"/>
  <c r="L21" i="31"/>
  <c r="L22" i="31"/>
  <c r="L23" i="31"/>
  <c r="L24" i="31"/>
  <c r="L25" i="31"/>
  <c r="L26" i="31"/>
  <c r="M26" i="31" s="1"/>
  <c r="L27" i="31"/>
  <c r="L28" i="31"/>
  <c r="L29" i="31"/>
  <c r="L30" i="31"/>
  <c r="L31" i="31"/>
  <c r="L32" i="31"/>
  <c r="L33" i="31"/>
  <c r="L34" i="31"/>
  <c r="M34" i="31" s="1"/>
  <c r="L35" i="31"/>
  <c r="L36" i="31"/>
  <c r="L37" i="31"/>
  <c r="L38" i="31"/>
  <c r="L39" i="31"/>
  <c r="L40" i="31"/>
  <c r="L41" i="31"/>
  <c r="L42" i="31"/>
  <c r="M42" i="31" s="1"/>
  <c r="L43" i="31"/>
  <c r="L44" i="31"/>
  <c r="L45" i="31"/>
  <c r="L46" i="31"/>
  <c r="L47" i="31"/>
  <c r="M47" i="31" s="1"/>
  <c r="M3" i="31"/>
  <c r="M4" i="31"/>
  <c r="M8" i="31"/>
  <c r="M9" i="31"/>
  <c r="M11" i="31"/>
  <c r="M12" i="31"/>
  <c r="M16" i="31"/>
  <c r="M17" i="31"/>
  <c r="M18" i="31"/>
  <c r="M19" i="31"/>
  <c r="M20" i="31"/>
  <c r="M23" i="31"/>
  <c r="M25" i="31"/>
  <c r="M27" i="31"/>
  <c r="M28" i="31"/>
  <c r="M31" i="31"/>
  <c r="M33" i="31"/>
  <c r="M35" i="31"/>
  <c r="M36" i="31"/>
  <c r="M39" i="31"/>
  <c r="M41" i="31"/>
  <c r="M43" i="31"/>
  <c r="M44" i="31"/>
  <c r="L44" i="30"/>
  <c r="M44" i="30" s="1"/>
  <c r="L3" i="30"/>
  <c r="M3" i="30" s="1"/>
  <c r="L4" i="30"/>
  <c r="M4" i="30" s="1"/>
  <c r="L5" i="30"/>
  <c r="L6" i="30"/>
  <c r="L7" i="30"/>
  <c r="M7" i="30" s="1"/>
  <c r="L8" i="30"/>
  <c r="L9" i="30"/>
  <c r="L10" i="30"/>
  <c r="M10" i="30" s="1"/>
  <c r="L11" i="30"/>
  <c r="M11" i="30" s="1"/>
  <c r="L12" i="30"/>
  <c r="L13" i="30"/>
  <c r="L14" i="30"/>
  <c r="L15" i="30"/>
  <c r="M15" i="30" s="1"/>
  <c r="L16" i="30"/>
  <c r="L17" i="30"/>
  <c r="L18" i="30"/>
  <c r="M18" i="30" s="1"/>
  <c r="L19" i="30"/>
  <c r="M19" i="30" s="1"/>
  <c r="L20" i="30"/>
  <c r="L21" i="30"/>
  <c r="L22" i="30"/>
  <c r="L23" i="30"/>
  <c r="L24" i="30"/>
  <c r="L25" i="30"/>
  <c r="L26" i="30"/>
  <c r="M26" i="30" s="1"/>
  <c r="L27" i="30"/>
  <c r="M27" i="30" s="1"/>
  <c r="L28" i="30"/>
  <c r="M28" i="30" s="1"/>
  <c r="L29" i="30"/>
  <c r="L30" i="30"/>
  <c r="L31" i="30"/>
  <c r="L32" i="30"/>
  <c r="L33" i="30"/>
  <c r="L34" i="30"/>
  <c r="L35" i="30"/>
  <c r="L36" i="30"/>
  <c r="L37" i="30"/>
  <c r="L38" i="30"/>
  <c r="L39" i="30"/>
  <c r="L40" i="30"/>
  <c r="L41" i="30"/>
  <c r="L42" i="30"/>
  <c r="M42" i="30" s="1"/>
  <c r="L43" i="30"/>
  <c r="M43" i="30" s="1"/>
  <c r="J44" i="30"/>
  <c r="J3" i="30"/>
  <c r="J4" i="30"/>
  <c r="J5" i="30"/>
  <c r="M5" i="30"/>
  <c r="J6" i="30"/>
  <c r="M6" i="30" s="1"/>
  <c r="J7" i="30"/>
  <c r="J8" i="30"/>
  <c r="M8" i="30" s="1"/>
  <c r="J9" i="30"/>
  <c r="M9" i="30" s="1"/>
  <c r="J10" i="30"/>
  <c r="J11" i="30"/>
  <c r="J12" i="30"/>
  <c r="M12" i="30" s="1"/>
  <c r="J13" i="30"/>
  <c r="M13" i="30" s="1"/>
  <c r="J14" i="30"/>
  <c r="M14" i="30" s="1"/>
  <c r="J15" i="30"/>
  <c r="J16" i="30"/>
  <c r="M16" i="30" s="1"/>
  <c r="J17" i="30"/>
  <c r="M17" i="30" s="1"/>
  <c r="J18" i="30"/>
  <c r="J19" i="30"/>
  <c r="J20" i="30"/>
  <c r="M20" i="30"/>
  <c r="J21" i="30"/>
  <c r="M21" i="30" s="1"/>
  <c r="J22" i="30"/>
  <c r="M22" i="30" s="1"/>
  <c r="J23" i="30"/>
  <c r="J24" i="30"/>
  <c r="M24" i="30" s="1"/>
  <c r="J25" i="30"/>
  <c r="M25" i="30" s="1"/>
  <c r="J26" i="30"/>
  <c r="J27" i="30"/>
  <c r="J28" i="30"/>
  <c r="J29" i="30"/>
  <c r="M29" i="30"/>
  <c r="J30" i="30"/>
  <c r="M30" i="30" s="1"/>
  <c r="J31" i="30"/>
  <c r="J32" i="30"/>
  <c r="M32" i="30" s="1"/>
  <c r="J33" i="30"/>
  <c r="M33" i="30" s="1"/>
  <c r="J34" i="30"/>
  <c r="M34" i="30" s="1"/>
  <c r="J35" i="30"/>
  <c r="J36" i="30"/>
  <c r="J37" i="30"/>
  <c r="M37" i="30"/>
  <c r="J38" i="30"/>
  <c r="M38" i="30"/>
  <c r="J39" i="30"/>
  <c r="J40" i="30"/>
  <c r="M40" i="30" s="1"/>
  <c r="J41" i="30"/>
  <c r="M41" i="30" s="1"/>
  <c r="J42" i="30"/>
  <c r="J43" i="30"/>
  <c r="G44" i="30"/>
  <c r="H44" i="30"/>
  <c r="G3" i="30"/>
  <c r="H3" i="30" s="1"/>
  <c r="G4" i="30"/>
  <c r="H4" i="30" s="1"/>
  <c r="G5" i="30"/>
  <c r="H5" i="30"/>
  <c r="G6" i="30"/>
  <c r="H6" i="30" s="1"/>
  <c r="G7" i="30"/>
  <c r="H7" i="30" s="1"/>
  <c r="G8" i="30"/>
  <c r="H8" i="30" s="1"/>
  <c r="G9" i="30"/>
  <c r="H9" i="30"/>
  <c r="G10" i="30"/>
  <c r="H10" i="30" s="1"/>
  <c r="G11" i="30"/>
  <c r="H11" i="30" s="1"/>
  <c r="G12" i="30"/>
  <c r="H12" i="30" s="1"/>
  <c r="G13" i="30"/>
  <c r="H13" i="30"/>
  <c r="G14" i="30"/>
  <c r="H14" i="30" s="1"/>
  <c r="G15" i="30"/>
  <c r="H15" i="30" s="1"/>
  <c r="G16" i="30"/>
  <c r="H16" i="30" s="1"/>
  <c r="G17" i="30"/>
  <c r="H17" i="30"/>
  <c r="G18" i="30"/>
  <c r="H18" i="30"/>
  <c r="G19" i="30"/>
  <c r="H19" i="30" s="1"/>
  <c r="G20" i="30"/>
  <c r="H20" i="30" s="1"/>
  <c r="G21" i="30"/>
  <c r="H21" i="30"/>
  <c r="G22" i="30"/>
  <c r="H22" i="30"/>
  <c r="G23" i="30"/>
  <c r="H23" i="30" s="1"/>
  <c r="G24" i="30"/>
  <c r="H24" i="30" s="1"/>
  <c r="G25" i="30"/>
  <c r="H25" i="30"/>
  <c r="G26" i="30"/>
  <c r="H26" i="30" s="1"/>
  <c r="G27" i="30"/>
  <c r="H27" i="30" s="1"/>
  <c r="G28" i="30"/>
  <c r="H28" i="30" s="1"/>
  <c r="G29" i="30"/>
  <c r="H29" i="30"/>
  <c r="G30" i="30"/>
  <c r="H30" i="30" s="1"/>
  <c r="G31" i="30"/>
  <c r="H31" i="30" s="1"/>
  <c r="G32" i="30"/>
  <c r="H32" i="30" s="1"/>
  <c r="G33" i="30"/>
  <c r="H33" i="30"/>
  <c r="G34" i="30"/>
  <c r="H34" i="30"/>
  <c r="G35" i="30"/>
  <c r="H35" i="30" s="1"/>
  <c r="G36" i="30"/>
  <c r="H36" i="30" s="1"/>
  <c r="G37" i="30"/>
  <c r="H37" i="30"/>
  <c r="G38" i="30"/>
  <c r="H38" i="30"/>
  <c r="G39" i="30"/>
  <c r="H39" i="30" s="1"/>
  <c r="G40" i="30"/>
  <c r="H40" i="30" s="1"/>
  <c r="G41" i="30"/>
  <c r="H41" i="30"/>
  <c r="G42" i="30"/>
  <c r="H42" i="30" s="1"/>
  <c r="G43" i="30"/>
  <c r="H43" i="30" s="1"/>
  <c r="E45" i="30"/>
  <c r="J59" i="30"/>
  <c r="J61" i="30"/>
  <c r="J63" i="29"/>
  <c r="E50" i="29"/>
  <c r="L13" i="29"/>
  <c r="M13" i="29" s="1"/>
  <c r="J13" i="29"/>
  <c r="G13" i="29"/>
  <c r="H13" i="29"/>
  <c r="L12" i="29"/>
  <c r="J12" i="29"/>
  <c r="G12" i="29"/>
  <c r="H12" i="29"/>
  <c r="L49" i="29"/>
  <c r="L3" i="29"/>
  <c r="L4" i="29"/>
  <c r="L5" i="29"/>
  <c r="L6" i="29"/>
  <c r="M6" i="29" s="1"/>
  <c r="L7" i="29"/>
  <c r="M7" i="29" s="1"/>
  <c r="L8" i="29"/>
  <c r="L9" i="29"/>
  <c r="L10" i="29"/>
  <c r="L11" i="29"/>
  <c r="L14" i="29"/>
  <c r="M14" i="29" s="1"/>
  <c r="L15" i="29"/>
  <c r="L16" i="29"/>
  <c r="L17" i="29"/>
  <c r="L18" i="29"/>
  <c r="L19" i="29"/>
  <c r="L20" i="29"/>
  <c r="L21" i="29"/>
  <c r="L22" i="29"/>
  <c r="M22" i="29" s="1"/>
  <c r="L23" i="29"/>
  <c r="M23" i="29" s="1"/>
  <c r="L24" i="29"/>
  <c r="L25" i="29"/>
  <c r="L26" i="29"/>
  <c r="L27" i="29"/>
  <c r="L28" i="29"/>
  <c r="L29" i="29"/>
  <c r="L30" i="29"/>
  <c r="M30" i="29" s="1"/>
  <c r="L31" i="29"/>
  <c r="M31" i="29" s="1"/>
  <c r="L32" i="29"/>
  <c r="M32" i="29" s="1"/>
  <c r="L33" i="29"/>
  <c r="L34" i="29"/>
  <c r="L35" i="29"/>
  <c r="L36" i="29"/>
  <c r="L37" i="29"/>
  <c r="L38" i="29"/>
  <c r="L39" i="29"/>
  <c r="L40" i="29"/>
  <c r="M40" i="29" s="1"/>
  <c r="L41" i="29"/>
  <c r="M41" i="29" s="1"/>
  <c r="L42" i="29"/>
  <c r="L43" i="29"/>
  <c r="L44" i="29"/>
  <c r="L45" i="29"/>
  <c r="L46" i="29"/>
  <c r="M46" i="29" s="1"/>
  <c r="L47" i="29"/>
  <c r="M47" i="29" s="1"/>
  <c r="L48" i="29"/>
  <c r="J49" i="29"/>
  <c r="M49" i="29"/>
  <c r="J3" i="29"/>
  <c r="M3" i="29" s="1"/>
  <c r="J4" i="29"/>
  <c r="M4" i="29" s="1"/>
  <c r="J5" i="29"/>
  <c r="M5" i="29" s="1"/>
  <c r="J6" i="29"/>
  <c r="J7" i="29"/>
  <c r="J8" i="29"/>
  <c r="M8" i="29"/>
  <c r="J9" i="29"/>
  <c r="M9" i="29" s="1"/>
  <c r="J10" i="29"/>
  <c r="M10" i="29" s="1"/>
  <c r="J11" i="29"/>
  <c r="M11" i="29" s="1"/>
  <c r="J14" i="29"/>
  <c r="J15" i="29"/>
  <c r="M15" i="29" s="1"/>
  <c r="J16" i="29"/>
  <c r="M16" i="29" s="1"/>
  <c r="J17" i="29"/>
  <c r="J18" i="29"/>
  <c r="M18" i="29"/>
  <c r="J19" i="29"/>
  <c r="M19" i="29"/>
  <c r="J20" i="29"/>
  <c r="M20" i="29"/>
  <c r="J21" i="29"/>
  <c r="M21" i="29" s="1"/>
  <c r="J22" i="29"/>
  <c r="J23" i="29"/>
  <c r="J24" i="29"/>
  <c r="M24" i="29" s="1"/>
  <c r="J25" i="29"/>
  <c r="J26" i="29"/>
  <c r="M26" i="29" s="1"/>
  <c r="J27" i="29"/>
  <c r="M27" i="29" s="1"/>
  <c r="J28" i="29"/>
  <c r="M28" i="29"/>
  <c r="J29" i="29"/>
  <c r="M29" i="29" s="1"/>
  <c r="J30" i="29"/>
  <c r="J31" i="29"/>
  <c r="J32" i="29"/>
  <c r="J33" i="29"/>
  <c r="J34" i="29"/>
  <c r="M34" i="29" s="1"/>
  <c r="J35" i="29"/>
  <c r="M35" i="29" s="1"/>
  <c r="J36" i="29"/>
  <c r="M36" i="29"/>
  <c r="J37" i="29"/>
  <c r="M37" i="29" s="1"/>
  <c r="J38" i="29"/>
  <c r="M38" i="29"/>
  <c r="J39" i="29"/>
  <c r="M39" i="29" s="1"/>
  <c r="J40" i="29"/>
  <c r="J41" i="29"/>
  <c r="J42" i="29"/>
  <c r="M42" i="29"/>
  <c r="J43" i="29"/>
  <c r="M43" i="29" s="1"/>
  <c r="J44" i="29"/>
  <c r="M44" i="29" s="1"/>
  <c r="J45" i="29"/>
  <c r="M45" i="29" s="1"/>
  <c r="J46" i="29"/>
  <c r="J47" i="29"/>
  <c r="J48" i="29"/>
  <c r="M48" i="29" s="1"/>
  <c r="G49" i="29"/>
  <c r="H49" i="29"/>
  <c r="G3" i="29"/>
  <c r="H3" i="29"/>
  <c r="G4" i="29"/>
  <c r="H4" i="29" s="1"/>
  <c r="G5" i="29"/>
  <c r="H5" i="29" s="1"/>
  <c r="G6" i="29"/>
  <c r="H6" i="29"/>
  <c r="G7" i="29"/>
  <c r="H7" i="29"/>
  <c r="G8" i="29"/>
  <c r="H8" i="29" s="1"/>
  <c r="G9" i="29"/>
  <c r="H9" i="29" s="1"/>
  <c r="G10" i="29"/>
  <c r="H10" i="29"/>
  <c r="G11" i="29"/>
  <c r="H11" i="29"/>
  <c r="G14" i="29"/>
  <c r="H14" i="29" s="1"/>
  <c r="G15" i="29"/>
  <c r="H15" i="29" s="1"/>
  <c r="G16" i="29"/>
  <c r="H16" i="29"/>
  <c r="G17" i="29"/>
  <c r="H17" i="29"/>
  <c r="G18" i="29"/>
  <c r="H18" i="29" s="1"/>
  <c r="G19" i="29"/>
  <c r="H19" i="29" s="1"/>
  <c r="G20" i="29"/>
  <c r="H20" i="29"/>
  <c r="G21" i="29"/>
  <c r="H21" i="29"/>
  <c r="G22" i="29"/>
  <c r="H22" i="29"/>
  <c r="G23" i="29"/>
  <c r="H23" i="29" s="1"/>
  <c r="G24" i="29"/>
  <c r="H24" i="29"/>
  <c r="G25" i="29"/>
  <c r="H25" i="29"/>
  <c r="G26" i="29"/>
  <c r="H26" i="29" s="1"/>
  <c r="G27" i="29"/>
  <c r="H27" i="29" s="1"/>
  <c r="G28" i="29"/>
  <c r="H28" i="29"/>
  <c r="G29" i="29"/>
  <c r="H29" i="29"/>
  <c r="G30" i="29"/>
  <c r="H30" i="29" s="1"/>
  <c r="G31" i="29"/>
  <c r="H31" i="29" s="1"/>
  <c r="G32" i="29"/>
  <c r="H32" i="29"/>
  <c r="G33" i="29"/>
  <c r="H33" i="29"/>
  <c r="G34" i="29"/>
  <c r="H34" i="29"/>
  <c r="G35" i="29"/>
  <c r="H35" i="29" s="1"/>
  <c r="G36" i="29"/>
  <c r="H36" i="29"/>
  <c r="G37" i="29"/>
  <c r="H37" i="29"/>
  <c r="G38" i="29"/>
  <c r="H38" i="29" s="1"/>
  <c r="G39" i="29"/>
  <c r="H39" i="29" s="1"/>
  <c r="G40" i="29"/>
  <c r="H40" i="29"/>
  <c r="G41" i="29"/>
  <c r="H41" i="29"/>
  <c r="G42" i="29"/>
  <c r="H42" i="29"/>
  <c r="G43" i="29"/>
  <c r="H43" i="29" s="1"/>
  <c r="G44" i="29"/>
  <c r="H44" i="29"/>
  <c r="G45" i="29"/>
  <c r="H45" i="29"/>
  <c r="G46" i="29"/>
  <c r="H46" i="29" s="1"/>
  <c r="G47" i="29"/>
  <c r="H47" i="29" s="1"/>
  <c r="G48" i="29"/>
  <c r="H48" i="29"/>
  <c r="J65" i="29"/>
  <c r="J50" i="29"/>
  <c r="L79" i="28"/>
  <c r="M79" i="28" s="1"/>
  <c r="J79" i="28"/>
  <c r="J60" i="28"/>
  <c r="J61" i="28"/>
  <c r="J62" i="28"/>
  <c r="J63" i="28"/>
  <c r="J64" i="28"/>
  <c r="J65" i="28"/>
  <c r="J66" i="28"/>
  <c r="L60" i="28"/>
  <c r="L61" i="28"/>
  <c r="L62" i="28"/>
  <c r="L63" i="28"/>
  <c r="L64" i="28"/>
  <c r="M64" i="28" s="1"/>
  <c r="L65" i="28"/>
  <c r="L66" i="28"/>
  <c r="M66" i="28" s="1"/>
  <c r="L3" i="28"/>
  <c r="L4" i="28"/>
  <c r="M4" i="28" s="1"/>
  <c r="L5" i="28"/>
  <c r="L6" i="28"/>
  <c r="L7" i="28"/>
  <c r="M7" i="28" s="1"/>
  <c r="L8" i="28"/>
  <c r="M8" i="28" s="1"/>
  <c r="L9" i="28"/>
  <c r="M9" i="28" s="1"/>
  <c r="L10" i="28"/>
  <c r="L11" i="28"/>
  <c r="L12" i="28"/>
  <c r="M12" i="28" s="1"/>
  <c r="L13" i="28"/>
  <c r="L14" i="28"/>
  <c r="M14" i="28" s="1"/>
  <c r="L15" i="28"/>
  <c r="M15" i="28" s="1"/>
  <c r="L16" i="28"/>
  <c r="M16" i="28" s="1"/>
  <c r="L17" i="28"/>
  <c r="L18" i="28"/>
  <c r="L19" i="28"/>
  <c r="L20" i="28"/>
  <c r="M20" i="28" s="1"/>
  <c r="L21" i="28"/>
  <c r="L22" i="28"/>
  <c r="L23" i="28"/>
  <c r="M23" i="28" s="1"/>
  <c r="L24" i="28"/>
  <c r="M24" i="28" s="1"/>
  <c r="L25" i="28"/>
  <c r="M25" i="28" s="1"/>
  <c r="L26" i="28"/>
  <c r="L27" i="28"/>
  <c r="L28" i="28"/>
  <c r="M28" i="28" s="1"/>
  <c r="L29" i="28"/>
  <c r="L30" i="28"/>
  <c r="M30" i="28" s="1"/>
  <c r="L31" i="28"/>
  <c r="M31" i="28" s="1"/>
  <c r="L32" i="28"/>
  <c r="M32" i="28" s="1"/>
  <c r="L33" i="28"/>
  <c r="L34" i="28"/>
  <c r="L35" i="28"/>
  <c r="L36" i="28"/>
  <c r="M36" i="28" s="1"/>
  <c r="L37" i="28"/>
  <c r="L38" i="28"/>
  <c r="L39" i="28"/>
  <c r="M39" i="28" s="1"/>
  <c r="L40" i="28"/>
  <c r="M40" i="28" s="1"/>
  <c r="L41" i="28"/>
  <c r="M41" i="28" s="1"/>
  <c r="E42" i="28"/>
  <c r="L89" i="28"/>
  <c r="J89" i="28"/>
  <c r="M89" i="28"/>
  <c r="G89" i="28"/>
  <c r="H89" i="28" s="1"/>
  <c r="M65" i="28"/>
  <c r="G65" i="28"/>
  <c r="G64" i="28"/>
  <c r="E94" i="28"/>
  <c r="L88" i="28"/>
  <c r="J88" i="28"/>
  <c r="M88" i="28"/>
  <c r="G88" i="28"/>
  <c r="H88" i="28"/>
  <c r="L93" i="28"/>
  <c r="L91" i="28"/>
  <c r="L74" i="28"/>
  <c r="L75" i="28"/>
  <c r="L76" i="28"/>
  <c r="L77" i="28"/>
  <c r="L78" i="28"/>
  <c r="L80" i="28"/>
  <c r="M80" i="28" s="1"/>
  <c r="L81" i="28"/>
  <c r="L82" i="28"/>
  <c r="L83" i="28"/>
  <c r="L84" i="28"/>
  <c r="L85" i="28"/>
  <c r="M85" i="28" s="1"/>
  <c r="L110" i="28"/>
  <c r="M110" i="28" s="1"/>
  <c r="L86" i="28"/>
  <c r="L87" i="28"/>
  <c r="M87" i="28" s="1"/>
  <c r="L90" i="28"/>
  <c r="L92" i="28"/>
  <c r="J93" i="28"/>
  <c r="M93" i="28"/>
  <c r="J91" i="28"/>
  <c r="M91" i="28"/>
  <c r="J74" i="28"/>
  <c r="J75" i="28"/>
  <c r="M75" i="28" s="1"/>
  <c r="J76" i="28"/>
  <c r="J77" i="28"/>
  <c r="M77" i="28" s="1"/>
  <c r="J78" i="28"/>
  <c r="J80" i="28"/>
  <c r="J81" i="28"/>
  <c r="M81" i="28"/>
  <c r="J82" i="28"/>
  <c r="M82" i="28"/>
  <c r="J83" i="28"/>
  <c r="J84" i="28"/>
  <c r="M84" i="28" s="1"/>
  <c r="J85" i="28"/>
  <c r="J110" i="28"/>
  <c r="J86" i="28"/>
  <c r="J87" i="28"/>
  <c r="J90" i="28"/>
  <c r="M90" i="28" s="1"/>
  <c r="J92" i="28"/>
  <c r="M92" i="28"/>
  <c r="G93" i="28"/>
  <c r="H93" i="28"/>
  <c r="G74" i="28"/>
  <c r="H74" i="28"/>
  <c r="G75" i="28"/>
  <c r="H75" i="28" s="1"/>
  <c r="G76" i="28"/>
  <c r="H76" i="28" s="1"/>
  <c r="G77" i="28"/>
  <c r="H77" i="28"/>
  <c r="G78" i="28"/>
  <c r="H78" i="28"/>
  <c r="G79" i="28"/>
  <c r="H79" i="28" s="1"/>
  <c r="G80" i="28"/>
  <c r="H80" i="28" s="1"/>
  <c r="G81" i="28"/>
  <c r="H81" i="28"/>
  <c r="G82" i="28"/>
  <c r="H82" i="28" s="1"/>
  <c r="G83" i="28"/>
  <c r="H83" i="28" s="1"/>
  <c r="G84" i="28"/>
  <c r="H84" i="28" s="1"/>
  <c r="G85" i="28"/>
  <c r="H85" i="28"/>
  <c r="G110" i="28"/>
  <c r="H110" i="28"/>
  <c r="G86" i="28"/>
  <c r="H86" i="28" s="1"/>
  <c r="G87" i="28"/>
  <c r="H87" i="28" s="1"/>
  <c r="G90" i="28"/>
  <c r="H90" i="28"/>
  <c r="G91" i="28"/>
  <c r="H91" i="28"/>
  <c r="G92" i="28"/>
  <c r="H92" i="28" s="1"/>
  <c r="J104" i="28"/>
  <c r="J106" i="28"/>
  <c r="J41" i="28"/>
  <c r="J3" i="28"/>
  <c r="M3" i="28" s="1"/>
  <c r="J4" i="28"/>
  <c r="J5" i="28"/>
  <c r="M5" i="28"/>
  <c r="J6" i="28"/>
  <c r="M6" i="28" s="1"/>
  <c r="J7" i="28"/>
  <c r="J8" i="28"/>
  <c r="J9" i="28"/>
  <c r="J10" i="28"/>
  <c r="M10" i="28" s="1"/>
  <c r="J11" i="28"/>
  <c r="M11" i="28" s="1"/>
  <c r="J12" i="28"/>
  <c r="J13" i="28"/>
  <c r="M13" i="28"/>
  <c r="J14" i="28"/>
  <c r="J15" i="28"/>
  <c r="J16" i="28"/>
  <c r="J17" i="28"/>
  <c r="M17" i="28"/>
  <c r="J18" i="28"/>
  <c r="M18" i="28" s="1"/>
  <c r="J19" i="28"/>
  <c r="M19" i="28" s="1"/>
  <c r="J20" i="28"/>
  <c r="J21" i="28"/>
  <c r="M21" i="28"/>
  <c r="J22" i="28"/>
  <c r="M22" i="28" s="1"/>
  <c r="J23" i="28"/>
  <c r="J24" i="28"/>
  <c r="J25" i="28"/>
  <c r="J26" i="28"/>
  <c r="M26" i="28" s="1"/>
  <c r="J27" i="28"/>
  <c r="M27" i="28" s="1"/>
  <c r="J28" i="28"/>
  <c r="J29" i="28"/>
  <c r="M29" i="28"/>
  <c r="J30" i="28"/>
  <c r="J31" i="28"/>
  <c r="J32" i="28"/>
  <c r="J33" i="28"/>
  <c r="M33" i="28"/>
  <c r="J34" i="28"/>
  <c r="M34" i="28" s="1"/>
  <c r="J35" i="28"/>
  <c r="M35" i="28" s="1"/>
  <c r="J36" i="28"/>
  <c r="J37" i="28"/>
  <c r="M37" i="28"/>
  <c r="J38" i="28"/>
  <c r="M38" i="28" s="1"/>
  <c r="J39" i="28"/>
  <c r="J40" i="28"/>
  <c r="G41" i="28"/>
  <c r="H41" i="28" s="1"/>
  <c r="G3" i="28"/>
  <c r="H3" i="28" s="1"/>
  <c r="G4" i="28"/>
  <c r="H4" i="28" s="1"/>
  <c r="G5" i="28"/>
  <c r="H5" i="28" s="1"/>
  <c r="G6" i="28"/>
  <c r="H6" i="28"/>
  <c r="G7" i="28"/>
  <c r="H7" i="28" s="1"/>
  <c r="G8" i="28"/>
  <c r="H8" i="28" s="1"/>
  <c r="G9" i="28"/>
  <c r="H9" i="28" s="1"/>
  <c r="G10" i="28"/>
  <c r="H10" i="28" s="1"/>
  <c r="G11" i="28"/>
  <c r="H11" i="28" s="1"/>
  <c r="G12" i="28"/>
  <c r="H12" i="28"/>
  <c r="G13" i="28"/>
  <c r="H13" i="28" s="1"/>
  <c r="G14" i="28"/>
  <c r="H14" i="28"/>
  <c r="G15" i="28"/>
  <c r="H15" i="28"/>
  <c r="G16" i="28"/>
  <c r="H16" i="28" s="1"/>
  <c r="G17" i="28"/>
  <c r="H17" i="28" s="1"/>
  <c r="G18" i="28"/>
  <c r="H18" i="28" s="1"/>
  <c r="G19" i="28"/>
  <c r="H19" i="28" s="1"/>
  <c r="G20" i="28"/>
  <c r="H20" i="28" s="1"/>
  <c r="G21" i="28"/>
  <c r="H21" i="28" s="1"/>
  <c r="G22" i="28"/>
  <c r="H22" i="28" s="1"/>
  <c r="G23" i="28"/>
  <c r="H23" i="28"/>
  <c r="G24" i="28"/>
  <c r="H24" i="28"/>
  <c r="G25" i="28"/>
  <c r="H25" i="28" s="1"/>
  <c r="G26" i="28"/>
  <c r="H26" i="28"/>
  <c r="G27" i="28"/>
  <c r="H27" i="28" s="1"/>
  <c r="G28" i="28"/>
  <c r="H28" i="28" s="1"/>
  <c r="G29" i="28"/>
  <c r="H29" i="28" s="1"/>
  <c r="G30" i="28"/>
  <c r="H30" i="28" s="1"/>
  <c r="G31" i="28"/>
  <c r="H31" i="28" s="1"/>
  <c r="G32" i="28"/>
  <c r="H32" i="28" s="1"/>
  <c r="G33" i="28"/>
  <c r="H33" i="28" s="1"/>
  <c r="G34" i="28"/>
  <c r="H34" i="28" s="1"/>
  <c r="G35" i="28"/>
  <c r="H35" i="28" s="1"/>
  <c r="G36" i="28"/>
  <c r="H36" i="28" s="1"/>
  <c r="G37" i="28"/>
  <c r="H37" i="28" s="1"/>
  <c r="G38" i="28"/>
  <c r="H38" i="28" s="1"/>
  <c r="G39" i="28"/>
  <c r="H39" i="28" s="1"/>
  <c r="G40" i="28"/>
  <c r="H40" i="28" s="1"/>
  <c r="J42" i="28"/>
  <c r="E67" i="28"/>
  <c r="G60" i="28"/>
  <c r="H60" i="28" s="1"/>
  <c r="G61" i="28"/>
  <c r="H61" i="28"/>
  <c r="G62" i="28"/>
  <c r="H62" i="28"/>
  <c r="G63" i="28"/>
  <c r="H63" i="28" s="1"/>
  <c r="G66" i="28"/>
  <c r="H66" i="28" s="1"/>
  <c r="M60" i="28"/>
  <c r="M61" i="28"/>
  <c r="M62" i="28"/>
  <c r="J54" i="28"/>
  <c r="J56" i="28" s="1"/>
  <c r="L3" i="27"/>
  <c r="L4" i="27"/>
  <c r="L5" i="27"/>
  <c r="M5" i="27" s="1"/>
  <c r="L6" i="27"/>
  <c r="M6" i="27" s="1"/>
  <c r="L7" i="27"/>
  <c r="L8" i="27"/>
  <c r="L9" i="27"/>
  <c r="L10" i="27"/>
  <c r="L11" i="27"/>
  <c r="L12" i="27"/>
  <c r="L13" i="27"/>
  <c r="M13" i="27" s="1"/>
  <c r="L14" i="27"/>
  <c r="M14" i="27" s="1"/>
  <c r="L15" i="27"/>
  <c r="L16" i="27"/>
  <c r="L17" i="27"/>
  <c r="L18" i="27"/>
  <c r="L19" i="27"/>
  <c r="L20" i="27"/>
  <c r="L21" i="27"/>
  <c r="M21" i="27" s="1"/>
  <c r="L22" i="27"/>
  <c r="M22" i="27" s="1"/>
  <c r="L23" i="27"/>
  <c r="L24" i="27"/>
  <c r="L25" i="27"/>
  <c r="L26" i="27"/>
  <c r="L27" i="27"/>
  <c r="L28" i="27"/>
  <c r="L29" i="27"/>
  <c r="J3" i="27"/>
  <c r="M3" i="27" s="1"/>
  <c r="J4" i="27"/>
  <c r="M4" i="27" s="1"/>
  <c r="J5" i="27"/>
  <c r="J6" i="27"/>
  <c r="J7" i="27"/>
  <c r="J8" i="27"/>
  <c r="J9" i="27"/>
  <c r="J10" i="27"/>
  <c r="J11" i="27"/>
  <c r="M11" i="27" s="1"/>
  <c r="J12" i="27"/>
  <c r="M12" i="27" s="1"/>
  <c r="J13" i="27"/>
  <c r="J14" i="27"/>
  <c r="J15" i="27"/>
  <c r="J16" i="27"/>
  <c r="J17" i="27"/>
  <c r="J18" i="27"/>
  <c r="M18" i="27" s="1"/>
  <c r="J19" i="27"/>
  <c r="M19" i="27" s="1"/>
  <c r="J20" i="27"/>
  <c r="M20" i="27" s="1"/>
  <c r="J21" i="27"/>
  <c r="J22" i="27"/>
  <c r="J23" i="27"/>
  <c r="J24" i="27"/>
  <c r="J25" i="27"/>
  <c r="J26" i="27"/>
  <c r="J27" i="27"/>
  <c r="M27" i="27" s="1"/>
  <c r="J28" i="27"/>
  <c r="M28" i="27" s="1"/>
  <c r="J41" i="27"/>
  <c r="J43" i="27" s="1"/>
  <c r="E29" i="27"/>
  <c r="G3" i="27"/>
  <c r="H3" i="27"/>
  <c r="G4" i="27"/>
  <c r="H4" i="27" s="1"/>
  <c r="G5" i="27"/>
  <c r="H5" i="27" s="1"/>
  <c r="G6" i="27"/>
  <c r="H6" i="27"/>
  <c r="G7" i="27"/>
  <c r="H7" i="27"/>
  <c r="G8" i="27"/>
  <c r="H8" i="27" s="1"/>
  <c r="G9" i="27"/>
  <c r="H9" i="27" s="1"/>
  <c r="G10" i="27"/>
  <c r="H10" i="27"/>
  <c r="G11" i="27"/>
  <c r="H11" i="27"/>
  <c r="G12" i="27"/>
  <c r="H12" i="27"/>
  <c r="G13" i="27"/>
  <c r="H13" i="27" s="1"/>
  <c r="G14" i="27"/>
  <c r="H14" i="27"/>
  <c r="G15" i="27"/>
  <c r="H15" i="27"/>
  <c r="G16" i="27"/>
  <c r="H16" i="27" s="1"/>
  <c r="G17" i="27"/>
  <c r="H17" i="27" s="1"/>
  <c r="G18" i="27"/>
  <c r="H18" i="27"/>
  <c r="G19" i="27"/>
  <c r="H19" i="27"/>
  <c r="G20" i="27"/>
  <c r="H20" i="27"/>
  <c r="G21" i="27"/>
  <c r="H21" i="27" s="1"/>
  <c r="G22" i="27"/>
  <c r="H22" i="27"/>
  <c r="G23" i="27"/>
  <c r="H23" i="27"/>
  <c r="G24" i="27"/>
  <c r="H24" i="27" s="1"/>
  <c r="G25" i="27"/>
  <c r="H25" i="27" s="1"/>
  <c r="G26" i="27"/>
  <c r="H26" i="27"/>
  <c r="G27" i="27"/>
  <c r="H27" i="27"/>
  <c r="G28" i="27"/>
  <c r="H28" i="27"/>
  <c r="M7" i="27"/>
  <c r="M8" i="27"/>
  <c r="M9" i="27"/>
  <c r="M10" i="27"/>
  <c r="M15" i="27"/>
  <c r="M16" i="27"/>
  <c r="M17" i="27"/>
  <c r="M23" i="27"/>
  <c r="M24" i="27"/>
  <c r="M25" i="27"/>
  <c r="M26" i="27"/>
  <c r="L43" i="26"/>
  <c r="J43" i="26"/>
  <c r="M43" i="26" s="1"/>
  <c r="G43" i="26"/>
  <c r="H43" i="26"/>
  <c r="L42" i="26"/>
  <c r="M42" i="26" s="1"/>
  <c r="J42" i="26"/>
  <c r="G42" i="26"/>
  <c r="H42" i="26"/>
  <c r="L45" i="26"/>
  <c r="M45" i="26" s="1"/>
  <c r="L44" i="26"/>
  <c r="M44" i="26" s="1"/>
  <c r="L3" i="26"/>
  <c r="L4" i="26"/>
  <c r="L5" i="26"/>
  <c r="L6" i="26"/>
  <c r="L7" i="26"/>
  <c r="L8" i="26"/>
  <c r="L9" i="26"/>
  <c r="L10" i="26"/>
  <c r="M10" i="26" s="1"/>
  <c r="L11" i="26"/>
  <c r="L12" i="26"/>
  <c r="L13" i="26"/>
  <c r="L14" i="26"/>
  <c r="L15" i="26"/>
  <c r="L16" i="26"/>
  <c r="L17" i="26"/>
  <c r="L18" i="26"/>
  <c r="M18" i="26" s="1"/>
  <c r="L19" i="26"/>
  <c r="L20" i="26"/>
  <c r="L21" i="26"/>
  <c r="L22" i="26"/>
  <c r="L23" i="26"/>
  <c r="L24" i="26"/>
  <c r="L25" i="26"/>
  <c r="L26" i="26"/>
  <c r="M26" i="26" s="1"/>
  <c r="L27" i="26"/>
  <c r="L28" i="26"/>
  <c r="L29" i="26"/>
  <c r="L30" i="26"/>
  <c r="L31" i="26"/>
  <c r="L32" i="26"/>
  <c r="L33" i="26"/>
  <c r="L34" i="26"/>
  <c r="M34" i="26" s="1"/>
  <c r="L35" i="26"/>
  <c r="L36" i="26"/>
  <c r="L37" i="26"/>
  <c r="L38" i="26"/>
  <c r="L39" i="26"/>
  <c r="L40" i="26"/>
  <c r="M40" i="26" s="1"/>
  <c r="L41" i="26"/>
  <c r="L46" i="26"/>
  <c r="J45" i="26"/>
  <c r="J44" i="26"/>
  <c r="J3" i="26"/>
  <c r="M3" i="26"/>
  <c r="J4" i="26"/>
  <c r="J5" i="26"/>
  <c r="M5" i="26" s="1"/>
  <c r="J6" i="26"/>
  <c r="M6" i="26"/>
  <c r="J7" i="26"/>
  <c r="M7" i="26"/>
  <c r="J8" i="26"/>
  <c r="M8" i="26"/>
  <c r="J9" i="26"/>
  <c r="J10" i="26"/>
  <c r="J11" i="26"/>
  <c r="M11" i="26"/>
  <c r="J12" i="26"/>
  <c r="M12" i="26"/>
  <c r="J13" i="26"/>
  <c r="M13" i="26" s="1"/>
  <c r="J14" i="26"/>
  <c r="M14" i="26"/>
  <c r="J15" i="26"/>
  <c r="M15" i="26"/>
  <c r="J16" i="26"/>
  <c r="M16" i="26"/>
  <c r="J17" i="26"/>
  <c r="J18" i="26"/>
  <c r="J19" i="26"/>
  <c r="M19" i="26"/>
  <c r="J20" i="26"/>
  <c r="M20" i="26"/>
  <c r="J21" i="26"/>
  <c r="M21" i="26" s="1"/>
  <c r="J22" i="26"/>
  <c r="M22" i="26"/>
  <c r="J23" i="26"/>
  <c r="M23" i="26"/>
  <c r="J24" i="26"/>
  <c r="M24" i="26" s="1"/>
  <c r="J25" i="26"/>
  <c r="J26" i="26"/>
  <c r="J27" i="26"/>
  <c r="M27" i="26"/>
  <c r="J28" i="26"/>
  <c r="M28" i="26"/>
  <c r="J29" i="26"/>
  <c r="M29" i="26" s="1"/>
  <c r="J30" i="26"/>
  <c r="M30" i="26"/>
  <c r="J31" i="26"/>
  <c r="M31" i="26"/>
  <c r="J32" i="26"/>
  <c r="M32" i="26"/>
  <c r="J33" i="26"/>
  <c r="J34" i="26"/>
  <c r="J35" i="26"/>
  <c r="M35" i="26"/>
  <c r="J36" i="26"/>
  <c r="M36" i="26"/>
  <c r="J37" i="26"/>
  <c r="M37" i="26" s="1"/>
  <c r="J38" i="26"/>
  <c r="M38" i="26"/>
  <c r="J39" i="26"/>
  <c r="M39" i="26"/>
  <c r="J40" i="26"/>
  <c r="J41" i="26"/>
  <c r="G45" i="26"/>
  <c r="H45" i="26" s="1"/>
  <c r="G3" i="26"/>
  <c r="H3" i="26"/>
  <c r="G4" i="26"/>
  <c r="H4" i="26" s="1"/>
  <c r="G5" i="26"/>
  <c r="H5" i="26" s="1"/>
  <c r="G6" i="26"/>
  <c r="H6" i="26" s="1"/>
  <c r="G7" i="26"/>
  <c r="H7" i="26"/>
  <c r="G8" i="26"/>
  <c r="H8" i="26"/>
  <c r="G9" i="26"/>
  <c r="H9" i="26" s="1"/>
  <c r="G10" i="26"/>
  <c r="H10" i="26" s="1"/>
  <c r="G11" i="26"/>
  <c r="H11" i="26" s="1"/>
  <c r="G12" i="26"/>
  <c r="H12" i="26"/>
  <c r="G13" i="26"/>
  <c r="H13" i="26" s="1"/>
  <c r="G14" i="26"/>
  <c r="H14" i="26" s="1"/>
  <c r="G15" i="26"/>
  <c r="H15" i="26" s="1"/>
  <c r="G16" i="26"/>
  <c r="H16" i="26" s="1"/>
  <c r="G17" i="26"/>
  <c r="H17" i="26" s="1"/>
  <c r="G18" i="26"/>
  <c r="H18" i="26" s="1"/>
  <c r="G19" i="26"/>
  <c r="H19" i="26"/>
  <c r="G20" i="26"/>
  <c r="H20" i="26" s="1"/>
  <c r="G21" i="26"/>
  <c r="H21" i="26" s="1"/>
  <c r="G22" i="26"/>
  <c r="H22" i="26" s="1"/>
  <c r="G23" i="26"/>
  <c r="H23" i="26"/>
  <c r="G24" i="26"/>
  <c r="H24" i="26"/>
  <c r="G25" i="26"/>
  <c r="H25" i="26" s="1"/>
  <c r="G26" i="26"/>
  <c r="H26" i="26" s="1"/>
  <c r="G27" i="26"/>
  <c r="H27" i="26" s="1"/>
  <c r="G28" i="26"/>
  <c r="H28" i="26"/>
  <c r="G29" i="26"/>
  <c r="H29" i="26" s="1"/>
  <c r="G30" i="26"/>
  <c r="H30" i="26" s="1"/>
  <c r="G31" i="26"/>
  <c r="H31" i="26" s="1"/>
  <c r="G32" i="26"/>
  <c r="H32" i="26" s="1"/>
  <c r="G33" i="26"/>
  <c r="H33" i="26" s="1"/>
  <c r="G34" i="26"/>
  <c r="H34" i="26" s="1"/>
  <c r="G35" i="26"/>
  <c r="H35" i="26"/>
  <c r="G36" i="26"/>
  <c r="H36" i="26" s="1"/>
  <c r="G37" i="26"/>
  <c r="H37" i="26" s="1"/>
  <c r="G38" i="26"/>
  <c r="H38" i="26" s="1"/>
  <c r="G39" i="26"/>
  <c r="H39" i="26"/>
  <c r="G40" i="26"/>
  <c r="H40" i="26"/>
  <c r="G41" i="26"/>
  <c r="H41" i="26" s="1"/>
  <c r="G44" i="26"/>
  <c r="H44" i="26" s="1"/>
  <c r="E46" i="26"/>
  <c r="J64" i="26"/>
  <c r="J66" i="26" s="1"/>
  <c r="L46" i="23"/>
  <c r="M46" i="23" s="1"/>
  <c r="J46" i="23"/>
  <c r="L3" i="25"/>
  <c r="L4" i="25"/>
  <c r="L5" i="25"/>
  <c r="L6" i="25"/>
  <c r="L7" i="25"/>
  <c r="L8" i="25"/>
  <c r="L9" i="25"/>
  <c r="L10" i="25"/>
  <c r="L11" i="25"/>
  <c r="M11" i="25" s="1"/>
  <c r="L12" i="25"/>
  <c r="L13" i="25"/>
  <c r="L14" i="25"/>
  <c r="L15" i="25"/>
  <c r="L16" i="25"/>
  <c r="L17" i="25"/>
  <c r="L18" i="25"/>
  <c r="L19" i="25"/>
  <c r="L20" i="25"/>
  <c r="M20" i="25" s="1"/>
  <c r="L21" i="25"/>
  <c r="L22" i="25"/>
  <c r="L23" i="25"/>
  <c r="L24" i="25"/>
  <c r="L25" i="25"/>
  <c r="L26" i="25"/>
  <c r="L27" i="25"/>
  <c r="L28" i="25"/>
  <c r="M28" i="25" s="1"/>
  <c r="L29" i="25"/>
  <c r="L30" i="25"/>
  <c r="L31" i="25"/>
  <c r="L32" i="25"/>
  <c r="L33" i="25"/>
  <c r="L34" i="25"/>
  <c r="L35" i="25"/>
  <c r="L36" i="25"/>
  <c r="M36" i="25" s="1"/>
  <c r="L37" i="25"/>
  <c r="L38" i="25"/>
  <c r="L39" i="25"/>
  <c r="L40" i="25"/>
  <c r="L41" i="25"/>
  <c r="L42" i="25"/>
  <c r="L43" i="25"/>
  <c r="L44" i="25"/>
  <c r="M44" i="25" s="1"/>
  <c r="L45" i="25"/>
  <c r="L46" i="25"/>
  <c r="L47" i="25"/>
  <c r="E61" i="24"/>
  <c r="G3" i="24"/>
  <c r="H3" i="24"/>
  <c r="H61" i="24" s="1"/>
  <c r="G4" i="24"/>
  <c r="H4" i="24" s="1"/>
  <c r="G5" i="24"/>
  <c r="H5" i="24" s="1"/>
  <c r="G6" i="24"/>
  <c r="H6" i="24"/>
  <c r="G7" i="24"/>
  <c r="H7" i="24"/>
  <c r="G8" i="24"/>
  <c r="H8" i="24" s="1"/>
  <c r="G9" i="24"/>
  <c r="H9" i="24" s="1"/>
  <c r="G10" i="24"/>
  <c r="H10" i="24"/>
  <c r="G11" i="24"/>
  <c r="H11" i="24"/>
  <c r="G12" i="24"/>
  <c r="H12" i="24"/>
  <c r="G13" i="24"/>
  <c r="H13" i="24" s="1"/>
  <c r="G14" i="24"/>
  <c r="H14" i="24"/>
  <c r="G15" i="24"/>
  <c r="H15" i="24"/>
  <c r="G16" i="24"/>
  <c r="H16" i="24"/>
  <c r="G17" i="24"/>
  <c r="H17" i="24" s="1"/>
  <c r="G18" i="24"/>
  <c r="H18" i="24"/>
  <c r="G19" i="24"/>
  <c r="H19" i="24"/>
  <c r="G20" i="24"/>
  <c r="H20" i="24"/>
  <c r="G21" i="24"/>
  <c r="H21" i="24" s="1"/>
  <c r="G22" i="24"/>
  <c r="H22" i="24"/>
  <c r="G23" i="24"/>
  <c r="H23" i="24"/>
  <c r="G24" i="24"/>
  <c r="H24" i="24"/>
  <c r="G25" i="24"/>
  <c r="H25" i="24" s="1"/>
  <c r="G26" i="24"/>
  <c r="H26" i="24"/>
  <c r="G27" i="24"/>
  <c r="H27" i="24"/>
  <c r="G28" i="24"/>
  <c r="H28" i="24" s="1"/>
  <c r="G29" i="24"/>
  <c r="H29" i="24" s="1"/>
  <c r="G30" i="24"/>
  <c r="H30" i="24"/>
  <c r="G31" i="24"/>
  <c r="H31" i="24"/>
  <c r="G32" i="24"/>
  <c r="H32" i="24"/>
  <c r="G33" i="24"/>
  <c r="H33" i="24"/>
  <c r="G34" i="24"/>
  <c r="H34" i="24"/>
  <c r="G35" i="24"/>
  <c r="H35" i="24"/>
  <c r="G36" i="24"/>
  <c r="H36" i="24"/>
  <c r="G37" i="24"/>
  <c r="H37" i="24"/>
  <c r="G38" i="24"/>
  <c r="H38" i="24"/>
  <c r="G39" i="24"/>
  <c r="H39" i="24"/>
  <c r="G40" i="24"/>
  <c r="H40" i="24"/>
  <c r="G41" i="24"/>
  <c r="H41" i="24"/>
  <c r="G42" i="24"/>
  <c r="H42" i="24"/>
  <c r="G43" i="24"/>
  <c r="H43" i="24"/>
  <c r="G44" i="24"/>
  <c r="H44" i="24"/>
  <c r="G45" i="24"/>
  <c r="H45" i="24"/>
  <c r="G46" i="24"/>
  <c r="H46" i="24"/>
  <c r="G47" i="24"/>
  <c r="H47" i="24"/>
  <c r="G48" i="24"/>
  <c r="H48" i="24"/>
  <c r="G49" i="24"/>
  <c r="H49" i="24"/>
  <c r="G50" i="24"/>
  <c r="H50" i="24"/>
  <c r="G51" i="24"/>
  <c r="H51" i="24"/>
  <c r="G52" i="24"/>
  <c r="H52" i="24"/>
  <c r="G53" i="24"/>
  <c r="H53" i="24"/>
  <c r="G54" i="24"/>
  <c r="H54" i="24"/>
  <c r="G55" i="24"/>
  <c r="H55" i="24"/>
  <c r="G56" i="24"/>
  <c r="H56" i="24"/>
  <c r="G57" i="24"/>
  <c r="H57" i="24"/>
  <c r="G58" i="24"/>
  <c r="H58" i="24"/>
  <c r="G59" i="24"/>
  <c r="H59" i="24"/>
  <c r="G60" i="24"/>
  <c r="H60" i="24"/>
  <c r="J3" i="24"/>
  <c r="M3" i="24" s="1"/>
  <c r="J4" i="24"/>
  <c r="J5" i="24"/>
  <c r="J6" i="24"/>
  <c r="J7" i="24"/>
  <c r="J8" i="24"/>
  <c r="J9" i="24"/>
  <c r="J10" i="24"/>
  <c r="J11" i="24"/>
  <c r="M11" i="24" s="1"/>
  <c r="J12" i="24"/>
  <c r="M12" i="24" s="1"/>
  <c r="J13" i="24"/>
  <c r="J14" i="24"/>
  <c r="J15" i="24"/>
  <c r="J16" i="24"/>
  <c r="J17" i="24"/>
  <c r="J18" i="24"/>
  <c r="J19" i="24"/>
  <c r="M19" i="24" s="1"/>
  <c r="J20" i="24"/>
  <c r="M20" i="24" s="1"/>
  <c r="J21" i="24"/>
  <c r="M21" i="24" s="1"/>
  <c r="J22" i="24"/>
  <c r="J23" i="24"/>
  <c r="J24" i="24"/>
  <c r="J25" i="24"/>
  <c r="J26" i="24"/>
  <c r="J27" i="24"/>
  <c r="J28" i="24"/>
  <c r="M28" i="24" s="1"/>
  <c r="J29" i="24"/>
  <c r="M29" i="24" s="1"/>
  <c r="J30" i="24"/>
  <c r="J31" i="24"/>
  <c r="M31" i="24" s="1"/>
  <c r="J32" i="24"/>
  <c r="J33" i="24"/>
  <c r="J34" i="24"/>
  <c r="J35" i="24"/>
  <c r="J36" i="24"/>
  <c r="J37" i="24"/>
  <c r="M37" i="24" s="1"/>
  <c r="J38" i="24"/>
  <c r="J39" i="24"/>
  <c r="J40" i="24"/>
  <c r="J41" i="24"/>
  <c r="J42" i="24"/>
  <c r="J43" i="24"/>
  <c r="J44" i="24"/>
  <c r="J45" i="24"/>
  <c r="J46" i="24"/>
  <c r="J47" i="24"/>
  <c r="J48" i="24"/>
  <c r="J49" i="24"/>
  <c r="J50" i="24"/>
  <c r="J51" i="24"/>
  <c r="J52" i="24"/>
  <c r="J53" i="24"/>
  <c r="M53" i="24" s="1"/>
  <c r="J54" i="24"/>
  <c r="J55" i="24"/>
  <c r="J56" i="24"/>
  <c r="J57" i="24"/>
  <c r="J58" i="24"/>
  <c r="J59" i="24"/>
  <c r="M59" i="24" s="1"/>
  <c r="J60" i="24"/>
  <c r="J61" i="24"/>
  <c r="L3" i="24"/>
  <c r="L4" i="24"/>
  <c r="M4" i="24" s="1"/>
  <c r="L5" i="24"/>
  <c r="L6" i="24"/>
  <c r="L7" i="24"/>
  <c r="L8" i="24"/>
  <c r="L9" i="24"/>
  <c r="M9" i="24" s="1"/>
  <c r="L10" i="24"/>
  <c r="M10" i="24" s="1"/>
  <c r="L11" i="24"/>
  <c r="L12" i="24"/>
  <c r="L13" i="24"/>
  <c r="M13" i="24" s="1"/>
  <c r="L14" i="24"/>
  <c r="L15" i="24"/>
  <c r="L16" i="24"/>
  <c r="M16" i="24" s="1"/>
  <c r="L17" i="24"/>
  <c r="L18" i="24"/>
  <c r="L19" i="24"/>
  <c r="L20" i="24"/>
  <c r="L21" i="24"/>
  <c r="L22" i="24"/>
  <c r="M22" i="24" s="1"/>
  <c r="L23" i="24"/>
  <c r="L24" i="24"/>
  <c r="M24" i="24" s="1"/>
  <c r="L25" i="24"/>
  <c r="L26" i="24"/>
  <c r="L27" i="24"/>
  <c r="L28" i="24"/>
  <c r="L29" i="24"/>
  <c r="L30" i="24"/>
  <c r="L31" i="24"/>
  <c r="L32" i="24"/>
  <c r="M32" i="24" s="1"/>
  <c r="L33" i="24"/>
  <c r="L34" i="24"/>
  <c r="L35" i="24"/>
  <c r="L36" i="24"/>
  <c r="L37" i="24"/>
  <c r="L38" i="24"/>
  <c r="L39" i="24"/>
  <c r="L40" i="24"/>
  <c r="M40" i="24" s="1"/>
  <c r="L41" i="24"/>
  <c r="M41" i="24" s="1"/>
  <c r="L42" i="24"/>
  <c r="M42" i="24" s="1"/>
  <c r="L43" i="24"/>
  <c r="L44" i="24"/>
  <c r="L45" i="24"/>
  <c r="L46" i="24"/>
  <c r="L47" i="24"/>
  <c r="L48" i="24"/>
  <c r="M48" i="24" s="1"/>
  <c r="L49" i="24"/>
  <c r="M49" i="24" s="1"/>
  <c r="L50" i="24"/>
  <c r="M50" i="24" s="1"/>
  <c r="L51" i="24"/>
  <c r="L52" i="24"/>
  <c r="L53" i="24"/>
  <c r="L54" i="24"/>
  <c r="L55" i="24"/>
  <c r="L56" i="24"/>
  <c r="M56" i="24" s="1"/>
  <c r="L57" i="24"/>
  <c r="M57" i="24" s="1"/>
  <c r="L58" i="24"/>
  <c r="M58" i="24" s="1"/>
  <c r="L59" i="24"/>
  <c r="L60" i="24"/>
  <c r="M5" i="24"/>
  <c r="M6" i="24"/>
  <c r="M7" i="24"/>
  <c r="M14" i="24"/>
  <c r="M15" i="24"/>
  <c r="M17" i="24"/>
  <c r="M18" i="24"/>
  <c r="M23" i="24"/>
  <c r="M25" i="24"/>
  <c r="M26" i="24"/>
  <c r="M27" i="24"/>
  <c r="M30" i="24"/>
  <c r="M33" i="24"/>
  <c r="M34" i="24"/>
  <c r="M35" i="24"/>
  <c r="M36" i="24"/>
  <c r="M38" i="24"/>
  <c r="M39" i="24"/>
  <c r="M43" i="24"/>
  <c r="M44" i="24"/>
  <c r="M45" i="24"/>
  <c r="M46" i="24"/>
  <c r="M47" i="24"/>
  <c r="M51" i="24"/>
  <c r="M52" i="24"/>
  <c r="M54" i="24"/>
  <c r="M55" i="24"/>
  <c r="M60" i="24"/>
  <c r="J47" i="25"/>
  <c r="M47" i="25" s="1"/>
  <c r="J17" i="25"/>
  <c r="M17" i="25"/>
  <c r="J3" i="25"/>
  <c r="J4" i="25"/>
  <c r="M4" i="25" s="1"/>
  <c r="J5" i="25"/>
  <c r="M5" i="25"/>
  <c r="J6" i="25"/>
  <c r="M6" i="25"/>
  <c r="J7" i="25"/>
  <c r="M7" i="25" s="1"/>
  <c r="J8" i="25"/>
  <c r="M8" i="25"/>
  <c r="J9" i="25"/>
  <c r="M9" i="25"/>
  <c r="J10" i="25"/>
  <c r="M10" i="25"/>
  <c r="J11" i="25"/>
  <c r="J12" i="25"/>
  <c r="M12" i="25"/>
  <c r="J13" i="25"/>
  <c r="M13" i="25" s="1"/>
  <c r="J14" i="25"/>
  <c r="M14" i="25"/>
  <c r="J15" i="25"/>
  <c r="M15" i="25" s="1"/>
  <c r="J16" i="25"/>
  <c r="M16" i="25" s="1"/>
  <c r="J18" i="25"/>
  <c r="M18" i="25"/>
  <c r="J19" i="25"/>
  <c r="M19" i="25"/>
  <c r="J20" i="25"/>
  <c r="J21" i="25"/>
  <c r="M21" i="25"/>
  <c r="J22" i="25"/>
  <c r="M22" i="25"/>
  <c r="J23" i="25"/>
  <c r="M23" i="25"/>
  <c r="J24" i="25"/>
  <c r="M24" i="25" s="1"/>
  <c r="J25" i="25"/>
  <c r="M25" i="25"/>
  <c r="J26" i="25"/>
  <c r="M26" i="25" s="1"/>
  <c r="J27" i="25"/>
  <c r="M27" i="25"/>
  <c r="J28" i="25"/>
  <c r="J29" i="25"/>
  <c r="M29" i="25"/>
  <c r="J30" i="25"/>
  <c r="M30" i="25"/>
  <c r="J31" i="25"/>
  <c r="M31" i="25"/>
  <c r="J32" i="25"/>
  <c r="M32" i="25" s="1"/>
  <c r="J33" i="25"/>
  <c r="M33" i="25"/>
  <c r="J34" i="25"/>
  <c r="M34" i="25"/>
  <c r="J35" i="25"/>
  <c r="M35" i="25"/>
  <c r="J36" i="25"/>
  <c r="J37" i="25"/>
  <c r="M37" i="25" s="1"/>
  <c r="J38" i="25"/>
  <c r="M38" i="25"/>
  <c r="J39" i="25"/>
  <c r="M39" i="25"/>
  <c r="J40" i="25"/>
  <c r="M40" i="25" s="1"/>
  <c r="J41" i="25"/>
  <c r="M41" i="25"/>
  <c r="J42" i="25"/>
  <c r="M42" i="25"/>
  <c r="J43" i="25"/>
  <c r="M43" i="25"/>
  <c r="J44" i="25"/>
  <c r="J45" i="25"/>
  <c r="M45" i="25"/>
  <c r="J46" i="25"/>
  <c r="M46" i="25" s="1"/>
  <c r="G47" i="25"/>
  <c r="H47" i="25"/>
  <c r="G17" i="25"/>
  <c r="H17" i="25" s="1"/>
  <c r="G3" i="25"/>
  <c r="H3" i="25" s="1"/>
  <c r="G4" i="25"/>
  <c r="H4" i="25" s="1"/>
  <c r="G5" i="25"/>
  <c r="H5" i="25" s="1"/>
  <c r="G6" i="25"/>
  <c r="H6" i="25" s="1"/>
  <c r="G7" i="25"/>
  <c r="H7" i="25"/>
  <c r="G8" i="25"/>
  <c r="H8" i="25" s="1"/>
  <c r="G9" i="25"/>
  <c r="H9" i="25" s="1"/>
  <c r="G10" i="25"/>
  <c r="H10" i="25"/>
  <c r="G11" i="25"/>
  <c r="H11" i="25" s="1"/>
  <c r="G12" i="25"/>
  <c r="H12" i="25" s="1"/>
  <c r="G13" i="25"/>
  <c r="H13" i="25"/>
  <c r="G14" i="25"/>
  <c r="H14" i="25" s="1"/>
  <c r="G15" i="25"/>
  <c r="H15" i="25" s="1"/>
  <c r="G16" i="25"/>
  <c r="H16" i="25" s="1"/>
  <c r="G18" i="25"/>
  <c r="H18" i="25" s="1"/>
  <c r="G19" i="25"/>
  <c r="H19" i="25"/>
  <c r="G20" i="25"/>
  <c r="H20" i="25"/>
  <c r="G21" i="25"/>
  <c r="H21" i="25" s="1"/>
  <c r="G22" i="25"/>
  <c r="H22" i="25"/>
  <c r="G23" i="25"/>
  <c r="H23" i="25"/>
  <c r="G24" i="25"/>
  <c r="H24" i="25" s="1"/>
  <c r="G25" i="25"/>
  <c r="H25" i="25" s="1"/>
  <c r="G26" i="25"/>
  <c r="H26" i="25" s="1"/>
  <c r="G27" i="25"/>
  <c r="H27" i="25"/>
  <c r="G28" i="25"/>
  <c r="H28" i="25" s="1"/>
  <c r="G29" i="25"/>
  <c r="H29" i="25" s="1"/>
  <c r="G30" i="25"/>
  <c r="H30" i="25" s="1"/>
  <c r="G31" i="25"/>
  <c r="H31" i="25"/>
  <c r="G32" i="25"/>
  <c r="H32" i="25"/>
  <c r="G33" i="25"/>
  <c r="H33" i="25" s="1"/>
  <c r="G34" i="25"/>
  <c r="H34" i="25"/>
  <c r="G35" i="25"/>
  <c r="H35" i="25" s="1"/>
  <c r="G36" i="25"/>
  <c r="H36" i="25"/>
  <c r="G37" i="25"/>
  <c r="H37" i="25" s="1"/>
  <c r="G38" i="25"/>
  <c r="H38" i="25" s="1"/>
  <c r="G39" i="25"/>
  <c r="H39" i="25" s="1"/>
  <c r="G40" i="25"/>
  <c r="H40" i="25"/>
  <c r="G41" i="25"/>
  <c r="H41" i="25" s="1"/>
  <c r="G42" i="25"/>
  <c r="H42" i="25"/>
  <c r="G43" i="25"/>
  <c r="H43" i="25"/>
  <c r="G44" i="25"/>
  <c r="H44" i="25" s="1"/>
  <c r="G45" i="25"/>
  <c r="H45" i="25" s="1"/>
  <c r="G46" i="25"/>
  <c r="H46" i="25"/>
  <c r="E48" i="25"/>
  <c r="J59" i="25"/>
  <c r="J61" i="25" s="1"/>
  <c r="J70" i="25"/>
  <c r="J71" i="25"/>
  <c r="J72" i="25"/>
  <c r="J73" i="25"/>
  <c r="J74" i="25"/>
  <c r="J75" i="25"/>
  <c r="L91" i="25"/>
  <c r="L90" i="25"/>
  <c r="L70" i="25"/>
  <c r="L71" i="25"/>
  <c r="L72" i="25"/>
  <c r="L73" i="25"/>
  <c r="M73" i="25" s="1"/>
  <c r="L74" i="25"/>
  <c r="L75" i="25"/>
  <c r="L76" i="25"/>
  <c r="L77" i="25"/>
  <c r="L78" i="25"/>
  <c r="L79" i="25"/>
  <c r="L80" i="25"/>
  <c r="M80" i="25" s="1"/>
  <c r="L81" i="25"/>
  <c r="M81" i="25" s="1"/>
  <c r="L82" i="25"/>
  <c r="L83" i="25"/>
  <c r="L84" i="25"/>
  <c r="M84" i="25" s="1"/>
  <c r="L85" i="25"/>
  <c r="L86" i="25"/>
  <c r="L87" i="25"/>
  <c r="L88" i="25"/>
  <c r="L89" i="25"/>
  <c r="M89" i="25" s="1"/>
  <c r="J91" i="25"/>
  <c r="M91" i="25" s="1"/>
  <c r="J90" i="25"/>
  <c r="M70" i="25"/>
  <c r="M72" i="25"/>
  <c r="M74" i="25"/>
  <c r="M75" i="25"/>
  <c r="J76" i="25"/>
  <c r="J77" i="25"/>
  <c r="M77" i="25"/>
  <c r="J78" i="25"/>
  <c r="M78" i="25"/>
  <c r="J79" i="25"/>
  <c r="J80" i="25"/>
  <c r="J81" i="25"/>
  <c r="J82" i="25"/>
  <c r="M82" i="25" s="1"/>
  <c r="J83" i="25"/>
  <c r="J84" i="25"/>
  <c r="J85" i="25"/>
  <c r="M85" i="25" s="1"/>
  <c r="J86" i="25"/>
  <c r="M86" i="25"/>
  <c r="J87" i="25"/>
  <c r="M87" i="25" s="1"/>
  <c r="J88" i="25"/>
  <c r="J89" i="25"/>
  <c r="G91" i="25"/>
  <c r="G70" i="25"/>
  <c r="G71" i="25"/>
  <c r="H71" i="25" s="1"/>
  <c r="G72" i="25"/>
  <c r="H72" i="25" s="1"/>
  <c r="G73" i="25"/>
  <c r="G74" i="25"/>
  <c r="H74" i="25" s="1"/>
  <c r="G75" i="25"/>
  <c r="G76" i="25"/>
  <c r="H76" i="25" s="1"/>
  <c r="G77" i="25"/>
  <c r="G78" i="25"/>
  <c r="H78" i="25" s="1"/>
  <c r="G79" i="25"/>
  <c r="H79" i="25" s="1"/>
  <c r="G80" i="25"/>
  <c r="H80" i="25" s="1"/>
  <c r="G81" i="25"/>
  <c r="G82" i="25"/>
  <c r="H82" i="25" s="1"/>
  <c r="G83" i="25"/>
  <c r="G84" i="25"/>
  <c r="G85" i="25"/>
  <c r="G86" i="25"/>
  <c r="H86" i="25" s="1"/>
  <c r="G87" i="25"/>
  <c r="H87" i="25" s="1"/>
  <c r="G88" i="25"/>
  <c r="H88" i="25" s="1"/>
  <c r="G89" i="25"/>
  <c r="G90" i="25"/>
  <c r="H90" i="25" s="1"/>
  <c r="H91" i="25"/>
  <c r="H73" i="25"/>
  <c r="H75" i="25"/>
  <c r="H77" i="25"/>
  <c r="H81" i="25"/>
  <c r="H83" i="25"/>
  <c r="H84" i="25"/>
  <c r="H85" i="25"/>
  <c r="H89" i="25"/>
  <c r="E92" i="25"/>
  <c r="J103" i="25"/>
  <c r="J105" i="25"/>
  <c r="J101" i="23"/>
  <c r="J103" i="23" s="1"/>
  <c r="J73" i="24"/>
  <c r="J75" i="24"/>
  <c r="E90" i="23"/>
  <c r="G78" i="23"/>
  <c r="G79" i="23"/>
  <c r="G80" i="23"/>
  <c r="G81" i="23"/>
  <c r="G82" i="23"/>
  <c r="G83" i="23"/>
  <c r="G84" i="23"/>
  <c r="H84" i="23" s="1"/>
  <c r="G85" i="23"/>
  <c r="H85" i="23" s="1"/>
  <c r="G86" i="23"/>
  <c r="H86" i="23" s="1"/>
  <c r="G87" i="23"/>
  <c r="H87" i="23" s="1"/>
  <c r="G88" i="23"/>
  <c r="G89" i="23"/>
  <c r="H79" i="23"/>
  <c r="H80" i="23"/>
  <c r="H81" i="23"/>
  <c r="H82" i="23"/>
  <c r="H83" i="23"/>
  <c r="H88" i="23"/>
  <c r="H89" i="23"/>
  <c r="J78" i="23"/>
  <c r="J79" i="23"/>
  <c r="J80" i="23"/>
  <c r="J81" i="23"/>
  <c r="J82" i="23"/>
  <c r="J83" i="23"/>
  <c r="M83" i="23" s="1"/>
  <c r="J84" i="23"/>
  <c r="M84" i="23" s="1"/>
  <c r="J85" i="23"/>
  <c r="M85" i="23" s="1"/>
  <c r="J86" i="23"/>
  <c r="J87" i="23"/>
  <c r="J88" i="23"/>
  <c r="J89" i="23"/>
  <c r="L78" i="23"/>
  <c r="L79" i="23"/>
  <c r="M79" i="23" s="1"/>
  <c r="L80" i="23"/>
  <c r="M80" i="23" s="1"/>
  <c r="L81" i="23"/>
  <c r="M81" i="23" s="1"/>
  <c r="L82" i="23"/>
  <c r="L83" i="23"/>
  <c r="L84" i="23"/>
  <c r="L85" i="23"/>
  <c r="L86" i="23"/>
  <c r="M86" i="23" s="1"/>
  <c r="L87" i="23"/>
  <c r="M87" i="23" s="1"/>
  <c r="L88" i="23"/>
  <c r="M88" i="23" s="1"/>
  <c r="L89" i="23"/>
  <c r="M89" i="23" s="1"/>
  <c r="M82" i="23"/>
  <c r="L55" i="23"/>
  <c r="J55" i="23"/>
  <c r="M55" i="23"/>
  <c r="G55" i="23"/>
  <c r="H55" i="23" s="1"/>
  <c r="L56" i="23"/>
  <c r="J56" i="23"/>
  <c r="M56" i="23" s="1"/>
  <c r="G56" i="23"/>
  <c r="H56" i="23"/>
  <c r="L54" i="23"/>
  <c r="M54" i="23" s="1"/>
  <c r="J54" i="23"/>
  <c r="G54" i="23"/>
  <c r="H54" i="23" s="1"/>
  <c r="L53" i="23"/>
  <c r="M53" i="23" s="1"/>
  <c r="J53" i="23"/>
  <c r="G53" i="23"/>
  <c r="H53" i="23"/>
  <c r="L52" i="23"/>
  <c r="J52" i="23"/>
  <c r="M52" i="23" s="1"/>
  <c r="G52" i="23"/>
  <c r="H52" i="23" s="1"/>
  <c r="L51" i="23"/>
  <c r="J51" i="23"/>
  <c r="M51" i="23" s="1"/>
  <c r="G51" i="23"/>
  <c r="H51" i="23"/>
  <c r="L50" i="23"/>
  <c r="J50" i="23"/>
  <c r="M50" i="23" s="1"/>
  <c r="G50" i="23"/>
  <c r="H50" i="23"/>
  <c r="L49" i="23"/>
  <c r="M49" i="23" s="1"/>
  <c r="J49" i="23"/>
  <c r="G49" i="23"/>
  <c r="H49" i="23"/>
  <c r="L48" i="23"/>
  <c r="J48" i="23"/>
  <c r="M48" i="23"/>
  <c r="G48" i="23"/>
  <c r="H48" i="23" s="1"/>
  <c r="J72" i="23"/>
  <c r="J74" i="23"/>
  <c r="E59" i="23"/>
  <c r="G3" i="23"/>
  <c r="H3" i="23" s="1"/>
  <c r="G4" i="23"/>
  <c r="H4" i="23"/>
  <c r="H59" i="23" s="1"/>
  <c r="G5" i="23"/>
  <c r="H5" i="23"/>
  <c r="G6" i="23"/>
  <c r="H6" i="23" s="1"/>
  <c r="G7" i="23"/>
  <c r="H7" i="23" s="1"/>
  <c r="G8" i="23"/>
  <c r="H8" i="23"/>
  <c r="G9" i="23"/>
  <c r="H9" i="23"/>
  <c r="G10" i="23"/>
  <c r="H10" i="23" s="1"/>
  <c r="G11" i="23"/>
  <c r="H11" i="23" s="1"/>
  <c r="G12" i="23"/>
  <c r="H12" i="23"/>
  <c r="G13" i="23"/>
  <c r="H13" i="23"/>
  <c r="G14" i="23"/>
  <c r="H14" i="23" s="1"/>
  <c r="G15" i="23"/>
  <c r="H15" i="23" s="1"/>
  <c r="G16" i="23"/>
  <c r="H16" i="23"/>
  <c r="G17" i="23"/>
  <c r="H17" i="23"/>
  <c r="G18" i="23"/>
  <c r="H18" i="23" s="1"/>
  <c r="G19" i="23"/>
  <c r="H19" i="23"/>
  <c r="G20" i="23"/>
  <c r="H20" i="23"/>
  <c r="G21" i="23"/>
  <c r="H21" i="23"/>
  <c r="G22" i="23"/>
  <c r="H22" i="23" s="1"/>
  <c r="G23" i="23"/>
  <c r="H23" i="23"/>
  <c r="G24" i="23"/>
  <c r="H24" i="23"/>
  <c r="G25" i="23"/>
  <c r="H25" i="23"/>
  <c r="G26" i="23"/>
  <c r="H26" i="23" s="1"/>
  <c r="G27" i="23"/>
  <c r="H27" i="23"/>
  <c r="G28" i="23"/>
  <c r="H28" i="23"/>
  <c r="G29" i="23"/>
  <c r="H29" i="23"/>
  <c r="G30" i="23"/>
  <c r="H30" i="23" s="1"/>
  <c r="G31" i="23"/>
  <c r="H31" i="23"/>
  <c r="G32" i="23"/>
  <c r="H32" i="23"/>
  <c r="G33" i="23"/>
  <c r="H33" i="23"/>
  <c r="G34" i="23"/>
  <c r="H34" i="23" s="1"/>
  <c r="G35" i="23"/>
  <c r="H35" i="23"/>
  <c r="G36" i="23"/>
  <c r="H36" i="23"/>
  <c r="G37" i="23"/>
  <c r="H37" i="23"/>
  <c r="G38" i="23"/>
  <c r="H38" i="23" s="1"/>
  <c r="G39" i="23"/>
  <c r="H39" i="23" s="1"/>
  <c r="G40" i="23"/>
  <c r="H40" i="23"/>
  <c r="G41" i="23"/>
  <c r="H41" i="23"/>
  <c r="G42" i="23"/>
  <c r="H42" i="23" s="1"/>
  <c r="G43" i="23"/>
  <c r="H43" i="23"/>
  <c r="G44" i="23"/>
  <c r="H44" i="23"/>
  <c r="G45" i="23"/>
  <c r="H45" i="23"/>
  <c r="G46" i="23"/>
  <c r="H46" i="23" s="1"/>
  <c r="G47" i="23"/>
  <c r="H47" i="23"/>
  <c r="G57" i="23"/>
  <c r="H57" i="23"/>
  <c r="G58" i="23"/>
  <c r="H58" i="23" s="1"/>
  <c r="J3" i="23"/>
  <c r="J4" i="23"/>
  <c r="J5" i="23"/>
  <c r="J6" i="23"/>
  <c r="J7" i="23"/>
  <c r="J8" i="23"/>
  <c r="J9" i="23"/>
  <c r="J10" i="23"/>
  <c r="J11" i="23"/>
  <c r="J12" i="23"/>
  <c r="J13" i="23"/>
  <c r="J14" i="23"/>
  <c r="J15" i="23"/>
  <c r="M15" i="23" s="1"/>
  <c r="J16" i="23"/>
  <c r="J17" i="23"/>
  <c r="J18" i="23"/>
  <c r="J19" i="23"/>
  <c r="J20" i="23"/>
  <c r="J21" i="23"/>
  <c r="J22" i="23"/>
  <c r="J23" i="23"/>
  <c r="M23" i="23" s="1"/>
  <c r="J24" i="23"/>
  <c r="J25" i="23"/>
  <c r="J26" i="23"/>
  <c r="J27" i="23"/>
  <c r="J28" i="23"/>
  <c r="J29" i="23"/>
  <c r="J30" i="23"/>
  <c r="J31" i="23"/>
  <c r="M31" i="23" s="1"/>
  <c r="J32" i="23"/>
  <c r="J33" i="23"/>
  <c r="J34" i="23"/>
  <c r="J35" i="23"/>
  <c r="J36" i="23"/>
  <c r="J37" i="23"/>
  <c r="J38" i="23"/>
  <c r="J39" i="23"/>
  <c r="M39" i="23" s="1"/>
  <c r="J40" i="23"/>
  <c r="J41" i="23"/>
  <c r="J42" i="23"/>
  <c r="M42" i="23" s="1"/>
  <c r="J43" i="23"/>
  <c r="J44" i="23"/>
  <c r="J45" i="23"/>
  <c r="J47" i="23"/>
  <c r="J57" i="23"/>
  <c r="M57" i="23" s="1"/>
  <c r="J58" i="23"/>
  <c r="L3" i="23"/>
  <c r="M3" i="23" s="1"/>
  <c r="L4" i="23"/>
  <c r="L5" i="23"/>
  <c r="M5" i="23" s="1"/>
  <c r="L6" i="23"/>
  <c r="L7" i="23"/>
  <c r="L8" i="23"/>
  <c r="M8" i="23" s="1"/>
  <c r="L9" i="23"/>
  <c r="M9" i="23" s="1"/>
  <c r="L10" i="23"/>
  <c r="L11" i="23"/>
  <c r="L12" i="23"/>
  <c r="L13" i="23"/>
  <c r="M13" i="23" s="1"/>
  <c r="L14" i="23"/>
  <c r="L15" i="23"/>
  <c r="L16" i="23"/>
  <c r="M16" i="23" s="1"/>
  <c r="L17" i="23"/>
  <c r="M17" i="23" s="1"/>
  <c r="L18" i="23"/>
  <c r="L19" i="23"/>
  <c r="M19" i="23" s="1"/>
  <c r="L20" i="23"/>
  <c r="L21" i="23"/>
  <c r="M21" i="23" s="1"/>
  <c r="L22" i="23"/>
  <c r="L23" i="23"/>
  <c r="L24" i="23"/>
  <c r="M24" i="23" s="1"/>
  <c r="L25" i="23"/>
  <c r="M25" i="23" s="1"/>
  <c r="L26" i="23"/>
  <c r="L27" i="23"/>
  <c r="L28" i="23"/>
  <c r="L29" i="23"/>
  <c r="M29" i="23" s="1"/>
  <c r="L30" i="23"/>
  <c r="L31" i="23"/>
  <c r="L32" i="23"/>
  <c r="M32" i="23" s="1"/>
  <c r="L33" i="23"/>
  <c r="M33" i="23" s="1"/>
  <c r="L34" i="23"/>
  <c r="L35" i="23"/>
  <c r="L36" i="23"/>
  <c r="L37" i="23"/>
  <c r="M37" i="23" s="1"/>
  <c r="L38" i="23"/>
  <c r="L39" i="23"/>
  <c r="L40" i="23"/>
  <c r="M40" i="23" s="1"/>
  <c r="L41" i="23"/>
  <c r="M41" i="23" s="1"/>
  <c r="L42" i="23"/>
  <c r="L43" i="23"/>
  <c r="L44" i="23"/>
  <c r="L45" i="23"/>
  <c r="M45" i="23" s="1"/>
  <c r="L47" i="23"/>
  <c r="L57" i="23"/>
  <c r="L58" i="23"/>
  <c r="M58" i="23" s="1"/>
  <c r="L59" i="23"/>
  <c r="M4" i="23"/>
  <c r="M6" i="23"/>
  <c r="M10" i="23"/>
  <c r="M11" i="23"/>
  <c r="M12" i="23"/>
  <c r="M14" i="23"/>
  <c r="M18" i="23"/>
  <c r="M20" i="23"/>
  <c r="M22" i="23"/>
  <c r="M26" i="23"/>
  <c r="M27" i="23"/>
  <c r="M28" i="23"/>
  <c r="M30" i="23"/>
  <c r="M34" i="23"/>
  <c r="M35" i="23"/>
  <c r="M36" i="23"/>
  <c r="M38" i="23"/>
  <c r="M43" i="23"/>
  <c r="M44" i="23"/>
  <c r="M47" i="23"/>
  <c r="L3" i="19"/>
  <c r="L33" i="19" s="1"/>
  <c r="J3" i="19"/>
  <c r="M3" i="19"/>
  <c r="L4" i="19"/>
  <c r="J4" i="19"/>
  <c r="M4" i="19" s="1"/>
  <c r="L5" i="19"/>
  <c r="J5" i="19"/>
  <c r="M5" i="19"/>
  <c r="L6" i="19"/>
  <c r="J6" i="19"/>
  <c r="L7" i="19"/>
  <c r="M7" i="19" s="1"/>
  <c r="J7" i="19"/>
  <c r="L8" i="19"/>
  <c r="M8" i="19" s="1"/>
  <c r="J8" i="19"/>
  <c r="L9" i="19"/>
  <c r="M9" i="19" s="1"/>
  <c r="J9" i="19"/>
  <c r="L10" i="19"/>
  <c r="J10" i="19"/>
  <c r="M10" i="19"/>
  <c r="L11" i="19"/>
  <c r="M11" i="19" s="1"/>
  <c r="J11" i="19"/>
  <c r="L12" i="19"/>
  <c r="J12" i="19"/>
  <c r="M12" i="19" s="1"/>
  <c r="L13" i="19"/>
  <c r="J13" i="19"/>
  <c r="M13" i="19" s="1"/>
  <c r="L14" i="19"/>
  <c r="M14" i="19" s="1"/>
  <c r="J14" i="19"/>
  <c r="L15" i="19"/>
  <c r="M15" i="19" s="1"/>
  <c r="J15" i="19"/>
  <c r="L16" i="19"/>
  <c r="J16" i="19"/>
  <c r="M16" i="19" s="1"/>
  <c r="L17" i="19"/>
  <c r="M17" i="19" s="1"/>
  <c r="J17" i="19"/>
  <c r="L18" i="19"/>
  <c r="J18" i="19"/>
  <c r="M18" i="19"/>
  <c r="L19" i="19"/>
  <c r="J19" i="19"/>
  <c r="M19" i="19" s="1"/>
  <c r="L20" i="19"/>
  <c r="J20" i="19"/>
  <c r="M20" i="19" s="1"/>
  <c r="L21" i="19"/>
  <c r="J21" i="19"/>
  <c r="M21" i="19"/>
  <c r="L22" i="19"/>
  <c r="J22" i="19"/>
  <c r="L23" i="19"/>
  <c r="M23" i="19" s="1"/>
  <c r="J23" i="19"/>
  <c r="L24" i="19"/>
  <c r="M24" i="19" s="1"/>
  <c r="J24" i="19"/>
  <c r="L25" i="19"/>
  <c r="M25" i="19" s="1"/>
  <c r="J25" i="19"/>
  <c r="L26" i="19"/>
  <c r="J26" i="19"/>
  <c r="M26" i="19"/>
  <c r="L27" i="19"/>
  <c r="M27" i="19" s="1"/>
  <c r="J27" i="19"/>
  <c r="L28" i="19"/>
  <c r="J28" i="19"/>
  <c r="M28" i="19"/>
  <c r="L29" i="19"/>
  <c r="J29" i="19"/>
  <c r="M29" i="19"/>
  <c r="L30" i="19"/>
  <c r="M30" i="19" s="1"/>
  <c r="J30" i="19"/>
  <c r="L31" i="19"/>
  <c r="M31" i="19" s="1"/>
  <c r="J31" i="19"/>
  <c r="L32" i="19"/>
  <c r="M32" i="19" s="1"/>
  <c r="J32" i="19"/>
  <c r="G28" i="19"/>
  <c r="H28" i="19"/>
  <c r="J49" i="19"/>
  <c r="J51" i="19" s="1"/>
  <c r="J48" i="22"/>
  <c r="J50" i="22"/>
  <c r="E36" i="22"/>
  <c r="G3" i="22"/>
  <c r="H3" i="22" s="1"/>
  <c r="G4" i="22"/>
  <c r="H4" i="22"/>
  <c r="G5" i="22"/>
  <c r="H5" i="22"/>
  <c r="G6" i="22"/>
  <c r="H6" i="22"/>
  <c r="G7" i="22"/>
  <c r="H7" i="22" s="1"/>
  <c r="G8" i="22"/>
  <c r="H8" i="22"/>
  <c r="G9" i="22"/>
  <c r="H9" i="22"/>
  <c r="G10" i="22"/>
  <c r="H10" i="22" s="1"/>
  <c r="G11" i="22"/>
  <c r="H11" i="22" s="1"/>
  <c r="G12" i="22"/>
  <c r="H12" i="22"/>
  <c r="G13" i="22"/>
  <c r="H13" i="22"/>
  <c r="G14" i="22"/>
  <c r="H14" i="22"/>
  <c r="G15" i="22"/>
  <c r="H15" i="22" s="1"/>
  <c r="G16" i="22"/>
  <c r="H16" i="22"/>
  <c r="G17" i="22"/>
  <c r="H17" i="22"/>
  <c r="G18" i="22"/>
  <c r="H18" i="22"/>
  <c r="G19" i="22"/>
  <c r="H19" i="22" s="1"/>
  <c r="G20" i="22"/>
  <c r="H20" i="22"/>
  <c r="G21" i="22"/>
  <c r="H21" i="22"/>
  <c r="G22" i="22"/>
  <c r="H22" i="22" s="1"/>
  <c r="G23" i="22"/>
  <c r="H23" i="22" s="1"/>
  <c r="G24" i="22"/>
  <c r="H24" i="22"/>
  <c r="G25" i="22"/>
  <c r="H25" i="22"/>
  <c r="G26" i="22"/>
  <c r="H26" i="22"/>
  <c r="G27" i="22"/>
  <c r="H27" i="22" s="1"/>
  <c r="G28" i="22"/>
  <c r="H28" i="22"/>
  <c r="G29" i="22"/>
  <c r="H29" i="22"/>
  <c r="G30" i="22"/>
  <c r="H30" i="22" s="1"/>
  <c r="G31" i="22"/>
  <c r="H31" i="22" s="1"/>
  <c r="G32" i="22"/>
  <c r="H32" i="22"/>
  <c r="G33" i="22"/>
  <c r="H33" i="22"/>
  <c r="G34" i="22"/>
  <c r="H34" i="22" s="1"/>
  <c r="G35" i="22"/>
  <c r="H35" i="22" s="1"/>
  <c r="L3" i="22"/>
  <c r="L4" i="22"/>
  <c r="L5" i="22"/>
  <c r="L6" i="22"/>
  <c r="L7" i="22"/>
  <c r="M7" i="22" s="1"/>
  <c r="L8" i="22"/>
  <c r="M8" i="22" s="1"/>
  <c r="L9" i="22"/>
  <c r="L10" i="22"/>
  <c r="L11" i="22"/>
  <c r="L12" i="22"/>
  <c r="L13" i="22"/>
  <c r="L14" i="22"/>
  <c r="L15" i="22"/>
  <c r="M15" i="22" s="1"/>
  <c r="L16" i="22"/>
  <c r="M16" i="22" s="1"/>
  <c r="L17" i="22"/>
  <c r="L18" i="22"/>
  <c r="L19" i="22"/>
  <c r="L20" i="22"/>
  <c r="L21" i="22"/>
  <c r="L22" i="22"/>
  <c r="L23" i="22"/>
  <c r="M23" i="22" s="1"/>
  <c r="L24" i="22"/>
  <c r="M24" i="22" s="1"/>
  <c r="L25" i="22"/>
  <c r="L26" i="22"/>
  <c r="L27" i="22"/>
  <c r="L28" i="22"/>
  <c r="L29" i="22"/>
  <c r="L30" i="22"/>
  <c r="L31" i="22"/>
  <c r="M31" i="22" s="1"/>
  <c r="L32" i="22"/>
  <c r="M32" i="22" s="1"/>
  <c r="L33" i="22"/>
  <c r="L34" i="22"/>
  <c r="L35" i="22"/>
  <c r="J3" i="22"/>
  <c r="J4" i="22"/>
  <c r="J5" i="22"/>
  <c r="J6" i="22"/>
  <c r="J7" i="22"/>
  <c r="J8" i="22"/>
  <c r="J9" i="22"/>
  <c r="J10" i="22"/>
  <c r="J11" i="22"/>
  <c r="M11" i="22" s="1"/>
  <c r="J12" i="22"/>
  <c r="M12" i="22" s="1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M27" i="22" s="1"/>
  <c r="J28" i="22"/>
  <c r="M28" i="22" s="1"/>
  <c r="J29" i="22"/>
  <c r="J30" i="22"/>
  <c r="J31" i="22"/>
  <c r="J32" i="22"/>
  <c r="J33" i="22"/>
  <c r="J34" i="22"/>
  <c r="J35" i="22"/>
  <c r="M3" i="22"/>
  <c r="M4" i="22"/>
  <c r="M9" i="22"/>
  <c r="M10" i="22"/>
  <c r="M17" i="22"/>
  <c r="M18" i="22"/>
  <c r="M19" i="22"/>
  <c r="M20" i="22"/>
  <c r="M25" i="22"/>
  <c r="M26" i="22"/>
  <c r="M33" i="22"/>
  <c r="M34" i="22"/>
  <c r="M35" i="22"/>
  <c r="E33" i="19"/>
  <c r="G3" i="19"/>
  <c r="G4" i="19"/>
  <c r="H4" i="19" s="1"/>
  <c r="G5" i="19"/>
  <c r="G6" i="19"/>
  <c r="H6" i="19" s="1"/>
  <c r="G7" i="19"/>
  <c r="H7" i="19" s="1"/>
  <c r="G8" i="19"/>
  <c r="H8" i="19" s="1"/>
  <c r="H33" i="19" s="1"/>
  <c r="G9" i="19"/>
  <c r="H9" i="19" s="1"/>
  <c r="G10" i="19"/>
  <c r="G11" i="19"/>
  <c r="G12" i="19"/>
  <c r="H12" i="19" s="1"/>
  <c r="G13" i="19"/>
  <c r="G14" i="19"/>
  <c r="H14" i="19" s="1"/>
  <c r="G15" i="19"/>
  <c r="H15" i="19" s="1"/>
  <c r="G16" i="19"/>
  <c r="G17" i="19"/>
  <c r="G18" i="19"/>
  <c r="G19" i="19"/>
  <c r="G20" i="19"/>
  <c r="H20" i="19" s="1"/>
  <c r="G21" i="19"/>
  <c r="G22" i="19"/>
  <c r="H22" i="19" s="1"/>
  <c r="G23" i="19"/>
  <c r="H23" i="19" s="1"/>
  <c r="G24" i="19"/>
  <c r="H24" i="19" s="1"/>
  <c r="G25" i="19"/>
  <c r="H25" i="19" s="1"/>
  <c r="G26" i="19"/>
  <c r="G27" i="19"/>
  <c r="G29" i="19"/>
  <c r="H29" i="19" s="1"/>
  <c r="G30" i="19"/>
  <c r="G31" i="19"/>
  <c r="H31" i="19" s="1"/>
  <c r="G32" i="19"/>
  <c r="H32" i="19" s="1"/>
  <c r="G33" i="19"/>
  <c r="H3" i="19"/>
  <c r="H5" i="19"/>
  <c r="H10" i="19"/>
  <c r="H11" i="19"/>
  <c r="H13" i="19"/>
  <c r="H16" i="19"/>
  <c r="H17" i="19"/>
  <c r="H18" i="19"/>
  <c r="H19" i="19"/>
  <c r="H21" i="19"/>
  <c r="H26" i="19"/>
  <c r="H27" i="19"/>
  <c r="H30" i="19"/>
  <c r="J33" i="19"/>
  <c r="L53" i="21"/>
  <c r="L55" i="21" s="1"/>
  <c r="E47" i="21"/>
  <c r="E48" i="21"/>
  <c r="E49" i="21"/>
  <c r="E50" i="21"/>
  <c r="E51" i="21"/>
  <c r="E52" i="21"/>
  <c r="E53" i="21"/>
  <c r="E54" i="21"/>
  <c r="D55" i="21"/>
  <c r="L3" i="21"/>
  <c r="J3" i="21"/>
  <c r="M3" i="21"/>
  <c r="L4" i="21"/>
  <c r="J4" i="21"/>
  <c r="L5" i="21"/>
  <c r="M5" i="21" s="1"/>
  <c r="J5" i="21"/>
  <c r="L6" i="21"/>
  <c r="J6" i="21"/>
  <c r="M6" i="21"/>
  <c r="L7" i="21"/>
  <c r="M7" i="21" s="1"/>
  <c r="J7" i="21"/>
  <c r="L8" i="21"/>
  <c r="J8" i="21"/>
  <c r="M8" i="21"/>
  <c r="L9" i="21"/>
  <c r="J9" i="21"/>
  <c r="M9" i="21"/>
  <c r="L10" i="21"/>
  <c r="J10" i="21"/>
  <c r="M10" i="21"/>
  <c r="L11" i="21"/>
  <c r="J11" i="21"/>
  <c r="M11" i="21"/>
  <c r="L12" i="21"/>
  <c r="J12" i="21"/>
  <c r="L13" i="21"/>
  <c r="M13" i="21" s="1"/>
  <c r="J13" i="21"/>
  <c r="L14" i="21"/>
  <c r="M14" i="21" s="1"/>
  <c r="J14" i="21"/>
  <c r="L15" i="21"/>
  <c r="M15" i="21" s="1"/>
  <c r="J15" i="21"/>
  <c r="L16" i="21"/>
  <c r="J16" i="21"/>
  <c r="M16" i="21"/>
  <c r="L17" i="21"/>
  <c r="M17" i="21" s="1"/>
  <c r="J17" i="21"/>
  <c r="L18" i="21"/>
  <c r="J18" i="21"/>
  <c r="M18" i="21"/>
  <c r="L19" i="21"/>
  <c r="J19" i="21"/>
  <c r="M19" i="21"/>
  <c r="L20" i="21"/>
  <c r="J20" i="21"/>
  <c r="L21" i="21"/>
  <c r="M21" i="21" s="1"/>
  <c r="J21" i="21"/>
  <c r="L22" i="21"/>
  <c r="M22" i="21" s="1"/>
  <c r="J22" i="21"/>
  <c r="L23" i="21"/>
  <c r="M23" i="21" s="1"/>
  <c r="J23" i="21"/>
  <c r="L24" i="21"/>
  <c r="J24" i="21"/>
  <c r="M24" i="21"/>
  <c r="L25" i="21"/>
  <c r="M25" i="21" s="1"/>
  <c r="J25" i="21"/>
  <c r="L26" i="21"/>
  <c r="J26" i="21"/>
  <c r="M26" i="21"/>
  <c r="L27" i="21"/>
  <c r="J27" i="21"/>
  <c r="M27" i="21"/>
  <c r="L28" i="21"/>
  <c r="M28" i="21" s="1"/>
  <c r="J28" i="21"/>
  <c r="L29" i="21"/>
  <c r="M29" i="21" s="1"/>
  <c r="J29" i="21"/>
  <c r="L30" i="21"/>
  <c r="J30" i="21"/>
  <c r="M30" i="21"/>
  <c r="L31" i="21"/>
  <c r="M31" i="21" s="1"/>
  <c r="J31" i="21"/>
  <c r="L32" i="21"/>
  <c r="J32" i="21"/>
  <c r="M32" i="21"/>
  <c r="L33" i="21"/>
  <c r="J33" i="21"/>
  <c r="M33" i="21"/>
  <c r="L34" i="21"/>
  <c r="J34" i="21"/>
  <c r="M34" i="21"/>
  <c r="L35" i="21"/>
  <c r="J35" i="21"/>
  <c r="M35" i="21"/>
  <c r="L36" i="21"/>
  <c r="J36" i="21"/>
  <c r="L37" i="21"/>
  <c r="M37" i="21" s="1"/>
  <c r="J37" i="21"/>
  <c r="L38" i="21"/>
  <c r="J38" i="21"/>
  <c r="L39" i="21"/>
  <c r="M39" i="21" s="1"/>
  <c r="J39" i="21"/>
  <c r="L40" i="21"/>
  <c r="J40" i="21"/>
  <c r="M40" i="21"/>
  <c r="L41" i="21"/>
  <c r="M41" i="21" s="1"/>
  <c r="J41" i="21"/>
  <c r="L42" i="21"/>
  <c r="J42" i="21"/>
  <c r="M42" i="21"/>
  <c r="J43" i="21"/>
  <c r="G3" i="21"/>
  <c r="G43" i="21" s="1"/>
  <c r="G4" i="21"/>
  <c r="H4" i="21"/>
  <c r="G5" i="21"/>
  <c r="H5" i="21" s="1"/>
  <c r="G6" i="21"/>
  <c r="H6" i="21"/>
  <c r="G7" i="21"/>
  <c r="H7" i="21" s="1"/>
  <c r="G8" i="21"/>
  <c r="H8" i="21"/>
  <c r="G9" i="21"/>
  <c r="H9" i="21" s="1"/>
  <c r="G10" i="21"/>
  <c r="H10" i="21"/>
  <c r="G11" i="21"/>
  <c r="H11" i="21"/>
  <c r="G12" i="21"/>
  <c r="H12" i="21"/>
  <c r="G13" i="21"/>
  <c r="H13" i="21" s="1"/>
  <c r="G14" i="21"/>
  <c r="H14" i="21" s="1"/>
  <c r="G15" i="21"/>
  <c r="H15" i="21"/>
  <c r="G16" i="21"/>
  <c r="H16" i="21"/>
  <c r="G17" i="21"/>
  <c r="H17" i="21" s="1"/>
  <c r="G18" i="21"/>
  <c r="H18" i="21"/>
  <c r="G19" i="21"/>
  <c r="H19" i="21"/>
  <c r="G20" i="21"/>
  <c r="H20" i="21"/>
  <c r="G21" i="21"/>
  <c r="H21" i="21" s="1"/>
  <c r="G22" i="21"/>
  <c r="H22" i="21" s="1"/>
  <c r="G23" i="21"/>
  <c r="H23" i="21" s="1"/>
  <c r="G24" i="21"/>
  <c r="H24" i="21"/>
  <c r="G25" i="21"/>
  <c r="H25" i="21" s="1"/>
  <c r="G26" i="21"/>
  <c r="H26" i="21" s="1"/>
  <c r="G27" i="21"/>
  <c r="H27" i="21"/>
  <c r="G28" i="21"/>
  <c r="H28" i="21"/>
  <c r="G29" i="21"/>
  <c r="H29" i="21" s="1"/>
  <c r="G30" i="21"/>
  <c r="H30" i="21"/>
  <c r="G31" i="21"/>
  <c r="H31" i="21" s="1"/>
  <c r="G32" i="21"/>
  <c r="H32" i="21"/>
  <c r="G33" i="21"/>
  <c r="H33" i="21" s="1"/>
  <c r="G34" i="21"/>
  <c r="H34" i="21"/>
  <c r="G35" i="21"/>
  <c r="H35" i="21"/>
  <c r="G36" i="21"/>
  <c r="H36" i="21"/>
  <c r="G37" i="21"/>
  <c r="H37" i="21" s="1"/>
  <c r="G38" i="21"/>
  <c r="H38" i="21"/>
  <c r="G39" i="21"/>
  <c r="H39" i="21" s="1"/>
  <c r="G40" i="21"/>
  <c r="H40" i="21"/>
  <c r="G41" i="21"/>
  <c r="H41" i="21" s="1"/>
  <c r="G42" i="21"/>
  <c r="H42" i="21"/>
  <c r="E43" i="21"/>
  <c r="L63" i="20"/>
  <c r="L56" i="20"/>
  <c r="L57" i="20"/>
  <c r="L58" i="20"/>
  <c r="L59" i="20"/>
  <c r="L60" i="20"/>
  <c r="L61" i="20"/>
  <c r="K61" i="20"/>
  <c r="K51" i="20"/>
  <c r="K53" i="20" s="1"/>
  <c r="L3" i="20"/>
  <c r="J3" i="20"/>
  <c r="M3" i="20"/>
  <c r="L4" i="20"/>
  <c r="J4" i="20"/>
  <c r="L5" i="20"/>
  <c r="M5" i="20" s="1"/>
  <c r="J5" i="20"/>
  <c r="L6" i="20"/>
  <c r="J6" i="20"/>
  <c r="M6" i="20" s="1"/>
  <c r="L7" i="20"/>
  <c r="J7" i="20"/>
  <c r="M7" i="20"/>
  <c r="L8" i="20"/>
  <c r="M8" i="20" s="1"/>
  <c r="J8" i="20"/>
  <c r="L9" i="20"/>
  <c r="J9" i="20"/>
  <c r="M9" i="20"/>
  <c r="L10" i="20"/>
  <c r="J10" i="20"/>
  <c r="M10" i="20" s="1"/>
  <c r="L11" i="20"/>
  <c r="J11" i="20"/>
  <c r="M11" i="20"/>
  <c r="L12" i="20"/>
  <c r="J12" i="20"/>
  <c r="L13" i="20"/>
  <c r="J13" i="20"/>
  <c r="L14" i="20"/>
  <c r="M14" i="20" s="1"/>
  <c r="J14" i="20"/>
  <c r="L15" i="20"/>
  <c r="J15" i="20"/>
  <c r="M15" i="20"/>
  <c r="L16" i="20"/>
  <c r="J16" i="20"/>
  <c r="M16" i="20"/>
  <c r="L17" i="20"/>
  <c r="M17" i="20" s="1"/>
  <c r="J17" i="20"/>
  <c r="L18" i="20"/>
  <c r="J18" i="20"/>
  <c r="M18" i="20"/>
  <c r="L19" i="20"/>
  <c r="J19" i="20"/>
  <c r="M19" i="20" s="1"/>
  <c r="L20" i="20"/>
  <c r="J20" i="20"/>
  <c r="L21" i="20"/>
  <c r="J21" i="20"/>
  <c r="L22" i="20"/>
  <c r="M22" i="20" s="1"/>
  <c r="J22" i="20"/>
  <c r="L23" i="20"/>
  <c r="M23" i="20" s="1"/>
  <c r="J23" i="20"/>
  <c r="L24" i="20"/>
  <c r="J24" i="20"/>
  <c r="M24" i="20"/>
  <c r="L25" i="20"/>
  <c r="M25" i="20" s="1"/>
  <c r="J25" i="20"/>
  <c r="L26" i="20"/>
  <c r="J26" i="20"/>
  <c r="M26" i="20"/>
  <c r="L27" i="20"/>
  <c r="J27" i="20"/>
  <c r="M27" i="20"/>
  <c r="L28" i="20"/>
  <c r="M28" i="20" s="1"/>
  <c r="J28" i="20"/>
  <c r="L29" i="20"/>
  <c r="J29" i="20"/>
  <c r="L30" i="20"/>
  <c r="J30" i="20"/>
  <c r="M30" i="20"/>
  <c r="L31" i="20"/>
  <c r="M31" i="20" s="1"/>
  <c r="J31" i="20"/>
  <c r="L32" i="20"/>
  <c r="J32" i="20"/>
  <c r="M32" i="20"/>
  <c r="L33" i="20"/>
  <c r="J33" i="20"/>
  <c r="M33" i="20"/>
  <c r="L34" i="20"/>
  <c r="J34" i="20"/>
  <c r="M34" i="20" s="1"/>
  <c r="L35" i="20"/>
  <c r="J35" i="20"/>
  <c r="M35" i="20"/>
  <c r="L36" i="20"/>
  <c r="J36" i="20"/>
  <c r="L37" i="20"/>
  <c r="M37" i="20" s="1"/>
  <c r="J37" i="20"/>
  <c r="L38" i="20"/>
  <c r="J38" i="20"/>
  <c r="M38" i="20"/>
  <c r="L39" i="20"/>
  <c r="J39" i="20"/>
  <c r="M39" i="20"/>
  <c r="L40" i="20"/>
  <c r="M40" i="20" s="1"/>
  <c r="J40" i="20"/>
  <c r="G3" i="20"/>
  <c r="H3" i="20"/>
  <c r="G4" i="20"/>
  <c r="H4" i="20" s="1"/>
  <c r="G5" i="20"/>
  <c r="H5" i="20" s="1"/>
  <c r="G6" i="20"/>
  <c r="H6" i="20" s="1"/>
  <c r="G7" i="20"/>
  <c r="H7" i="20"/>
  <c r="G8" i="20"/>
  <c r="H8" i="20" s="1"/>
  <c r="G9" i="20"/>
  <c r="H9" i="20" s="1"/>
  <c r="G10" i="20"/>
  <c r="H10" i="20"/>
  <c r="G11" i="20"/>
  <c r="H11" i="20"/>
  <c r="G12" i="20"/>
  <c r="H12" i="20" s="1"/>
  <c r="G13" i="20"/>
  <c r="H13" i="20" s="1"/>
  <c r="G14" i="20"/>
  <c r="H14" i="20" s="1"/>
  <c r="G15" i="20"/>
  <c r="H15" i="20"/>
  <c r="G16" i="20"/>
  <c r="H16" i="20" s="1"/>
  <c r="G17" i="20"/>
  <c r="H17" i="20"/>
  <c r="G18" i="20"/>
  <c r="H18" i="20" s="1"/>
  <c r="G19" i="20"/>
  <c r="H19" i="20"/>
  <c r="G20" i="20"/>
  <c r="H20" i="20" s="1"/>
  <c r="G21" i="20"/>
  <c r="H21" i="20"/>
  <c r="G22" i="20"/>
  <c r="H22" i="20" s="1"/>
  <c r="G23" i="20"/>
  <c r="H23" i="20"/>
  <c r="G24" i="20"/>
  <c r="H24" i="20" s="1"/>
  <c r="G25" i="20"/>
  <c r="H25" i="20"/>
  <c r="G26" i="20"/>
  <c r="H26" i="20"/>
  <c r="G27" i="20"/>
  <c r="H27" i="20"/>
  <c r="G28" i="20"/>
  <c r="H28" i="20" s="1"/>
  <c r="G29" i="20"/>
  <c r="H29" i="20" s="1"/>
  <c r="G30" i="20"/>
  <c r="H30" i="20"/>
  <c r="G31" i="20"/>
  <c r="H31" i="20"/>
  <c r="G32" i="20"/>
  <c r="H32" i="20" s="1"/>
  <c r="G33" i="20"/>
  <c r="H33" i="20"/>
  <c r="G34" i="20"/>
  <c r="H34" i="20"/>
  <c r="G35" i="20"/>
  <c r="H35" i="20"/>
  <c r="G36" i="20"/>
  <c r="H36" i="20" s="1"/>
  <c r="G37" i="20"/>
  <c r="H37" i="20" s="1"/>
  <c r="G38" i="20"/>
  <c r="H38" i="20" s="1"/>
  <c r="G39" i="20"/>
  <c r="H39" i="20"/>
  <c r="G40" i="20"/>
  <c r="H40" i="20" s="1"/>
  <c r="E41" i="20"/>
  <c r="K107" i="14"/>
  <c r="K122" i="14" s="1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02" i="14"/>
  <c r="K104" i="14" s="1"/>
  <c r="L48" i="14"/>
  <c r="J48" i="14"/>
  <c r="J91" i="14" s="1"/>
  <c r="L49" i="14"/>
  <c r="M49" i="14" s="1"/>
  <c r="J49" i="14"/>
  <c r="L50" i="14"/>
  <c r="J50" i="14"/>
  <c r="M50" i="14" s="1"/>
  <c r="L51" i="14"/>
  <c r="J51" i="14"/>
  <c r="M51" i="14"/>
  <c r="L52" i="14"/>
  <c r="M52" i="14" s="1"/>
  <c r="J52" i="14"/>
  <c r="L53" i="14"/>
  <c r="M53" i="14" s="1"/>
  <c r="J53" i="14"/>
  <c r="L54" i="14"/>
  <c r="J54" i="14"/>
  <c r="M54" i="14" s="1"/>
  <c r="L55" i="14"/>
  <c r="M55" i="14" s="1"/>
  <c r="J55" i="14"/>
  <c r="L56" i="14"/>
  <c r="J56" i="14"/>
  <c r="L57" i="14"/>
  <c r="J57" i="14"/>
  <c r="M57" i="14"/>
  <c r="L58" i="14"/>
  <c r="M58" i="14" s="1"/>
  <c r="J58" i="14"/>
  <c r="L59" i="14"/>
  <c r="J59" i="14"/>
  <c r="M59" i="14"/>
  <c r="L60" i="14"/>
  <c r="J60" i="14"/>
  <c r="M60" i="14"/>
  <c r="L61" i="14"/>
  <c r="J61" i="14"/>
  <c r="M61" i="14" s="1"/>
  <c r="L62" i="14"/>
  <c r="J62" i="14"/>
  <c r="M62" i="14" s="1"/>
  <c r="L63" i="14"/>
  <c r="J63" i="14"/>
  <c r="L64" i="14"/>
  <c r="M64" i="14" s="1"/>
  <c r="J64" i="14"/>
  <c r="L65" i="14"/>
  <c r="J65" i="14"/>
  <c r="M65" i="14" s="1"/>
  <c r="L66" i="14"/>
  <c r="J66" i="14"/>
  <c r="L67" i="14"/>
  <c r="M67" i="14" s="1"/>
  <c r="J67" i="14"/>
  <c r="L68" i="14"/>
  <c r="J68" i="14"/>
  <c r="M68" i="14"/>
  <c r="L69" i="14"/>
  <c r="M69" i="14" s="1"/>
  <c r="J69" i="14"/>
  <c r="L70" i="14"/>
  <c r="J70" i="14"/>
  <c r="M70" i="14"/>
  <c r="L71" i="14"/>
  <c r="M71" i="14" s="1"/>
  <c r="J71" i="14"/>
  <c r="L72" i="14"/>
  <c r="J72" i="14"/>
  <c r="L73" i="14"/>
  <c r="J73" i="14"/>
  <c r="M73" i="14"/>
  <c r="L74" i="14"/>
  <c r="M74" i="14" s="1"/>
  <c r="J74" i="14"/>
  <c r="L75" i="14"/>
  <c r="J75" i="14"/>
  <c r="M75" i="14"/>
  <c r="L76" i="14"/>
  <c r="J76" i="14"/>
  <c r="M76" i="14" s="1"/>
  <c r="L77" i="14"/>
  <c r="J77" i="14"/>
  <c r="L78" i="14"/>
  <c r="J78" i="14"/>
  <c r="M78" i="14"/>
  <c r="L79" i="14"/>
  <c r="J79" i="14"/>
  <c r="M79" i="14" s="1"/>
  <c r="L80" i="14"/>
  <c r="M80" i="14" s="1"/>
  <c r="J80" i="14"/>
  <c r="L81" i="14"/>
  <c r="J81" i="14"/>
  <c r="M81" i="14"/>
  <c r="L82" i="14"/>
  <c r="J82" i="14"/>
  <c r="M82" i="14" s="1"/>
  <c r="L83" i="14"/>
  <c r="M83" i="14" s="1"/>
  <c r="J83" i="14"/>
  <c r="L84" i="14"/>
  <c r="J84" i="14"/>
  <c r="M84" i="14"/>
  <c r="L85" i="14"/>
  <c r="J85" i="14"/>
  <c r="M85" i="14" s="1"/>
  <c r="L86" i="14"/>
  <c r="J86" i="14"/>
  <c r="M86" i="14" s="1"/>
  <c r="L87" i="14"/>
  <c r="J87" i="14"/>
  <c r="M87" i="14"/>
  <c r="L88" i="14"/>
  <c r="J88" i="14"/>
  <c r="L89" i="14"/>
  <c r="J89" i="14"/>
  <c r="M89" i="14" s="1"/>
  <c r="L90" i="14"/>
  <c r="J90" i="14"/>
  <c r="M90" i="14" s="1"/>
  <c r="G48" i="14"/>
  <c r="H48" i="14"/>
  <c r="G49" i="14"/>
  <c r="H49" i="14"/>
  <c r="G50" i="14"/>
  <c r="H50" i="14" s="1"/>
  <c r="G51" i="14"/>
  <c r="H51" i="14"/>
  <c r="G52" i="14"/>
  <c r="H52" i="14"/>
  <c r="G53" i="14"/>
  <c r="H53" i="14"/>
  <c r="G54" i="14"/>
  <c r="H54" i="14" s="1"/>
  <c r="G55" i="14"/>
  <c r="H55" i="14"/>
  <c r="G56" i="14"/>
  <c r="H56" i="14"/>
  <c r="G57" i="14"/>
  <c r="H57" i="14"/>
  <c r="G58" i="14"/>
  <c r="H58" i="14" s="1"/>
  <c r="G59" i="14"/>
  <c r="H59" i="14"/>
  <c r="G60" i="14"/>
  <c r="H60" i="14"/>
  <c r="G61" i="14"/>
  <c r="H61" i="14"/>
  <c r="G62" i="14"/>
  <c r="H62" i="14" s="1"/>
  <c r="G63" i="14"/>
  <c r="H63" i="14"/>
  <c r="G64" i="14"/>
  <c r="H64" i="14"/>
  <c r="G65" i="14"/>
  <c r="H65" i="14"/>
  <c r="G66" i="14"/>
  <c r="H66" i="14" s="1"/>
  <c r="G67" i="14"/>
  <c r="H67" i="14"/>
  <c r="G68" i="14"/>
  <c r="H68" i="14"/>
  <c r="G69" i="14"/>
  <c r="H69" i="14"/>
  <c r="G70" i="14"/>
  <c r="H70" i="14" s="1"/>
  <c r="G71" i="14"/>
  <c r="H71" i="14"/>
  <c r="G72" i="14"/>
  <c r="H72" i="14"/>
  <c r="G73" i="14"/>
  <c r="H73" i="14"/>
  <c r="G74" i="14"/>
  <c r="H74" i="14" s="1"/>
  <c r="G75" i="14"/>
  <c r="H75" i="14"/>
  <c r="G76" i="14"/>
  <c r="H76" i="14"/>
  <c r="G77" i="14"/>
  <c r="H77" i="14"/>
  <c r="G78" i="14"/>
  <c r="H78" i="14" s="1"/>
  <c r="G79" i="14"/>
  <c r="H79" i="14"/>
  <c r="G80" i="14"/>
  <c r="H80" i="14"/>
  <c r="G81" i="14"/>
  <c r="H81" i="14"/>
  <c r="G82" i="14"/>
  <c r="H82" i="14" s="1"/>
  <c r="G83" i="14"/>
  <c r="H83" i="14"/>
  <c r="G84" i="14"/>
  <c r="H84" i="14"/>
  <c r="G85" i="14"/>
  <c r="H85" i="14"/>
  <c r="G86" i="14"/>
  <c r="H86" i="14" s="1"/>
  <c r="G87" i="14"/>
  <c r="H87" i="14"/>
  <c r="G88" i="14"/>
  <c r="H88" i="14"/>
  <c r="G89" i="14"/>
  <c r="H89" i="14"/>
  <c r="G90" i="14"/>
  <c r="H90" i="14" s="1"/>
  <c r="E91" i="14"/>
  <c r="J35" i="14"/>
  <c r="J36" i="14"/>
  <c r="J37" i="14"/>
  <c r="J38" i="14"/>
  <c r="J39" i="14"/>
  <c r="D40" i="14"/>
  <c r="D42" i="14"/>
  <c r="L3" i="14"/>
  <c r="M3" i="14" s="1"/>
  <c r="J3" i="14"/>
  <c r="L4" i="14"/>
  <c r="J4" i="14"/>
  <c r="L5" i="14"/>
  <c r="M5" i="14" s="1"/>
  <c r="J5" i="14"/>
  <c r="J31" i="14" s="1"/>
  <c r="L6" i="14"/>
  <c r="M6" i="14" s="1"/>
  <c r="J6" i="14"/>
  <c r="L7" i="14"/>
  <c r="J7" i="14"/>
  <c r="M7" i="14"/>
  <c r="L8" i="14"/>
  <c r="M8" i="14" s="1"/>
  <c r="J8" i="14"/>
  <c r="L9" i="14"/>
  <c r="J9" i="14"/>
  <c r="M9" i="14" s="1"/>
  <c r="L10" i="14"/>
  <c r="J10" i="14"/>
  <c r="M10" i="14"/>
  <c r="L11" i="14"/>
  <c r="M11" i="14" s="1"/>
  <c r="J11" i="14"/>
  <c r="L12" i="14"/>
  <c r="M12" i="14" s="1"/>
  <c r="J12" i="14"/>
  <c r="L13" i="14"/>
  <c r="J13" i="14"/>
  <c r="M13" i="14" s="1"/>
  <c r="L14" i="14"/>
  <c r="M14" i="14" s="1"/>
  <c r="J14" i="14"/>
  <c r="L15" i="14"/>
  <c r="M15" i="14" s="1"/>
  <c r="J15" i="14"/>
  <c r="L16" i="14"/>
  <c r="J16" i="14"/>
  <c r="M16" i="14"/>
  <c r="L17" i="14"/>
  <c r="M17" i="14" s="1"/>
  <c r="J17" i="14"/>
  <c r="L18" i="14"/>
  <c r="J18" i="14"/>
  <c r="M18" i="14"/>
  <c r="L19" i="14"/>
  <c r="J19" i="14"/>
  <c r="M19" i="14"/>
  <c r="L20" i="14"/>
  <c r="J20" i="14"/>
  <c r="L21" i="14"/>
  <c r="J21" i="14"/>
  <c r="M21" i="14"/>
  <c r="L22" i="14"/>
  <c r="J22" i="14"/>
  <c r="M22" i="14"/>
  <c r="L23" i="14"/>
  <c r="J23" i="14"/>
  <c r="M23" i="14"/>
  <c r="L24" i="14"/>
  <c r="J24" i="14"/>
  <c r="M24" i="14"/>
  <c r="L25" i="14"/>
  <c r="J25" i="14"/>
  <c r="L26" i="14"/>
  <c r="J26" i="14"/>
  <c r="M26" i="14"/>
  <c r="L27" i="14"/>
  <c r="M27" i="14" s="1"/>
  <c r="J27" i="14"/>
  <c r="L28" i="14"/>
  <c r="M28" i="14" s="1"/>
  <c r="J28" i="14"/>
  <c r="L29" i="14"/>
  <c r="J29" i="14"/>
  <c r="M29" i="14"/>
  <c r="G3" i="14"/>
  <c r="H3" i="14" s="1"/>
  <c r="G4" i="14"/>
  <c r="H4" i="14"/>
  <c r="G5" i="14"/>
  <c r="H5" i="14"/>
  <c r="G6" i="14"/>
  <c r="H6" i="14" s="1"/>
  <c r="G7" i="14"/>
  <c r="H7" i="14" s="1"/>
  <c r="G8" i="14"/>
  <c r="H8" i="14" s="1"/>
  <c r="G9" i="14"/>
  <c r="H9" i="14" s="1"/>
  <c r="G10" i="14"/>
  <c r="H10" i="14"/>
  <c r="G11" i="14"/>
  <c r="H11" i="14" s="1"/>
  <c r="G12" i="14"/>
  <c r="H12" i="14" s="1"/>
  <c r="G13" i="14"/>
  <c r="H13" i="14"/>
  <c r="G14" i="14"/>
  <c r="H14" i="14"/>
  <c r="G15" i="14"/>
  <c r="H15" i="14" s="1"/>
  <c r="G16" i="14"/>
  <c r="H16" i="14" s="1"/>
  <c r="G17" i="14"/>
  <c r="H17" i="14" s="1"/>
  <c r="G18" i="14"/>
  <c r="H18" i="14" s="1"/>
  <c r="G19" i="14"/>
  <c r="H19" i="14" s="1"/>
  <c r="G20" i="14"/>
  <c r="H20" i="14" s="1"/>
  <c r="G21" i="14"/>
  <c r="H21" i="14" s="1"/>
  <c r="G22" i="14"/>
  <c r="H22" i="14"/>
  <c r="G23" i="14"/>
  <c r="H23" i="14" s="1"/>
  <c r="G24" i="14"/>
  <c r="H24" i="14"/>
  <c r="G25" i="14"/>
  <c r="H25" i="14"/>
  <c r="G26" i="14"/>
  <c r="H26" i="14" s="1"/>
  <c r="G27" i="14"/>
  <c r="H27" i="14" s="1"/>
  <c r="G28" i="14"/>
  <c r="H28" i="14"/>
  <c r="G29" i="14"/>
  <c r="H29" i="14"/>
  <c r="E31" i="14"/>
  <c r="L30" i="14"/>
  <c r="J30" i="14"/>
  <c r="M30" i="14"/>
  <c r="G30" i="14"/>
  <c r="H30" i="14"/>
  <c r="K40" i="17"/>
  <c r="K42" i="17"/>
  <c r="L22" i="17"/>
  <c r="J22" i="17"/>
  <c r="M22" i="17"/>
  <c r="G22" i="17"/>
  <c r="H22" i="17"/>
  <c r="G3" i="18"/>
  <c r="H3" i="18" s="1"/>
  <c r="H21" i="18" s="1"/>
  <c r="G4" i="18"/>
  <c r="H4" i="18" s="1"/>
  <c r="G5" i="18"/>
  <c r="G6" i="18"/>
  <c r="G7" i="18"/>
  <c r="G8" i="18"/>
  <c r="H8" i="18" s="1"/>
  <c r="G9" i="18"/>
  <c r="H9" i="18" s="1"/>
  <c r="G10" i="18"/>
  <c r="H10" i="18" s="1"/>
  <c r="G11" i="18"/>
  <c r="H11" i="18" s="1"/>
  <c r="G12" i="18"/>
  <c r="G13" i="18"/>
  <c r="H13" i="18" s="1"/>
  <c r="G14" i="18"/>
  <c r="G15" i="18"/>
  <c r="G16" i="18"/>
  <c r="H16" i="18" s="1"/>
  <c r="G17" i="18"/>
  <c r="H17" i="18" s="1"/>
  <c r="G18" i="18"/>
  <c r="H18" i="18" s="1"/>
  <c r="G19" i="18"/>
  <c r="H19" i="18" s="1"/>
  <c r="G20" i="18"/>
  <c r="H20" i="18" s="1"/>
  <c r="E21" i="18"/>
  <c r="L9" i="18"/>
  <c r="L10" i="18"/>
  <c r="L11" i="18"/>
  <c r="L3" i="18"/>
  <c r="L4" i="18"/>
  <c r="M4" i="18" s="1"/>
  <c r="L5" i="18"/>
  <c r="L6" i="18"/>
  <c r="M6" i="18" s="1"/>
  <c r="L7" i="18"/>
  <c r="L8" i="18"/>
  <c r="L12" i="18"/>
  <c r="L13" i="18"/>
  <c r="M13" i="18" s="1"/>
  <c r="L14" i="18"/>
  <c r="M14" i="18" s="1"/>
  <c r="L15" i="18"/>
  <c r="M15" i="18" s="1"/>
  <c r="L16" i="18"/>
  <c r="M16" i="18" s="1"/>
  <c r="L17" i="18"/>
  <c r="M17" i="18" s="1"/>
  <c r="L18" i="18"/>
  <c r="L19" i="18"/>
  <c r="L20" i="18"/>
  <c r="H5" i="18"/>
  <c r="H6" i="18"/>
  <c r="H7" i="18"/>
  <c r="H12" i="18"/>
  <c r="H14" i="18"/>
  <c r="H15" i="18"/>
  <c r="J3" i="18"/>
  <c r="J4" i="18"/>
  <c r="J5" i="18"/>
  <c r="J6" i="18"/>
  <c r="J7" i="18"/>
  <c r="J8" i="18"/>
  <c r="J9" i="18"/>
  <c r="J10" i="18"/>
  <c r="J11" i="18"/>
  <c r="M11" i="18" s="1"/>
  <c r="J12" i="18"/>
  <c r="M12" i="18" s="1"/>
  <c r="J13" i="18"/>
  <c r="J14" i="18"/>
  <c r="J15" i="18"/>
  <c r="J16" i="18"/>
  <c r="J17" i="18"/>
  <c r="J18" i="18"/>
  <c r="J19" i="18"/>
  <c r="J20" i="18"/>
  <c r="M9" i="18"/>
  <c r="M5" i="18"/>
  <c r="M8" i="18"/>
  <c r="M19" i="18"/>
  <c r="M20" i="18"/>
  <c r="E27" i="17"/>
  <c r="G3" i="17"/>
  <c r="G4" i="17"/>
  <c r="G5" i="17"/>
  <c r="G6" i="17"/>
  <c r="G7" i="17"/>
  <c r="H7" i="17" s="1"/>
  <c r="G8" i="17"/>
  <c r="G9" i="17"/>
  <c r="G10" i="17"/>
  <c r="G11" i="17"/>
  <c r="G12" i="17"/>
  <c r="G13" i="17"/>
  <c r="G14" i="17"/>
  <c r="G15" i="17"/>
  <c r="H15" i="17" s="1"/>
  <c r="G16" i="17"/>
  <c r="G17" i="17"/>
  <c r="G18" i="17"/>
  <c r="G19" i="17"/>
  <c r="G20" i="17"/>
  <c r="G21" i="17"/>
  <c r="G23" i="17"/>
  <c r="G24" i="17"/>
  <c r="H24" i="17" s="1"/>
  <c r="G25" i="17"/>
  <c r="G26" i="17"/>
  <c r="H3" i="17"/>
  <c r="H4" i="17"/>
  <c r="H5" i="17"/>
  <c r="H6" i="17"/>
  <c r="H8" i="17"/>
  <c r="H9" i="17"/>
  <c r="H10" i="17"/>
  <c r="H11" i="17"/>
  <c r="H12" i="17"/>
  <c r="H13" i="17"/>
  <c r="H14" i="17"/>
  <c r="H16" i="17"/>
  <c r="H17" i="17"/>
  <c r="H18" i="17"/>
  <c r="H19" i="17"/>
  <c r="H20" i="17"/>
  <c r="H21" i="17"/>
  <c r="H23" i="17"/>
  <c r="H25" i="17"/>
  <c r="H26" i="17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3" i="17"/>
  <c r="J24" i="17"/>
  <c r="J25" i="17"/>
  <c r="J26" i="17"/>
  <c r="L3" i="17"/>
  <c r="L27" i="17" s="1"/>
  <c r="L4" i="17"/>
  <c r="L5" i="17"/>
  <c r="L6" i="17"/>
  <c r="L7" i="17"/>
  <c r="L8" i="17"/>
  <c r="M8" i="17" s="1"/>
  <c r="L9" i="17"/>
  <c r="M9" i="17" s="1"/>
  <c r="L10" i="17"/>
  <c r="L11" i="17"/>
  <c r="L12" i="17"/>
  <c r="L13" i="17"/>
  <c r="L14" i="17"/>
  <c r="L15" i="17"/>
  <c r="L16" i="17"/>
  <c r="M16" i="17" s="1"/>
  <c r="L17" i="17"/>
  <c r="M17" i="17" s="1"/>
  <c r="L18" i="17"/>
  <c r="L19" i="17"/>
  <c r="L20" i="17"/>
  <c r="L21" i="17"/>
  <c r="L23" i="17"/>
  <c r="L24" i="17"/>
  <c r="L25" i="17"/>
  <c r="M25" i="17" s="1"/>
  <c r="L26" i="17"/>
  <c r="M26" i="17" s="1"/>
  <c r="M3" i="17"/>
  <c r="M4" i="17"/>
  <c r="M5" i="17"/>
  <c r="M6" i="17"/>
  <c r="M7" i="17"/>
  <c r="M10" i="17"/>
  <c r="M11" i="17"/>
  <c r="M12" i="17"/>
  <c r="M13" i="17"/>
  <c r="M14" i="17"/>
  <c r="M15" i="17"/>
  <c r="M18" i="17"/>
  <c r="M19" i="17"/>
  <c r="M20" i="17"/>
  <c r="M21" i="17"/>
  <c r="M23" i="17"/>
  <c r="M24" i="17"/>
  <c r="L36" i="15"/>
  <c r="M36" i="15" s="1"/>
  <c r="J36" i="15"/>
  <c r="G36" i="15"/>
  <c r="H36" i="15"/>
  <c r="L3" i="16"/>
  <c r="J3" i="16"/>
  <c r="L4" i="16"/>
  <c r="M4" i="16" s="1"/>
  <c r="J4" i="16"/>
  <c r="L5" i="16"/>
  <c r="J5" i="16"/>
  <c r="M5" i="16" s="1"/>
  <c r="L6" i="16"/>
  <c r="M6" i="16" s="1"/>
  <c r="J6" i="16"/>
  <c r="L7" i="16"/>
  <c r="J7" i="16"/>
  <c r="L8" i="16"/>
  <c r="J8" i="16"/>
  <c r="M8" i="16"/>
  <c r="L9" i="16"/>
  <c r="M9" i="16" s="1"/>
  <c r="J9" i="16"/>
  <c r="L10" i="16"/>
  <c r="J10" i="16"/>
  <c r="M10" i="16"/>
  <c r="L11" i="16"/>
  <c r="J11" i="16"/>
  <c r="M11" i="16"/>
  <c r="L12" i="16"/>
  <c r="J12" i="16"/>
  <c r="M12" i="16" s="1"/>
  <c r="L13" i="16"/>
  <c r="J13" i="16"/>
  <c r="M13" i="16" s="1"/>
  <c r="L14" i="16"/>
  <c r="J14" i="16"/>
  <c r="L15" i="16"/>
  <c r="J15" i="16"/>
  <c r="L16" i="16"/>
  <c r="J16" i="16"/>
  <c r="M16" i="16" s="1"/>
  <c r="L17" i="16"/>
  <c r="J17" i="16"/>
  <c r="L18" i="16"/>
  <c r="M18" i="16" s="1"/>
  <c r="J18" i="16"/>
  <c r="L19" i="16"/>
  <c r="M19" i="16" s="1"/>
  <c r="J19" i="16"/>
  <c r="L20" i="16"/>
  <c r="M20" i="16" s="1"/>
  <c r="J20" i="16"/>
  <c r="L21" i="16"/>
  <c r="J21" i="16"/>
  <c r="M21" i="16"/>
  <c r="L22" i="16"/>
  <c r="M22" i="16" s="1"/>
  <c r="J22" i="16"/>
  <c r="L23" i="16"/>
  <c r="J23" i="16"/>
  <c r="L24" i="16"/>
  <c r="J24" i="16"/>
  <c r="M24" i="16"/>
  <c r="L25" i="16"/>
  <c r="M25" i="16" s="1"/>
  <c r="J25" i="16"/>
  <c r="L26" i="16"/>
  <c r="J26" i="16"/>
  <c r="M26" i="16"/>
  <c r="L27" i="16"/>
  <c r="J27" i="16"/>
  <c r="M27" i="16" s="1"/>
  <c r="L28" i="16"/>
  <c r="M28" i="16" s="1"/>
  <c r="J28" i="16"/>
  <c r="L29" i="16"/>
  <c r="J29" i="16"/>
  <c r="M29" i="16"/>
  <c r="L30" i="16"/>
  <c r="J30" i="16"/>
  <c r="M30" i="16" s="1"/>
  <c r="L31" i="16"/>
  <c r="M31" i="16" s="1"/>
  <c r="J31" i="16"/>
  <c r="L32" i="16"/>
  <c r="J32" i="16"/>
  <c r="M32" i="16"/>
  <c r="L33" i="16"/>
  <c r="J33" i="16"/>
  <c r="M33" i="16" s="1"/>
  <c r="L34" i="16"/>
  <c r="M34" i="16" s="1"/>
  <c r="J34" i="16"/>
  <c r="G3" i="16"/>
  <c r="H3" i="16"/>
  <c r="G4" i="16"/>
  <c r="H4" i="16" s="1"/>
  <c r="G5" i="16"/>
  <c r="H5" i="16"/>
  <c r="G6" i="16"/>
  <c r="H6" i="16"/>
  <c r="G7" i="16"/>
  <c r="H7" i="16" s="1"/>
  <c r="G8" i="16"/>
  <c r="H8" i="16" s="1"/>
  <c r="G9" i="16"/>
  <c r="H9" i="16" s="1"/>
  <c r="G10" i="16"/>
  <c r="H10" i="16" s="1"/>
  <c r="G11" i="16"/>
  <c r="H11" i="16"/>
  <c r="G12" i="16"/>
  <c r="H12" i="16" s="1"/>
  <c r="G13" i="16"/>
  <c r="H13" i="16" s="1"/>
  <c r="G14" i="16"/>
  <c r="H14" i="16"/>
  <c r="G15" i="16"/>
  <c r="H15" i="16"/>
  <c r="G16" i="16"/>
  <c r="H16" i="16" s="1"/>
  <c r="G17" i="16"/>
  <c r="H17" i="16" s="1"/>
  <c r="G18" i="16"/>
  <c r="H18" i="16" s="1"/>
  <c r="G19" i="16"/>
  <c r="H19" i="16" s="1"/>
  <c r="G20" i="16"/>
  <c r="H20" i="16" s="1"/>
  <c r="G21" i="16"/>
  <c r="H21" i="16" s="1"/>
  <c r="G22" i="16"/>
  <c r="H22" i="16" s="1"/>
  <c r="G23" i="16"/>
  <c r="H23" i="16"/>
  <c r="G24" i="16"/>
  <c r="H24" i="16" s="1"/>
  <c r="G25" i="16"/>
  <c r="H25" i="16"/>
  <c r="G26" i="16"/>
  <c r="H26" i="16"/>
  <c r="G27" i="16"/>
  <c r="H27" i="16" s="1"/>
  <c r="G28" i="16"/>
  <c r="H28" i="16" s="1"/>
  <c r="G29" i="16"/>
  <c r="H29" i="16"/>
  <c r="G30" i="16"/>
  <c r="H30" i="16"/>
  <c r="G31" i="16"/>
  <c r="H31" i="16"/>
  <c r="G32" i="16"/>
  <c r="H32" i="16" s="1"/>
  <c r="G33" i="16"/>
  <c r="H33" i="16" s="1"/>
  <c r="G34" i="16"/>
  <c r="H34" i="16"/>
  <c r="G35" i="16"/>
  <c r="E35" i="16"/>
  <c r="G28" i="15"/>
  <c r="H28" i="15"/>
  <c r="J28" i="15"/>
  <c r="L28" i="15"/>
  <c r="M28" i="15"/>
  <c r="L23" i="15"/>
  <c r="J23" i="15"/>
  <c r="M23" i="15" s="1"/>
  <c r="M52" i="15"/>
  <c r="L34" i="15"/>
  <c r="M34" i="15" s="1"/>
  <c r="J34" i="15"/>
  <c r="G34" i="15"/>
  <c r="H34" i="15"/>
  <c r="L32" i="15"/>
  <c r="J32" i="15"/>
  <c r="G32" i="15"/>
  <c r="H32" i="15"/>
  <c r="L31" i="15"/>
  <c r="J31" i="15"/>
  <c r="M31" i="15"/>
  <c r="G31" i="15"/>
  <c r="H31" i="15"/>
  <c r="E39" i="15"/>
  <c r="G3" i="15"/>
  <c r="G4" i="15"/>
  <c r="H4" i="15" s="1"/>
  <c r="G5" i="15"/>
  <c r="G6" i="15"/>
  <c r="G7" i="15"/>
  <c r="H7" i="15" s="1"/>
  <c r="G8" i="15"/>
  <c r="G9" i="15"/>
  <c r="H9" i="15" s="1"/>
  <c r="G10" i="15"/>
  <c r="G11" i="15"/>
  <c r="G12" i="15"/>
  <c r="H12" i="15" s="1"/>
  <c r="G13" i="15"/>
  <c r="G14" i="15"/>
  <c r="G15" i="15"/>
  <c r="H15" i="15" s="1"/>
  <c r="G16" i="15"/>
  <c r="G17" i="15"/>
  <c r="G18" i="15"/>
  <c r="G19" i="15"/>
  <c r="G20" i="15"/>
  <c r="H20" i="15" s="1"/>
  <c r="G21" i="15"/>
  <c r="G22" i="15"/>
  <c r="G23" i="15"/>
  <c r="H23" i="15" s="1"/>
  <c r="G24" i="15"/>
  <c r="G25" i="15"/>
  <c r="G26" i="15"/>
  <c r="G27" i="15"/>
  <c r="G29" i="15"/>
  <c r="H29" i="15" s="1"/>
  <c r="G30" i="15"/>
  <c r="G33" i="15"/>
  <c r="G35" i="15"/>
  <c r="H35" i="15" s="1"/>
  <c r="G37" i="15"/>
  <c r="H37" i="15" s="1"/>
  <c r="G38" i="15"/>
  <c r="H38" i="15" s="1"/>
  <c r="H3" i="15"/>
  <c r="H5" i="15"/>
  <c r="H6" i="15"/>
  <c r="H8" i="15"/>
  <c r="H10" i="15"/>
  <c r="H11" i="15"/>
  <c r="H13" i="15"/>
  <c r="H14" i="15"/>
  <c r="H16" i="15"/>
  <c r="H17" i="15"/>
  <c r="H18" i="15"/>
  <c r="H19" i="15"/>
  <c r="H21" i="15"/>
  <c r="H22" i="15"/>
  <c r="H24" i="15"/>
  <c r="H25" i="15"/>
  <c r="H26" i="15"/>
  <c r="H27" i="15"/>
  <c r="H30" i="15"/>
  <c r="H33" i="15"/>
  <c r="J3" i="15"/>
  <c r="J39" i="15" s="1"/>
  <c r="J4" i="15"/>
  <c r="J5" i="15"/>
  <c r="J6" i="15"/>
  <c r="J7" i="15"/>
  <c r="J8" i="15"/>
  <c r="J9" i="15"/>
  <c r="M9" i="15" s="1"/>
  <c r="J10" i="15"/>
  <c r="J11" i="15"/>
  <c r="M11" i="15" s="1"/>
  <c r="J12" i="15"/>
  <c r="J13" i="15"/>
  <c r="J14" i="15"/>
  <c r="J15" i="15"/>
  <c r="J16" i="15"/>
  <c r="J17" i="15"/>
  <c r="J18" i="15"/>
  <c r="J19" i="15"/>
  <c r="M19" i="15" s="1"/>
  <c r="J20" i="15"/>
  <c r="J21" i="15"/>
  <c r="J22" i="15"/>
  <c r="J24" i="15"/>
  <c r="J25" i="15"/>
  <c r="J26" i="15"/>
  <c r="J27" i="15"/>
  <c r="J29" i="15"/>
  <c r="M29" i="15" s="1"/>
  <c r="J30" i="15"/>
  <c r="J33" i="15"/>
  <c r="J35" i="15"/>
  <c r="J37" i="15"/>
  <c r="J38" i="15"/>
  <c r="L3" i="15"/>
  <c r="L4" i="15"/>
  <c r="L5" i="15"/>
  <c r="M5" i="15" s="1"/>
  <c r="L6" i="15"/>
  <c r="L7" i="15"/>
  <c r="L8" i="15"/>
  <c r="M8" i="15" s="1"/>
  <c r="L9" i="15"/>
  <c r="L10" i="15"/>
  <c r="M10" i="15" s="1"/>
  <c r="L11" i="15"/>
  <c r="L12" i="15"/>
  <c r="L13" i="15"/>
  <c r="L14" i="15"/>
  <c r="L15" i="15"/>
  <c r="L16" i="15"/>
  <c r="L17" i="15"/>
  <c r="M17" i="15" s="1"/>
  <c r="L18" i="15"/>
  <c r="M18" i="15" s="1"/>
  <c r="L19" i="15"/>
  <c r="L20" i="15"/>
  <c r="L21" i="15"/>
  <c r="M21" i="15" s="1"/>
  <c r="L22" i="15"/>
  <c r="L24" i="15"/>
  <c r="L25" i="15"/>
  <c r="L26" i="15"/>
  <c r="M26" i="15" s="1"/>
  <c r="L27" i="15"/>
  <c r="M27" i="15" s="1"/>
  <c r="L29" i="15"/>
  <c r="L30" i="15"/>
  <c r="L33" i="15"/>
  <c r="L35" i="15"/>
  <c r="L37" i="15"/>
  <c r="L38" i="15"/>
  <c r="M6" i="15"/>
  <c r="M7" i="15"/>
  <c r="M13" i="15"/>
  <c r="M14" i="15"/>
  <c r="M15" i="15"/>
  <c r="M16" i="15"/>
  <c r="M22" i="15"/>
  <c r="M24" i="15"/>
  <c r="M25" i="15"/>
  <c r="M33" i="15"/>
  <c r="M35" i="15"/>
  <c r="M37" i="15"/>
  <c r="M38" i="15"/>
  <c r="J84" i="13"/>
  <c r="J64" i="13"/>
  <c r="J66" i="13"/>
  <c r="L40" i="13"/>
  <c r="J40" i="13"/>
  <c r="M40" i="13" s="1"/>
  <c r="G40" i="13"/>
  <c r="H40" i="13" s="1"/>
  <c r="L39" i="13"/>
  <c r="M39" i="13" s="1"/>
  <c r="J39" i="13"/>
  <c r="G39" i="13"/>
  <c r="H39" i="13"/>
  <c r="L38" i="13"/>
  <c r="J38" i="13"/>
  <c r="G38" i="13"/>
  <c r="H38" i="13" s="1"/>
  <c r="G7" i="13"/>
  <c r="G8" i="13"/>
  <c r="G9" i="13"/>
  <c r="G10" i="13"/>
  <c r="G11" i="13"/>
  <c r="H11" i="13" s="1"/>
  <c r="G12" i="13"/>
  <c r="G13" i="13"/>
  <c r="G14" i="13"/>
  <c r="G15" i="13"/>
  <c r="G16" i="13"/>
  <c r="G17" i="13"/>
  <c r="G18" i="13"/>
  <c r="G19" i="13"/>
  <c r="H19" i="13" s="1"/>
  <c r="G20" i="13"/>
  <c r="G21" i="13"/>
  <c r="G22" i="13"/>
  <c r="G23" i="13"/>
  <c r="G24" i="13"/>
  <c r="H24" i="13" s="1"/>
  <c r="G25" i="13"/>
  <c r="G26" i="13"/>
  <c r="G27" i="13"/>
  <c r="H27" i="13" s="1"/>
  <c r="G28" i="13"/>
  <c r="G29" i="13"/>
  <c r="G30" i="13"/>
  <c r="G31" i="13"/>
  <c r="G32" i="13"/>
  <c r="H32" i="13" s="1"/>
  <c r="G33" i="13"/>
  <c r="G34" i="13"/>
  <c r="G35" i="13"/>
  <c r="H35" i="13" s="1"/>
  <c r="G36" i="13"/>
  <c r="G37" i="13"/>
  <c r="G41" i="13"/>
  <c r="G42" i="13"/>
  <c r="G43" i="13"/>
  <c r="H43" i="13" s="1"/>
  <c r="G44" i="13"/>
  <c r="G45" i="13"/>
  <c r="G46" i="13"/>
  <c r="H46" i="13" s="1"/>
  <c r="G47" i="13"/>
  <c r="G48" i="13"/>
  <c r="G49" i="13"/>
  <c r="G50" i="13"/>
  <c r="G3" i="13"/>
  <c r="G4" i="13"/>
  <c r="G5" i="13"/>
  <c r="G6" i="13"/>
  <c r="H6" i="13" s="1"/>
  <c r="E51" i="13"/>
  <c r="H7" i="13"/>
  <c r="H8" i="13"/>
  <c r="H9" i="13"/>
  <c r="H10" i="13"/>
  <c r="H12" i="13"/>
  <c r="H13" i="13"/>
  <c r="H14" i="13"/>
  <c r="H15" i="13"/>
  <c r="H16" i="13"/>
  <c r="H17" i="13"/>
  <c r="H18" i="13"/>
  <c r="H20" i="13"/>
  <c r="H21" i="13"/>
  <c r="H22" i="13"/>
  <c r="H23" i="13"/>
  <c r="H25" i="13"/>
  <c r="H26" i="13"/>
  <c r="H28" i="13"/>
  <c r="H29" i="13"/>
  <c r="H30" i="13"/>
  <c r="H31" i="13"/>
  <c r="H33" i="13"/>
  <c r="H34" i="13"/>
  <c r="H36" i="13"/>
  <c r="H37" i="13"/>
  <c r="H41" i="13"/>
  <c r="H42" i="13"/>
  <c r="H44" i="13"/>
  <c r="H45" i="13"/>
  <c r="H47" i="13"/>
  <c r="H48" i="13"/>
  <c r="H49" i="13"/>
  <c r="H50" i="13"/>
  <c r="H4" i="13"/>
  <c r="H5" i="13"/>
  <c r="J3" i="13"/>
  <c r="J4" i="13"/>
  <c r="J5" i="13"/>
  <c r="J6" i="13"/>
  <c r="J7" i="13"/>
  <c r="J51" i="13" s="1"/>
  <c r="J8" i="13"/>
  <c r="M8" i="13" s="1"/>
  <c r="J9" i="13"/>
  <c r="J10" i="13"/>
  <c r="J11" i="13"/>
  <c r="J12" i="13"/>
  <c r="J13" i="13"/>
  <c r="J14" i="13"/>
  <c r="J15" i="13"/>
  <c r="J16" i="13"/>
  <c r="M16" i="13" s="1"/>
  <c r="J17" i="13"/>
  <c r="J18" i="13"/>
  <c r="J19" i="13"/>
  <c r="J20" i="13"/>
  <c r="J21" i="13"/>
  <c r="J22" i="13"/>
  <c r="J23" i="13"/>
  <c r="J24" i="13"/>
  <c r="M24" i="13" s="1"/>
  <c r="J25" i="13"/>
  <c r="J26" i="13"/>
  <c r="J27" i="13"/>
  <c r="J28" i="13"/>
  <c r="J29" i="13"/>
  <c r="J30" i="13"/>
  <c r="J31" i="13"/>
  <c r="J32" i="13"/>
  <c r="M32" i="13" s="1"/>
  <c r="J33" i="13"/>
  <c r="J34" i="13"/>
  <c r="J35" i="13"/>
  <c r="J36" i="13"/>
  <c r="J37" i="13"/>
  <c r="J41" i="13"/>
  <c r="J42" i="13"/>
  <c r="J43" i="13"/>
  <c r="M43" i="13" s="1"/>
  <c r="J44" i="13"/>
  <c r="J45" i="13"/>
  <c r="J46" i="13"/>
  <c r="J47" i="13"/>
  <c r="J48" i="13"/>
  <c r="J49" i="13"/>
  <c r="J50" i="13"/>
  <c r="L3" i="13"/>
  <c r="L4" i="13"/>
  <c r="L5" i="13"/>
  <c r="L6" i="13"/>
  <c r="L7" i="13"/>
  <c r="M7" i="13" s="1"/>
  <c r="L8" i="13"/>
  <c r="L9" i="13"/>
  <c r="M9" i="13" s="1"/>
  <c r="L10" i="13"/>
  <c r="M10" i="13" s="1"/>
  <c r="L11" i="13"/>
  <c r="L12" i="13"/>
  <c r="L13" i="13"/>
  <c r="L14" i="13"/>
  <c r="L15" i="13"/>
  <c r="M15" i="13" s="1"/>
  <c r="L16" i="13"/>
  <c r="L17" i="13"/>
  <c r="M17" i="13" s="1"/>
  <c r="L18" i="13"/>
  <c r="M18" i="13" s="1"/>
  <c r="L19" i="13"/>
  <c r="L20" i="13"/>
  <c r="L21" i="13"/>
  <c r="L22" i="13"/>
  <c r="L23" i="13"/>
  <c r="M23" i="13" s="1"/>
  <c r="L24" i="13"/>
  <c r="L25" i="13"/>
  <c r="M25" i="13" s="1"/>
  <c r="L26" i="13"/>
  <c r="M26" i="13" s="1"/>
  <c r="L27" i="13"/>
  <c r="L28" i="13"/>
  <c r="L29" i="13"/>
  <c r="L30" i="13"/>
  <c r="L31" i="13"/>
  <c r="M31" i="13" s="1"/>
  <c r="L32" i="13"/>
  <c r="L33" i="13"/>
  <c r="M33" i="13" s="1"/>
  <c r="L34" i="13"/>
  <c r="M34" i="13" s="1"/>
  <c r="L35" i="13"/>
  <c r="L36" i="13"/>
  <c r="L37" i="13"/>
  <c r="L41" i="13"/>
  <c r="L42" i="13"/>
  <c r="M42" i="13" s="1"/>
  <c r="L43" i="13"/>
  <c r="L44" i="13"/>
  <c r="M44" i="13" s="1"/>
  <c r="L45" i="13"/>
  <c r="M45" i="13" s="1"/>
  <c r="L46" i="13"/>
  <c r="L47" i="13"/>
  <c r="L48" i="13"/>
  <c r="L49" i="13"/>
  <c r="L50" i="13"/>
  <c r="M50" i="13" s="1"/>
  <c r="M3" i="13"/>
  <c r="M4" i="13"/>
  <c r="M5" i="13"/>
  <c r="M6" i="13"/>
  <c r="M11" i="13"/>
  <c r="M12" i="13"/>
  <c r="M13" i="13"/>
  <c r="M14" i="13"/>
  <c r="M19" i="13"/>
  <c r="M20" i="13"/>
  <c r="M21" i="13"/>
  <c r="M22" i="13"/>
  <c r="M27" i="13"/>
  <c r="M28" i="13"/>
  <c r="M29" i="13"/>
  <c r="M30" i="13"/>
  <c r="M35" i="13"/>
  <c r="M36" i="13"/>
  <c r="M37" i="13"/>
  <c r="M41" i="13"/>
  <c r="M46" i="13"/>
  <c r="M47" i="13"/>
  <c r="M48" i="13"/>
  <c r="M49" i="13"/>
  <c r="I48" i="11"/>
  <c r="I50" i="11"/>
  <c r="K30" i="11"/>
  <c r="L30" i="11" s="1"/>
  <c r="I30" i="11"/>
  <c r="F30" i="11"/>
  <c r="G30" i="11" s="1"/>
  <c r="K29" i="11"/>
  <c r="I29" i="11"/>
  <c r="L29" i="11"/>
  <c r="F29" i="11"/>
  <c r="G29" i="11" s="1"/>
  <c r="K34" i="11"/>
  <c r="I34" i="11"/>
  <c r="F34" i="11"/>
  <c r="G34" i="11"/>
  <c r="K33" i="11"/>
  <c r="F33" i="11"/>
  <c r="G33" i="11"/>
  <c r="I33" i="11"/>
  <c r="K23" i="11"/>
  <c r="K22" i="11"/>
  <c r="I22" i="11"/>
  <c r="L22" i="11"/>
  <c r="K21" i="11"/>
  <c r="F23" i="11"/>
  <c r="G23" i="11"/>
  <c r="I23" i="11"/>
  <c r="F22" i="11"/>
  <c r="G22" i="11" s="1"/>
  <c r="F21" i="11"/>
  <c r="G21" i="11"/>
  <c r="I21" i="11"/>
  <c r="K10" i="11"/>
  <c r="F10" i="11"/>
  <c r="G10" i="11"/>
  <c r="I10" i="11"/>
  <c r="D35" i="11"/>
  <c r="K32" i="11"/>
  <c r="F32" i="11"/>
  <c r="G32" i="11" s="1"/>
  <c r="I32" i="11"/>
  <c r="K31" i="11"/>
  <c r="L31" i="11" s="1"/>
  <c r="F31" i="11"/>
  <c r="G31" i="11"/>
  <c r="I31" i="11"/>
  <c r="K28" i="11"/>
  <c r="F28" i="11"/>
  <c r="G28" i="11" s="1"/>
  <c r="I28" i="11"/>
  <c r="K27" i="11"/>
  <c r="F27" i="11"/>
  <c r="G27" i="11"/>
  <c r="I27" i="11"/>
  <c r="K26" i="11"/>
  <c r="F26" i="11"/>
  <c r="G26" i="11" s="1"/>
  <c r="I26" i="11"/>
  <c r="K25" i="11"/>
  <c r="F25" i="11"/>
  <c r="G25" i="11" s="1"/>
  <c r="I25" i="11"/>
  <c r="K24" i="11"/>
  <c r="F24" i="11"/>
  <c r="G24" i="11"/>
  <c r="I24" i="11"/>
  <c r="K20" i="11"/>
  <c r="F20" i="11"/>
  <c r="G20" i="11" s="1"/>
  <c r="I20" i="11"/>
  <c r="K19" i="11"/>
  <c r="F19" i="11"/>
  <c r="G19" i="11"/>
  <c r="I19" i="11"/>
  <c r="K18" i="11"/>
  <c r="F18" i="11"/>
  <c r="G18" i="11" s="1"/>
  <c r="I18" i="11"/>
  <c r="K17" i="11"/>
  <c r="F17" i="11"/>
  <c r="G17" i="11" s="1"/>
  <c r="I17" i="11"/>
  <c r="K16" i="11"/>
  <c r="L16" i="11" s="1"/>
  <c r="F16" i="11"/>
  <c r="G16" i="11"/>
  <c r="I16" i="11"/>
  <c r="K15" i="11"/>
  <c r="F15" i="11"/>
  <c r="G15" i="11" s="1"/>
  <c r="I15" i="11"/>
  <c r="K14" i="11"/>
  <c r="F14" i="11"/>
  <c r="G14" i="11" s="1"/>
  <c r="I14" i="11"/>
  <c r="K13" i="11"/>
  <c r="F13" i="11"/>
  <c r="G13" i="11" s="1"/>
  <c r="I13" i="11"/>
  <c r="L13" i="11" s="1"/>
  <c r="K12" i="11"/>
  <c r="F12" i="11"/>
  <c r="G12" i="11"/>
  <c r="I12" i="11"/>
  <c r="K11" i="11"/>
  <c r="F11" i="11"/>
  <c r="G11" i="11" s="1"/>
  <c r="I11" i="11"/>
  <c r="K9" i="11"/>
  <c r="L9" i="11" s="1"/>
  <c r="F9" i="11"/>
  <c r="G9" i="11" s="1"/>
  <c r="I9" i="11"/>
  <c r="K8" i="11"/>
  <c r="F8" i="11"/>
  <c r="G8" i="11" s="1"/>
  <c r="I8" i="11"/>
  <c r="L8" i="11" s="1"/>
  <c r="I50" i="12"/>
  <c r="I52" i="12"/>
  <c r="D38" i="12"/>
  <c r="K37" i="12"/>
  <c r="I37" i="12"/>
  <c r="L37" i="12"/>
  <c r="F37" i="12"/>
  <c r="G37" i="12"/>
  <c r="K36" i="12"/>
  <c r="F36" i="12"/>
  <c r="G36" i="12" s="1"/>
  <c r="I36" i="12"/>
  <c r="K35" i="12"/>
  <c r="F35" i="12"/>
  <c r="G35" i="12" s="1"/>
  <c r="I35" i="12"/>
  <c r="L35" i="12" s="1"/>
  <c r="K34" i="12"/>
  <c r="L34" i="12" s="1"/>
  <c r="F34" i="12"/>
  <c r="G34" i="12" s="1"/>
  <c r="I34" i="12"/>
  <c r="K33" i="12"/>
  <c r="I33" i="12"/>
  <c r="L33" i="12" s="1"/>
  <c r="F33" i="12"/>
  <c r="G33" i="12"/>
  <c r="K32" i="12"/>
  <c r="F32" i="12"/>
  <c r="G32" i="12" s="1"/>
  <c r="I32" i="12"/>
  <c r="K31" i="12"/>
  <c r="F31" i="12"/>
  <c r="G31" i="12"/>
  <c r="I31" i="12"/>
  <c r="K30" i="12"/>
  <c r="L30" i="12" s="1"/>
  <c r="F30" i="12"/>
  <c r="G30" i="12" s="1"/>
  <c r="I30" i="12"/>
  <c r="K29" i="12"/>
  <c r="F29" i="12"/>
  <c r="G29" i="12"/>
  <c r="I29" i="12"/>
  <c r="K28" i="12"/>
  <c r="F28" i="12"/>
  <c r="G28" i="12" s="1"/>
  <c r="I28" i="12"/>
  <c r="K27" i="12"/>
  <c r="F27" i="12"/>
  <c r="G27" i="12"/>
  <c r="I27" i="12"/>
  <c r="K26" i="12"/>
  <c r="L26" i="12" s="1"/>
  <c r="F26" i="12"/>
  <c r="G26" i="12" s="1"/>
  <c r="I26" i="12"/>
  <c r="K25" i="12"/>
  <c r="I25" i="12"/>
  <c r="L25" i="12"/>
  <c r="F25" i="12"/>
  <c r="G25" i="12" s="1"/>
  <c r="K24" i="12"/>
  <c r="F24" i="12"/>
  <c r="G24" i="12"/>
  <c r="I24" i="12"/>
  <c r="K23" i="12"/>
  <c r="F23" i="12"/>
  <c r="G23" i="12" s="1"/>
  <c r="I23" i="12"/>
  <c r="L23" i="12"/>
  <c r="K22" i="12"/>
  <c r="F22" i="12"/>
  <c r="G22" i="12"/>
  <c r="I22" i="12"/>
  <c r="K21" i="12"/>
  <c r="L21" i="12" s="1"/>
  <c r="F21" i="12"/>
  <c r="G21" i="12" s="1"/>
  <c r="I21" i="12"/>
  <c r="K20" i="12"/>
  <c r="F20" i="12"/>
  <c r="G20" i="12"/>
  <c r="I20" i="12"/>
  <c r="K19" i="12"/>
  <c r="L19" i="12" s="1"/>
  <c r="F19" i="12"/>
  <c r="G19" i="12" s="1"/>
  <c r="I19" i="12"/>
  <c r="K18" i="12"/>
  <c r="F18" i="12"/>
  <c r="G18" i="12"/>
  <c r="I18" i="12"/>
  <c r="K17" i="12"/>
  <c r="L17" i="12" s="1"/>
  <c r="F17" i="12"/>
  <c r="G17" i="12" s="1"/>
  <c r="I17" i="12"/>
  <c r="K16" i="12"/>
  <c r="F16" i="12"/>
  <c r="G16" i="12"/>
  <c r="I16" i="12"/>
  <c r="K15" i="12"/>
  <c r="L15" i="12" s="1"/>
  <c r="F15" i="12"/>
  <c r="G15" i="12" s="1"/>
  <c r="I15" i="12"/>
  <c r="K14" i="12"/>
  <c r="F14" i="12"/>
  <c r="G14" i="12"/>
  <c r="I14" i="12"/>
  <c r="K13" i="12"/>
  <c r="L13" i="12" s="1"/>
  <c r="F13" i="12"/>
  <c r="G13" i="12" s="1"/>
  <c r="I13" i="12"/>
  <c r="K12" i="12"/>
  <c r="F12" i="12"/>
  <c r="G12" i="12"/>
  <c r="I12" i="12"/>
  <c r="K11" i="12"/>
  <c r="F11" i="12"/>
  <c r="G11" i="12" s="1"/>
  <c r="I11" i="12"/>
  <c r="K10" i="12"/>
  <c r="F10" i="12"/>
  <c r="G10" i="12"/>
  <c r="I10" i="12"/>
  <c r="K9" i="12"/>
  <c r="F9" i="12"/>
  <c r="G9" i="12" s="1"/>
  <c r="I9" i="12"/>
  <c r="K8" i="12"/>
  <c r="F8" i="12"/>
  <c r="G8" i="12"/>
  <c r="I8" i="12"/>
  <c r="K7" i="12"/>
  <c r="I7" i="12"/>
  <c r="F7" i="12"/>
  <c r="G7" i="12"/>
  <c r="K6" i="12"/>
  <c r="I6" i="12"/>
  <c r="F6" i="12"/>
  <c r="G6" i="12" s="1"/>
  <c r="K5" i="12"/>
  <c r="I5" i="12"/>
  <c r="F5" i="12"/>
  <c r="G5" i="12" s="1"/>
  <c r="K4" i="12"/>
  <c r="I4" i="12"/>
  <c r="F4" i="12"/>
  <c r="G4" i="12" s="1"/>
  <c r="K3" i="12"/>
  <c r="K38" i="12" s="1"/>
  <c r="I3" i="12"/>
  <c r="I38" i="12" s="1"/>
  <c r="F3" i="12"/>
  <c r="F38" i="12" s="1"/>
  <c r="K7" i="11"/>
  <c r="I7" i="11"/>
  <c r="F7" i="11"/>
  <c r="G7" i="11" s="1"/>
  <c r="K6" i="11"/>
  <c r="L6" i="11" s="1"/>
  <c r="I6" i="11"/>
  <c r="F6" i="11"/>
  <c r="G6" i="11"/>
  <c r="K5" i="11"/>
  <c r="I5" i="11"/>
  <c r="F5" i="11"/>
  <c r="G5" i="11" s="1"/>
  <c r="K4" i="11"/>
  <c r="I4" i="11"/>
  <c r="F4" i="11"/>
  <c r="F35" i="11" s="1"/>
  <c r="K3" i="11"/>
  <c r="I3" i="11"/>
  <c r="F3" i="11"/>
  <c r="G3" i="11" s="1"/>
  <c r="I54" i="9"/>
  <c r="I56" i="9" s="1"/>
  <c r="I55" i="10"/>
  <c r="I57" i="10" s="1"/>
  <c r="I12" i="10"/>
  <c r="K12" i="10"/>
  <c r="L12" i="10"/>
  <c r="F12" i="10"/>
  <c r="G12" i="10"/>
  <c r="F3" i="10"/>
  <c r="G3" i="10"/>
  <c r="F4" i="10"/>
  <c r="G4" i="10" s="1"/>
  <c r="F5" i="10"/>
  <c r="G5" i="10"/>
  <c r="F6" i="10"/>
  <c r="G6" i="10"/>
  <c r="F7" i="10"/>
  <c r="G7" i="10" s="1"/>
  <c r="F8" i="10"/>
  <c r="G8" i="10" s="1"/>
  <c r="F9" i="10"/>
  <c r="G9" i="10"/>
  <c r="F10" i="10"/>
  <c r="G10" i="10"/>
  <c r="F11" i="10"/>
  <c r="G11" i="10"/>
  <c r="F13" i="10"/>
  <c r="G13" i="10" s="1"/>
  <c r="F14" i="10"/>
  <c r="G14" i="10"/>
  <c r="F15" i="10"/>
  <c r="G15" i="10"/>
  <c r="F16" i="10"/>
  <c r="G16" i="10" s="1"/>
  <c r="F17" i="10"/>
  <c r="G17" i="10" s="1"/>
  <c r="F18" i="10"/>
  <c r="G18" i="10"/>
  <c r="F19" i="10"/>
  <c r="G19" i="10"/>
  <c r="F20" i="10"/>
  <c r="G20" i="10" s="1"/>
  <c r="F21" i="10"/>
  <c r="G21" i="10" s="1"/>
  <c r="F22" i="10"/>
  <c r="G22" i="10"/>
  <c r="F23" i="10"/>
  <c r="G23" i="10"/>
  <c r="F24" i="10"/>
  <c r="G24" i="10"/>
  <c r="F25" i="10"/>
  <c r="G25" i="10" s="1"/>
  <c r="F26" i="10"/>
  <c r="G26" i="10"/>
  <c r="F27" i="10"/>
  <c r="G27" i="10"/>
  <c r="F28" i="10"/>
  <c r="G28" i="10" s="1"/>
  <c r="F29" i="10"/>
  <c r="G29" i="10" s="1"/>
  <c r="F30" i="10"/>
  <c r="G30" i="10"/>
  <c r="F31" i="10"/>
  <c r="G31" i="10"/>
  <c r="F32" i="10"/>
  <c r="G32" i="10" s="1"/>
  <c r="F33" i="10"/>
  <c r="G33" i="10" s="1"/>
  <c r="F34" i="10"/>
  <c r="G34" i="10"/>
  <c r="F35" i="10"/>
  <c r="G35" i="10"/>
  <c r="F36" i="10"/>
  <c r="G36" i="10"/>
  <c r="F37" i="10"/>
  <c r="G37" i="10" s="1"/>
  <c r="F38" i="10"/>
  <c r="G38" i="10"/>
  <c r="F39" i="10"/>
  <c r="G39" i="10"/>
  <c r="F40" i="10"/>
  <c r="G40" i="10" s="1"/>
  <c r="F41" i="10"/>
  <c r="G41" i="10" s="1"/>
  <c r="D42" i="10"/>
  <c r="I3" i="10"/>
  <c r="I4" i="10"/>
  <c r="L4" i="10" s="1"/>
  <c r="I5" i="10"/>
  <c r="I6" i="10"/>
  <c r="I7" i="10"/>
  <c r="I8" i="10"/>
  <c r="I9" i="10"/>
  <c r="I10" i="10"/>
  <c r="I11" i="10"/>
  <c r="L11" i="10" s="1"/>
  <c r="I13" i="10"/>
  <c r="L13" i="10" s="1"/>
  <c r="I14" i="10"/>
  <c r="I15" i="10"/>
  <c r="I16" i="10"/>
  <c r="I17" i="10"/>
  <c r="I18" i="10"/>
  <c r="I19" i="10"/>
  <c r="I20" i="10"/>
  <c r="I21" i="10"/>
  <c r="I22" i="10"/>
  <c r="I23" i="10"/>
  <c r="L23" i="10" s="1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L37" i="10" s="1"/>
  <c r="I38" i="10"/>
  <c r="L38" i="10" s="1"/>
  <c r="I39" i="10"/>
  <c r="I40" i="10"/>
  <c r="I41" i="10"/>
  <c r="K41" i="10"/>
  <c r="L41" i="10"/>
  <c r="K40" i="10"/>
  <c r="L40" i="10"/>
  <c r="K39" i="10"/>
  <c r="L39" i="10" s="1"/>
  <c r="K38" i="10"/>
  <c r="K37" i="10"/>
  <c r="K36" i="10"/>
  <c r="L36" i="10" s="1"/>
  <c r="K35" i="10"/>
  <c r="L35" i="10" s="1"/>
  <c r="K34" i="10"/>
  <c r="L34" i="10" s="1"/>
  <c r="K33" i="10"/>
  <c r="K32" i="10"/>
  <c r="K31" i="10"/>
  <c r="L31" i="10"/>
  <c r="K30" i="10"/>
  <c r="L30" i="10"/>
  <c r="K29" i="10"/>
  <c r="K28" i="10"/>
  <c r="K27" i="10"/>
  <c r="L27" i="10"/>
  <c r="K26" i="10"/>
  <c r="K25" i="10"/>
  <c r="L25" i="10" s="1"/>
  <c r="K24" i="10"/>
  <c r="L24" i="10"/>
  <c r="K23" i="10"/>
  <c r="K22" i="10"/>
  <c r="L22" i="10" s="1"/>
  <c r="K21" i="10"/>
  <c r="L21" i="10" s="1"/>
  <c r="K20" i="10"/>
  <c r="L20" i="10" s="1"/>
  <c r="K19" i="10"/>
  <c r="K18" i="10"/>
  <c r="K17" i="10"/>
  <c r="K16" i="10"/>
  <c r="L16" i="10"/>
  <c r="K15" i="10"/>
  <c r="L15" i="10"/>
  <c r="K14" i="10"/>
  <c r="K13" i="10"/>
  <c r="K11" i="10"/>
  <c r="K10" i="10"/>
  <c r="L10" i="10" s="1"/>
  <c r="K9" i="10"/>
  <c r="K8" i="10"/>
  <c r="K7" i="10"/>
  <c r="K6" i="10"/>
  <c r="K5" i="10"/>
  <c r="K4" i="10"/>
  <c r="K3" i="10"/>
  <c r="K42" i="10" s="1"/>
  <c r="D40" i="9"/>
  <c r="F3" i="9"/>
  <c r="F4" i="9"/>
  <c r="F5" i="9"/>
  <c r="F6" i="9"/>
  <c r="F7" i="9"/>
  <c r="G7" i="9" s="1"/>
  <c r="F8" i="9"/>
  <c r="F9" i="9"/>
  <c r="G9" i="9" s="1"/>
  <c r="F10" i="9"/>
  <c r="G10" i="9" s="1"/>
  <c r="F11" i="9"/>
  <c r="F12" i="9"/>
  <c r="F13" i="9"/>
  <c r="F14" i="9"/>
  <c r="F15" i="9"/>
  <c r="G15" i="9" s="1"/>
  <c r="F16" i="9"/>
  <c r="F17" i="9"/>
  <c r="G17" i="9" s="1"/>
  <c r="F18" i="9"/>
  <c r="G18" i="9" s="1"/>
  <c r="F19" i="9"/>
  <c r="F20" i="9"/>
  <c r="F21" i="9"/>
  <c r="F22" i="9"/>
  <c r="F23" i="9"/>
  <c r="G23" i="9" s="1"/>
  <c r="F24" i="9"/>
  <c r="F25" i="9"/>
  <c r="G25" i="9" s="1"/>
  <c r="F26" i="9"/>
  <c r="G26" i="9" s="1"/>
  <c r="F27" i="9"/>
  <c r="G27" i="9" s="1"/>
  <c r="F28" i="9"/>
  <c r="F29" i="9"/>
  <c r="F30" i="9"/>
  <c r="F31" i="9"/>
  <c r="G31" i="9" s="1"/>
  <c r="F32" i="9"/>
  <c r="F33" i="9"/>
  <c r="G33" i="9" s="1"/>
  <c r="F34" i="9"/>
  <c r="G34" i="9" s="1"/>
  <c r="F35" i="9"/>
  <c r="G35" i="9" s="1"/>
  <c r="F36" i="9"/>
  <c r="F37" i="9"/>
  <c r="F38" i="9"/>
  <c r="F39" i="9"/>
  <c r="G39" i="9" s="1"/>
  <c r="G3" i="9"/>
  <c r="G4" i="9"/>
  <c r="G5" i="9"/>
  <c r="G6" i="9"/>
  <c r="G8" i="9"/>
  <c r="G11" i="9"/>
  <c r="G12" i="9"/>
  <c r="G13" i="9"/>
  <c r="G14" i="9"/>
  <c r="G16" i="9"/>
  <c r="G19" i="9"/>
  <c r="G20" i="9"/>
  <c r="G21" i="9"/>
  <c r="G22" i="9"/>
  <c r="G24" i="9"/>
  <c r="G28" i="9"/>
  <c r="G29" i="9"/>
  <c r="G30" i="9"/>
  <c r="G32" i="9"/>
  <c r="G36" i="9"/>
  <c r="G37" i="9"/>
  <c r="G38" i="9"/>
  <c r="I3" i="9"/>
  <c r="I40" i="9" s="1"/>
  <c r="I4" i="9"/>
  <c r="I5" i="9"/>
  <c r="I6" i="9"/>
  <c r="I7" i="9"/>
  <c r="I8" i="9"/>
  <c r="I9" i="9"/>
  <c r="I10" i="9"/>
  <c r="I11" i="9"/>
  <c r="L11" i="9" s="1"/>
  <c r="I12" i="9"/>
  <c r="I13" i="9"/>
  <c r="I14" i="9"/>
  <c r="I15" i="9"/>
  <c r="I16" i="9"/>
  <c r="I17" i="9"/>
  <c r="I18" i="9"/>
  <c r="I19" i="9"/>
  <c r="L19" i="9" s="1"/>
  <c r="I20" i="9"/>
  <c r="I21" i="9"/>
  <c r="I22" i="9"/>
  <c r="I23" i="9"/>
  <c r="I24" i="9"/>
  <c r="I25" i="9"/>
  <c r="I26" i="9"/>
  <c r="I27" i="9"/>
  <c r="L27" i="9" s="1"/>
  <c r="I28" i="9"/>
  <c r="I29" i="9"/>
  <c r="I30" i="9"/>
  <c r="I31" i="9"/>
  <c r="I32" i="9"/>
  <c r="I33" i="9"/>
  <c r="I34" i="9"/>
  <c r="I35" i="9"/>
  <c r="I36" i="9"/>
  <c r="I37" i="9"/>
  <c r="I38" i="9"/>
  <c r="I39" i="9"/>
  <c r="K3" i="9"/>
  <c r="K4" i="9"/>
  <c r="K40" i="9" s="1"/>
  <c r="K5" i="9"/>
  <c r="L5" i="9" s="1"/>
  <c r="K6" i="9"/>
  <c r="K7" i="9"/>
  <c r="K8" i="9"/>
  <c r="K9" i="9"/>
  <c r="K10" i="9"/>
  <c r="L10" i="9" s="1"/>
  <c r="K11" i="9"/>
  <c r="K12" i="9"/>
  <c r="L12" i="9" s="1"/>
  <c r="K13" i="9"/>
  <c r="L13" i="9" s="1"/>
  <c r="K14" i="9"/>
  <c r="K15" i="9"/>
  <c r="K16" i="9"/>
  <c r="K17" i="9"/>
  <c r="K18" i="9"/>
  <c r="L18" i="9" s="1"/>
  <c r="K19" i="9"/>
  <c r="K20" i="9"/>
  <c r="L20" i="9" s="1"/>
  <c r="K21" i="9"/>
  <c r="L21" i="9" s="1"/>
  <c r="K22" i="9"/>
  <c r="L22" i="9" s="1"/>
  <c r="K23" i="9"/>
  <c r="K24" i="9"/>
  <c r="K25" i="9"/>
  <c r="K26" i="9"/>
  <c r="K27" i="9"/>
  <c r="K28" i="9"/>
  <c r="L28" i="9" s="1"/>
  <c r="K29" i="9"/>
  <c r="L29" i="9" s="1"/>
  <c r="K30" i="9"/>
  <c r="K31" i="9"/>
  <c r="K32" i="9"/>
  <c r="K33" i="9"/>
  <c r="K34" i="9"/>
  <c r="K35" i="9"/>
  <c r="K36" i="9"/>
  <c r="L36" i="9" s="1"/>
  <c r="K37" i="9"/>
  <c r="L37" i="9" s="1"/>
  <c r="K38" i="9"/>
  <c r="L38" i="9" s="1"/>
  <c r="K39" i="9"/>
  <c r="L6" i="9"/>
  <c r="L7" i="9"/>
  <c r="L8" i="9"/>
  <c r="L9" i="9"/>
  <c r="L14" i="9"/>
  <c r="L15" i="9"/>
  <c r="L16" i="9"/>
  <c r="L17" i="9"/>
  <c r="L23" i="9"/>
  <c r="L24" i="9"/>
  <c r="L25" i="9"/>
  <c r="L26" i="9"/>
  <c r="L30" i="9"/>
  <c r="L31" i="9"/>
  <c r="L32" i="9"/>
  <c r="L33" i="9"/>
  <c r="L34" i="9"/>
  <c r="L35" i="9"/>
  <c r="L39" i="9"/>
  <c r="I45" i="8"/>
  <c r="I47" i="8"/>
  <c r="D33" i="8"/>
  <c r="F3" i="8"/>
  <c r="F33" i="8" s="1"/>
  <c r="F4" i="8"/>
  <c r="F5" i="8"/>
  <c r="G5" i="8" s="1"/>
  <c r="F6" i="8"/>
  <c r="F7" i="8"/>
  <c r="G7" i="8" s="1"/>
  <c r="F8" i="8"/>
  <c r="G8" i="8" s="1"/>
  <c r="F9" i="8"/>
  <c r="G9" i="8" s="1"/>
  <c r="F10" i="8"/>
  <c r="G10" i="8" s="1"/>
  <c r="F11" i="8"/>
  <c r="G11" i="8" s="1"/>
  <c r="F12" i="8"/>
  <c r="F13" i="8"/>
  <c r="G13" i="8" s="1"/>
  <c r="F14" i="8"/>
  <c r="F15" i="8"/>
  <c r="F16" i="8"/>
  <c r="G16" i="8" s="1"/>
  <c r="F17" i="8"/>
  <c r="G17" i="8" s="1"/>
  <c r="F18" i="8"/>
  <c r="G18" i="8" s="1"/>
  <c r="F19" i="8"/>
  <c r="G19" i="8" s="1"/>
  <c r="F20" i="8"/>
  <c r="F21" i="8"/>
  <c r="G21" i="8" s="1"/>
  <c r="F22" i="8"/>
  <c r="F23" i="8"/>
  <c r="F24" i="8"/>
  <c r="G24" i="8" s="1"/>
  <c r="F25" i="8"/>
  <c r="G25" i="8" s="1"/>
  <c r="F26" i="8"/>
  <c r="G26" i="8" s="1"/>
  <c r="F27" i="8"/>
  <c r="G27" i="8" s="1"/>
  <c r="F28" i="8"/>
  <c r="F29" i="8"/>
  <c r="G29" i="8" s="1"/>
  <c r="F30" i="8"/>
  <c r="F31" i="8"/>
  <c r="F32" i="8"/>
  <c r="G3" i="8"/>
  <c r="G4" i="8"/>
  <c r="G6" i="8"/>
  <c r="G12" i="8"/>
  <c r="G14" i="8"/>
  <c r="G15" i="8"/>
  <c r="G20" i="8"/>
  <c r="G22" i="8"/>
  <c r="G23" i="8"/>
  <c r="G28" i="8"/>
  <c r="G30" i="8"/>
  <c r="G31" i="8"/>
  <c r="G32" i="8"/>
  <c r="I3" i="8"/>
  <c r="I4" i="8"/>
  <c r="I5" i="8"/>
  <c r="I6" i="8"/>
  <c r="I7" i="8"/>
  <c r="L7" i="8" s="1"/>
  <c r="I8" i="8"/>
  <c r="I9" i="8"/>
  <c r="I10" i="8"/>
  <c r="I11" i="8"/>
  <c r="I12" i="8"/>
  <c r="I13" i="8"/>
  <c r="I14" i="8"/>
  <c r="I15" i="8"/>
  <c r="L15" i="8" s="1"/>
  <c r="I16" i="8"/>
  <c r="I17" i="8"/>
  <c r="I18" i="8"/>
  <c r="I19" i="8"/>
  <c r="I20" i="8"/>
  <c r="I21" i="8"/>
  <c r="I22" i="8"/>
  <c r="I23" i="8"/>
  <c r="L23" i="8" s="1"/>
  <c r="I24" i="8"/>
  <c r="I25" i="8"/>
  <c r="I26" i="8"/>
  <c r="I27" i="8"/>
  <c r="I28" i="8"/>
  <c r="I29" i="8"/>
  <c r="I30" i="8"/>
  <c r="I31" i="8"/>
  <c r="L31" i="8" s="1"/>
  <c r="I32" i="8"/>
  <c r="I33" i="8"/>
  <c r="K3" i="8"/>
  <c r="K4" i="8"/>
  <c r="K5" i="8"/>
  <c r="L5" i="8" s="1"/>
  <c r="K6" i="8"/>
  <c r="K7" i="8"/>
  <c r="K8" i="8"/>
  <c r="K9" i="8"/>
  <c r="L9" i="8" s="1"/>
  <c r="K10" i="8"/>
  <c r="L10" i="8" s="1"/>
  <c r="K11" i="8"/>
  <c r="K12" i="8"/>
  <c r="K13" i="8"/>
  <c r="K14" i="8"/>
  <c r="L14" i="8" s="1"/>
  <c r="K15" i="8"/>
  <c r="K16" i="8"/>
  <c r="K17" i="8"/>
  <c r="L17" i="8" s="1"/>
  <c r="K18" i="8"/>
  <c r="L18" i="8" s="1"/>
  <c r="K19" i="8"/>
  <c r="K20" i="8"/>
  <c r="K21" i="8"/>
  <c r="K22" i="8"/>
  <c r="K23" i="8"/>
  <c r="K24" i="8"/>
  <c r="K25" i="8"/>
  <c r="L25" i="8" s="1"/>
  <c r="K26" i="8"/>
  <c r="L26" i="8" s="1"/>
  <c r="K27" i="8"/>
  <c r="K28" i="8"/>
  <c r="K29" i="8"/>
  <c r="K30" i="8"/>
  <c r="K31" i="8"/>
  <c r="K32" i="8"/>
  <c r="L3" i="8"/>
  <c r="L4" i="8"/>
  <c r="L6" i="8"/>
  <c r="L11" i="8"/>
  <c r="L12" i="8"/>
  <c r="L13" i="8"/>
  <c r="L19" i="8"/>
  <c r="L20" i="8"/>
  <c r="L21" i="8"/>
  <c r="L22" i="8"/>
  <c r="L27" i="8"/>
  <c r="L28" i="8"/>
  <c r="L29" i="8"/>
  <c r="L30" i="8"/>
  <c r="I47" i="7"/>
  <c r="I49" i="7" s="1"/>
  <c r="K3" i="6"/>
  <c r="K27" i="6" s="1"/>
  <c r="I3" i="6"/>
  <c r="L3" i="6"/>
  <c r="K4" i="6"/>
  <c r="L4" i="6" s="1"/>
  <c r="I4" i="6"/>
  <c r="K5" i="6"/>
  <c r="I5" i="6"/>
  <c r="L5" i="6"/>
  <c r="K6" i="6"/>
  <c r="I6" i="6"/>
  <c r="L6" i="6"/>
  <c r="K7" i="6"/>
  <c r="I7" i="6"/>
  <c r="L7" i="6"/>
  <c r="K8" i="6"/>
  <c r="I8" i="6"/>
  <c r="L8" i="6"/>
  <c r="K9" i="6"/>
  <c r="I9" i="6"/>
  <c r="K10" i="6"/>
  <c r="I10" i="6"/>
  <c r="L10" i="6"/>
  <c r="K11" i="6"/>
  <c r="I11" i="6"/>
  <c r="L11" i="6"/>
  <c r="K12" i="6"/>
  <c r="L12" i="6" s="1"/>
  <c r="I12" i="6"/>
  <c r="K13" i="6"/>
  <c r="I13" i="6"/>
  <c r="L13" i="6" s="1"/>
  <c r="K14" i="6"/>
  <c r="I14" i="6"/>
  <c r="L14" i="6"/>
  <c r="K15" i="6"/>
  <c r="I15" i="6"/>
  <c r="L15" i="6" s="1"/>
  <c r="K16" i="6"/>
  <c r="I16" i="6"/>
  <c r="L16" i="6"/>
  <c r="K17" i="6"/>
  <c r="I17" i="6"/>
  <c r="K18" i="6"/>
  <c r="L18" i="6" s="1"/>
  <c r="I18" i="6"/>
  <c r="K19" i="6"/>
  <c r="I19" i="6"/>
  <c r="L19" i="6"/>
  <c r="K20" i="6"/>
  <c r="I20" i="6"/>
  <c r="L20" i="6"/>
  <c r="K21" i="6"/>
  <c r="I21" i="6"/>
  <c r="L21" i="6"/>
  <c r="K22" i="6"/>
  <c r="I22" i="6"/>
  <c r="L22" i="6"/>
  <c r="K23" i="6"/>
  <c r="I23" i="6"/>
  <c r="L23" i="6" s="1"/>
  <c r="K24" i="6"/>
  <c r="I24" i="6"/>
  <c r="L24" i="6" s="1"/>
  <c r="K25" i="6"/>
  <c r="I25" i="6"/>
  <c r="K26" i="6"/>
  <c r="L26" i="6" s="1"/>
  <c r="I26" i="6"/>
  <c r="I38" i="6"/>
  <c r="I40" i="6"/>
  <c r="F4" i="6"/>
  <c r="F5" i="6"/>
  <c r="G5" i="6" s="1"/>
  <c r="F6" i="6"/>
  <c r="G6" i="6" s="1"/>
  <c r="F7" i="6"/>
  <c r="F8" i="6"/>
  <c r="F9" i="6"/>
  <c r="G9" i="6" s="1"/>
  <c r="F10" i="6"/>
  <c r="F11" i="6"/>
  <c r="F12" i="6"/>
  <c r="F13" i="6"/>
  <c r="G13" i="6" s="1"/>
  <c r="F14" i="6"/>
  <c r="G14" i="6" s="1"/>
  <c r="F15" i="6"/>
  <c r="F16" i="6"/>
  <c r="F17" i="6"/>
  <c r="G17" i="6" s="1"/>
  <c r="F18" i="6"/>
  <c r="F19" i="6"/>
  <c r="F20" i="6"/>
  <c r="F21" i="6"/>
  <c r="F22" i="6"/>
  <c r="G22" i="6" s="1"/>
  <c r="F23" i="6"/>
  <c r="G23" i="6" s="1"/>
  <c r="F24" i="6"/>
  <c r="F25" i="6"/>
  <c r="G25" i="6" s="1"/>
  <c r="F26" i="6"/>
  <c r="D27" i="6"/>
  <c r="F3" i="6"/>
  <c r="G3" i="6"/>
  <c r="G4" i="6"/>
  <c r="G7" i="6"/>
  <c r="G8" i="6"/>
  <c r="G10" i="6"/>
  <c r="G11" i="6"/>
  <c r="G12" i="6"/>
  <c r="G15" i="6"/>
  <c r="G16" i="6"/>
  <c r="G18" i="6"/>
  <c r="G19" i="6"/>
  <c r="G20" i="6"/>
  <c r="G21" i="6"/>
  <c r="G24" i="6"/>
  <c r="G26" i="6"/>
  <c r="I27" i="6"/>
  <c r="F3" i="7"/>
  <c r="G3" i="7" s="1"/>
  <c r="F4" i="7"/>
  <c r="G4" i="7" s="1"/>
  <c r="F5" i="7"/>
  <c r="G5" i="7" s="1"/>
  <c r="F6" i="7"/>
  <c r="F7" i="7"/>
  <c r="F8" i="7"/>
  <c r="F9" i="7"/>
  <c r="F10" i="7"/>
  <c r="F11" i="7"/>
  <c r="F12" i="7"/>
  <c r="G12" i="7" s="1"/>
  <c r="F13" i="7"/>
  <c r="G13" i="7" s="1"/>
  <c r="F14" i="7"/>
  <c r="F15" i="7"/>
  <c r="F16" i="7"/>
  <c r="F17" i="7"/>
  <c r="F18" i="7"/>
  <c r="G18" i="7" s="1"/>
  <c r="F19" i="7"/>
  <c r="F20" i="7"/>
  <c r="F21" i="7"/>
  <c r="G21" i="7" s="1"/>
  <c r="F22" i="7"/>
  <c r="F23" i="7"/>
  <c r="F24" i="7"/>
  <c r="F25" i="7"/>
  <c r="G25" i="7" s="1"/>
  <c r="F26" i="7"/>
  <c r="G26" i="7" s="1"/>
  <c r="F27" i="7"/>
  <c r="G27" i="7" s="1"/>
  <c r="F28" i="7"/>
  <c r="F29" i="7"/>
  <c r="G29" i="7" s="1"/>
  <c r="F30" i="7"/>
  <c r="F31" i="7"/>
  <c r="F32" i="7"/>
  <c r="G32" i="7" s="1"/>
  <c r="F33" i="7"/>
  <c r="G33" i="7" s="1"/>
  <c r="F34" i="7"/>
  <c r="G34" i="7" s="1"/>
  <c r="D35" i="7"/>
  <c r="G6" i="7"/>
  <c r="G7" i="7"/>
  <c r="G8" i="7"/>
  <c r="G9" i="7"/>
  <c r="G10" i="7"/>
  <c r="G11" i="7"/>
  <c r="G14" i="7"/>
  <c r="G15" i="7"/>
  <c r="G16" i="7"/>
  <c r="G17" i="7"/>
  <c r="G19" i="7"/>
  <c r="G20" i="7"/>
  <c r="G22" i="7"/>
  <c r="G23" i="7"/>
  <c r="G24" i="7"/>
  <c r="G28" i="7"/>
  <c r="G30" i="7"/>
  <c r="G31" i="7"/>
  <c r="I3" i="7"/>
  <c r="I4" i="7"/>
  <c r="I5" i="7"/>
  <c r="I35" i="7" s="1"/>
  <c r="I6" i="7"/>
  <c r="L6" i="7" s="1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L19" i="7" s="1"/>
  <c r="I20" i="7"/>
  <c r="I21" i="7"/>
  <c r="L21" i="7" s="1"/>
  <c r="I22" i="7"/>
  <c r="I23" i="7"/>
  <c r="I24" i="7"/>
  <c r="I25" i="7"/>
  <c r="I26" i="7"/>
  <c r="I27" i="7"/>
  <c r="L27" i="7" s="1"/>
  <c r="I28" i="7"/>
  <c r="I29" i="7"/>
  <c r="I30" i="7"/>
  <c r="I31" i="7"/>
  <c r="I32" i="7"/>
  <c r="I33" i="7"/>
  <c r="I34" i="7"/>
  <c r="K3" i="7"/>
  <c r="K4" i="7"/>
  <c r="K5" i="7"/>
  <c r="K6" i="7"/>
  <c r="K7" i="7"/>
  <c r="K8" i="7"/>
  <c r="K9" i="7"/>
  <c r="K10" i="7"/>
  <c r="L10" i="7" s="1"/>
  <c r="K11" i="7"/>
  <c r="K12" i="7"/>
  <c r="L12" i="7" s="1"/>
  <c r="K13" i="7"/>
  <c r="K14" i="7"/>
  <c r="K15" i="7"/>
  <c r="L15" i="7" s="1"/>
  <c r="K16" i="7"/>
  <c r="K17" i="7"/>
  <c r="L17" i="7" s="1"/>
  <c r="K18" i="7"/>
  <c r="L18" i="7" s="1"/>
  <c r="K19" i="7"/>
  <c r="K20" i="7"/>
  <c r="L20" i="7" s="1"/>
  <c r="K21" i="7"/>
  <c r="K22" i="7"/>
  <c r="K23" i="7"/>
  <c r="K24" i="7"/>
  <c r="L24" i="7" s="1"/>
  <c r="K25" i="7"/>
  <c r="L25" i="7" s="1"/>
  <c r="K26" i="7"/>
  <c r="L26" i="7" s="1"/>
  <c r="K27" i="7"/>
  <c r="K28" i="7"/>
  <c r="L28" i="7" s="1"/>
  <c r="K29" i="7"/>
  <c r="K30" i="7"/>
  <c r="K31" i="7"/>
  <c r="K32" i="7"/>
  <c r="K33" i="7"/>
  <c r="L33" i="7" s="1"/>
  <c r="K34" i="7"/>
  <c r="L34" i="7" s="1"/>
  <c r="L3" i="7"/>
  <c r="L4" i="7"/>
  <c r="L7" i="7"/>
  <c r="L8" i="7"/>
  <c r="L9" i="7"/>
  <c r="L11" i="7"/>
  <c r="L13" i="7"/>
  <c r="L14" i="7"/>
  <c r="L16" i="7"/>
  <c r="L22" i="7"/>
  <c r="L23" i="7"/>
  <c r="L29" i="7"/>
  <c r="L30" i="7"/>
  <c r="L31" i="7"/>
  <c r="L32" i="7"/>
  <c r="I38" i="5"/>
  <c r="I40" i="5"/>
  <c r="I34" i="4"/>
  <c r="I36" i="4" s="1"/>
  <c r="D28" i="5"/>
  <c r="F3" i="5"/>
  <c r="F4" i="5"/>
  <c r="F5" i="5"/>
  <c r="F6" i="5"/>
  <c r="F7" i="5"/>
  <c r="F8" i="5"/>
  <c r="F9" i="5"/>
  <c r="F10" i="5"/>
  <c r="G10" i="5" s="1"/>
  <c r="F11" i="5"/>
  <c r="F12" i="5"/>
  <c r="F13" i="5"/>
  <c r="F14" i="5"/>
  <c r="F15" i="5"/>
  <c r="F16" i="5"/>
  <c r="F17" i="5"/>
  <c r="F18" i="5"/>
  <c r="G18" i="5" s="1"/>
  <c r="F19" i="5"/>
  <c r="F20" i="5"/>
  <c r="F21" i="5"/>
  <c r="G21" i="5" s="1"/>
  <c r="F22" i="5"/>
  <c r="F23" i="5"/>
  <c r="G23" i="5" s="1"/>
  <c r="F24" i="5"/>
  <c r="G24" i="5" s="1"/>
  <c r="F25" i="5"/>
  <c r="F26" i="5"/>
  <c r="G26" i="5" s="1"/>
  <c r="F27" i="5"/>
  <c r="G4" i="5"/>
  <c r="G5" i="5"/>
  <c r="G6" i="5"/>
  <c r="G7" i="5"/>
  <c r="G8" i="5"/>
  <c r="G9" i="5"/>
  <c r="G11" i="5"/>
  <c r="G12" i="5"/>
  <c r="G13" i="5"/>
  <c r="G14" i="5"/>
  <c r="G15" i="5"/>
  <c r="G16" i="5"/>
  <c r="G17" i="5"/>
  <c r="G19" i="5"/>
  <c r="G20" i="5"/>
  <c r="G22" i="5"/>
  <c r="G25" i="5"/>
  <c r="G27" i="5"/>
  <c r="I3" i="5"/>
  <c r="I28" i="5" s="1"/>
  <c r="I4" i="5"/>
  <c r="I5" i="5"/>
  <c r="I6" i="5"/>
  <c r="I7" i="5"/>
  <c r="I8" i="5"/>
  <c r="I9" i="5"/>
  <c r="I10" i="5"/>
  <c r="L10" i="5" s="1"/>
  <c r="I11" i="5"/>
  <c r="I12" i="5"/>
  <c r="I13" i="5"/>
  <c r="I14" i="5"/>
  <c r="I15" i="5"/>
  <c r="I16" i="5"/>
  <c r="I17" i="5"/>
  <c r="L17" i="5" s="1"/>
  <c r="I18" i="5"/>
  <c r="L18" i="5" s="1"/>
  <c r="I19" i="5"/>
  <c r="I20" i="5"/>
  <c r="I21" i="5"/>
  <c r="I22" i="5"/>
  <c r="I23" i="5"/>
  <c r="I24" i="5"/>
  <c r="I25" i="5"/>
  <c r="I26" i="5"/>
  <c r="L26" i="5" s="1"/>
  <c r="I27" i="5"/>
  <c r="K3" i="5"/>
  <c r="K4" i="5"/>
  <c r="L4" i="5" s="1"/>
  <c r="K5" i="5"/>
  <c r="K28" i="5" s="1"/>
  <c r="K6" i="5"/>
  <c r="K7" i="5"/>
  <c r="K8" i="5"/>
  <c r="L8" i="5" s="1"/>
  <c r="K9" i="5"/>
  <c r="L9" i="5" s="1"/>
  <c r="K10" i="5"/>
  <c r="K11" i="5"/>
  <c r="K12" i="5"/>
  <c r="L12" i="5" s="1"/>
  <c r="K13" i="5"/>
  <c r="K14" i="5"/>
  <c r="K15" i="5"/>
  <c r="K16" i="5"/>
  <c r="K17" i="5"/>
  <c r="K18" i="5"/>
  <c r="K19" i="5"/>
  <c r="K20" i="5"/>
  <c r="L20" i="5" s="1"/>
  <c r="K21" i="5"/>
  <c r="L21" i="5" s="1"/>
  <c r="K22" i="5"/>
  <c r="K23" i="5"/>
  <c r="L23" i="5" s="1"/>
  <c r="K24" i="5"/>
  <c r="L24" i="5" s="1"/>
  <c r="K25" i="5"/>
  <c r="K26" i="5"/>
  <c r="K27" i="5"/>
  <c r="L27" i="5" s="1"/>
  <c r="L3" i="5"/>
  <c r="L5" i="5"/>
  <c r="L6" i="5"/>
  <c r="L7" i="5"/>
  <c r="L11" i="5"/>
  <c r="L13" i="5"/>
  <c r="L14" i="5"/>
  <c r="L15" i="5"/>
  <c r="L16" i="5"/>
  <c r="L19" i="5"/>
  <c r="L22" i="5"/>
  <c r="L25" i="5"/>
  <c r="F3" i="4"/>
  <c r="G3" i="4"/>
  <c r="F4" i="4"/>
  <c r="F24" i="4" s="1"/>
  <c r="G4" i="4"/>
  <c r="F5" i="4"/>
  <c r="G5" i="4"/>
  <c r="F6" i="4"/>
  <c r="G6" i="4" s="1"/>
  <c r="F7" i="4"/>
  <c r="G7" i="4"/>
  <c r="F8" i="4"/>
  <c r="G8" i="4"/>
  <c r="F9" i="4"/>
  <c r="G9" i="4"/>
  <c r="F10" i="4"/>
  <c r="G10" i="4" s="1"/>
  <c r="F11" i="4"/>
  <c r="G11" i="4" s="1"/>
  <c r="F12" i="4"/>
  <c r="G12" i="4"/>
  <c r="F13" i="4"/>
  <c r="G13" i="4"/>
  <c r="F14" i="4"/>
  <c r="G14" i="4" s="1"/>
  <c r="F15" i="4"/>
  <c r="G15" i="4" s="1"/>
  <c r="F16" i="4"/>
  <c r="G16" i="4"/>
  <c r="F17" i="4"/>
  <c r="G17" i="4"/>
  <c r="F18" i="4"/>
  <c r="G18" i="4" s="1"/>
  <c r="F19" i="4"/>
  <c r="G19" i="4"/>
  <c r="F20" i="4"/>
  <c r="G20" i="4" s="1"/>
  <c r="F21" i="4"/>
  <c r="G21" i="4"/>
  <c r="F22" i="4"/>
  <c r="G22" i="4" s="1"/>
  <c r="F23" i="4"/>
  <c r="G23" i="4"/>
  <c r="I44" i="3"/>
  <c r="I46" i="3" s="1"/>
  <c r="D24" i="4"/>
  <c r="I3" i="4"/>
  <c r="I4" i="4"/>
  <c r="I24" i="4" s="1"/>
  <c r="I5" i="4"/>
  <c r="L5" i="4" s="1"/>
  <c r="I6" i="4"/>
  <c r="I7" i="4"/>
  <c r="I8" i="4"/>
  <c r="I9" i="4"/>
  <c r="I10" i="4"/>
  <c r="I11" i="4"/>
  <c r="I12" i="4"/>
  <c r="L12" i="4" s="1"/>
  <c r="I13" i="4"/>
  <c r="L13" i="4" s="1"/>
  <c r="I14" i="4"/>
  <c r="I15" i="4"/>
  <c r="I16" i="4"/>
  <c r="I17" i="4"/>
  <c r="I18" i="4"/>
  <c r="I19" i="4"/>
  <c r="I20" i="4"/>
  <c r="I21" i="4"/>
  <c r="L21" i="4" s="1"/>
  <c r="I22" i="4"/>
  <c r="I23" i="4"/>
  <c r="K3" i="4"/>
  <c r="K4" i="4"/>
  <c r="L4" i="4" s="1"/>
  <c r="K5" i="4"/>
  <c r="K6" i="4"/>
  <c r="L6" i="4" s="1"/>
  <c r="K7" i="4"/>
  <c r="L7" i="4" s="1"/>
  <c r="K8" i="4"/>
  <c r="L8" i="4" s="1"/>
  <c r="K9" i="4"/>
  <c r="K10" i="4"/>
  <c r="K11" i="4"/>
  <c r="K12" i="4"/>
  <c r="K13" i="4"/>
  <c r="K14" i="4"/>
  <c r="L14" i="4" s="1"/>
  <c r="K15" i="4"/>
  <c r="L15" i="4" s="1"/>
  <c r="K16" i="4"/>
  <c r="L16" i="4" s="1"/>
  <c r="K17" i="4"/>
  <c r="K18" i="4"/>
  <c r="K19" i="4"/>
  <c r="K20" i="4"/>
  <c r="K21" i="4"/>
  <c r="K22" i="4"/>
  <c r="L22" i="4" s="1"/>
  <c r="K23" i="4"/>
  <c r="L23" i="4" s="1"/>
  <c r="K24" i="4"/>
  <c r="L3" i="4"/>
  <c r="L9" i="4"/>
  <c r="L10" i="4"/>
  <c r="L11" i="4"/>
  <c r="L17" i="4"/>
  <c r="L18" i="4"/>
  <c r="L19" i="4"/>
  <c r="L20" i="4"/>
  <c r="L21" i="11"/>
  <c r="I35" i="11"/>
  <c r="L12" i="11"/>
  <c r="L23" i="11"/>
  <c r="L33" i="11"/>
  <c r="L24" i="11"/>
  <c r="L17" i="11"/>
  <c r="L25" i="11"/>
  <c r="L10" i="11"/>
  <c r="L14" i="11"/>
  <c r="L5" i="11"/>
  <c r="L19" i="11"/>
  <c r="L27" i="11"/>
  <c r="L7" i="11"/>
  <c r="L11" i="11"/>
  <c r="L20" i="11"/>
  <c r="L28" i="11"/>
  <c r="L18" i="11"/>
  <c r="L15" i="11"/>
  <c r="L26" i="11"/>
  <c r="L32" i="11"/>
  <c r="L3" i="12"/>
  <c r="L8" i="12"/>
  <c r="L10" i="12"/>
  <c r="L14" i="12"/>
  <c r="L36" i="12"/>
  <c r="L12" i="12"/>
  <c r="L9" i="12"/>
  <c r="L11" i="12"/>
  <c r="L22" i="12"/>
  <c r="L27" i="12"/>
  <c r="L20" i="12"/>
  <c r="L24" i="12"/>
  <c r="L29" i="12"/>
  <c r="L31" i="12"/>
  <c r="L32" i="12"/>
  <c r="L28" i="12"/>
  <c r="L16" i="12"/>
  <c r="L18" i="12"/>
  <c r="L6" i="12"/>
  <c r="L5" i="12"/>
  <c r="L4" i="12"/>
  <c r="L7" i="12"/>
  <c r="L3" i="11"/>
  <c r="L17" i="10"/>
  <c r="L18" i="10"/>
  <c r="L28" i="10"/>
  <c r="L29" i="10"/>
  <c r="L14" i="10"/>
  <c r="L9" i="10"/>
  <c r="L33" i="10"/>
  <c r="L8" i="10"/>
  <c r="L19" i="10"/>
  <c r="L26" i="10"/>
  <c r="L32" i="10"/>
  <c r="L5" i="10"/>
  <c r="L6" i="10"/>
  <c r="L7" i="10"/>
  <c r="I19" i="2"/>
  <c r="I24" i="2" s="1"/>
  <c r="I26" i="2" s="1"/>
  <c r="I20" i="2"/>
  <c r="I23" i="2"/>
  <c r="F25" i="2"/>
  <c r="K23" i="3"/>
  <c r="I23" i="3"/>
  <c r="L23" i="3"/>
  <c r="F23" i="3"/>
  <c r="G23" i="3" s="1"/>
  <c r="D34" i="3"/>
  <c r="K33" i="3"/>
  <c r="F33" i="3"/>
  <c r="G33" i="3"/>
  <c r="I33" i="3"/>
  <c r="L33" i="3" s="1"/>
  <c r="K32" i="3"/>
  <c r="L32" i="3" s="1"/>
  <c r="F32" i="3"/>
  <c r="G32" i="3" s="1"/>
  <c r="I32" i="3"/>
  <c r="K21" i="3"/>
  <c r="L21" i="3" s="1"/>
  <c r="I21" i="3"/>
  <c r="F21" i="3"/>
  <c r="G21" i="3"/>
  <c r="K31" i="3"/>
  <c r="F31" i="3"/>
  <c r="G31" i="3" s="1"/>
  <c r="I31" i="3"/>
  <c r="K30" i="3"/>
  <c r="F30" i="3"/>
  <c r="G30" i="3"/>
  <c r="I30" i="3"/>
  <c r="L30" i="3" s="1"/>
  <c r="K29" i="3"/>
  <c r="L29" i="3" s="1"/>
  <c r="F29" i="3"/>
  <c r="G29" i="3" s="1"/>
  <c r="I29" i="3"/>
  <c r="K28" i="3"/>
  <c r="F28" i="3"/>
  <c r="G28" i="3"/>
  <c r="I28" i="3"/>
  <c r="L28" i="3"/>
  <c r="K27" i="3"/>
  <c r="L27" i="3" s="1"/>
  <c r="F27" i="3"/>
  <c r="G27" i="3" s="1"/>
  <c r="I27" i="3"/>
  <c r="K26" i="3"/>
  <c r="L26" i="3" s="1"/>
  <c r="F26" i="3"/>
  <c r="G26" i="3"/>
  <c r="I26" i="3"/>
  <c r="K25" i="3"/>
  <c r="L25" i="3" s="1"/>
  <c r="F25" i="3"/>
  <c r="G25" i="3"/>
  <c r="I25" i="3"/>
  <c r="K24" i="3"/>
  <c r="F24" i="3"/>
  <c r="G24" i="3"/>
  <c r="I24" i="3"/>
  <c r="L24" i="3" s="1"/>
  <c r="K22" i="3"/>
  <c r="F22" i="3"/>
  <c r="G22" i="3"/>
  <c r="I22" i="3"/>
  <c r="K20" i="3"/>
  <c r="F20" i="3"/>
  <c r="G20" i="3"/>
  <c r="I20" i="3"/>
  <c r="L20" i="3" s="1"/>
  <c r="K19" i="3"/>
  <c r="F19" i="3"/>
  <c r="G19" i="3"/>
  <c r="I19" i="3"/>
  <c r="K18" i="3"/>
  <c r="L18" i="3" s="1"/>
  <c r="F18" i="3"/>
  <c r="G18" i="3"/>
  <c r="I18" i="3"/>
  <c r="K17" i="3"/>
  <c r="F17" i="3"/>
  <c r="G17" i="3"/>
  <c r="I17" i="3"/>
  <c r="L17" i="3"/>
  <c r="K16" i="3"/>
  <c r="L16" i="3" s="1"/>
  <c r="F16" i="3"/>
  <c r="G16" i="3"/>
  <c r="I16" i="3"/>
  <c r="K15" i="3"/>
  <c r="F15" i="3"/>
  <c r="G15" i="3"/>
  <c r="I15" i="3"/>
  <c r="K14" i="3"/>
  <c r="L14" i="3" s="1"/>
  <c r="F14" i="3"/>
  <c r="G14" i="3"/>
  <c r="I14" i="3"/>
  <c r="K13" i="3"/>
  <c r="F13" i="3"/>
  <c r="G13" i="3"/>
  <c r="I13" i="3"/>
  <c r="K12" i="3"/>
  <c r="F12" i="3"/>
  <c r="G12" i="3"/>
  <c r="I12" i="3"/>
  <c r="K11" i="3"/>
  <c r="F11" i="3"/>
  <c r="G11" i="3"/>
  <c r="I11" i="3"/>
  <c r="K10" i="3"/>
  <c r="F10" i="3"/>
  <c r="G10" i="3"/>
  <c r="I10" i="3"/>
  <c r="K9" i="3"/>
  <c r="F9" i="3"/>
  <c r="G9" i="3"/>
  <c r="I9" i="3"/>
  <c r="L9" i="3" s="1"/>
  <c r="K8" i="3"/>
  <c r="F8" i="3"/>
  <c r="G8" i="3"/>
  <c r="I8" i="3"/>
  <c r="K7" i="3"/>
  <c r="F7" i="3"/>
  <c r="G7" i="3"/>
  <c r="I7" i="3"/>
  <c r="L7" i="3" s="1"/>
  <c r="K6" i="3"/>
  <c r="L6" i="3" s="1"/>
  <c r="I6" i="3"/>
  <c r="F6" i="3"/>
  <c r="G6" i="3" s="1"/>
  <c r="K5" i="3"/>
  <c r="I5" i="3"/>
  <c r="F5" i="3"/>
  <c r="G5" i="3"/>
  <c r="K4" i="3"/>
  <c r="K34" i="3" s="1"/>
  <c r="I4" i="3"/>
  <c r="I34" i="3" s="1"/>
  <c r="F4" i="3"/>
  <c r="G4" i="3" s="1"/>
  <c r="K3" i="3"/>
  <c r="I3" i="3"/>
  <c r="F3" i="3"/>
  <c r="F34" i="3" s="1"/>
  <c r="G3" i="3"/>
  <c r="F20" i="2"/>
  <c r="I37" i="1"/>
  <c r="I43" i="1" s="1"/>
  <c r="I45" i="1" s="1"/>
  <c r="I42" i="1"/>
  <c r="F48" i="1"/>
  <c r="F43" i="1"/>
  <c r="F38" i="1"/>
  <c r="L8" i="3"/>
  <c r="L10" i="3"/>
  <c r="L12" i="3"/>
  <c r="L31" i="3"/>
  <c r="L3" i="3"/>
  <c r="L5" i="3"/>
  <c r="L11" i="3"/>
  <c r="L13" i="3"/>
  <c r="L15" i="3"/>
  <c r="L19" i="3"/>
  <c r="L22" i="3"/>
  <c r="D15" i="2"/>
  <c r="K14" i="2"/>
  <c r="I14" i="2"/>
  <c r="F14" i="2"/>
  <c r="G14" i="2"/>
  <c r="K13" i="2"/>
  <c r="I13" i="2"/>
  <c r="F13" i="2"/>
  <c r="G13" i="2"/>
  <c r="K12" i="2"/>
  <c r="L12" i="2" s="1"/>
  <c r="I12" i="2"/>
  <c r="F12" i="2"/>
  <c r="G12" i="2"/>
  <c r="K11" i="2"/>
  <c r="L11" i="2" s="1"/>
  <c r="I11" i="2"/>
  <c r="F11" i="2"/>
  <c r="G11" i="2"/>
  <c r="K10" i="2"/>
  <c r="L10" i="2" s="1"/>
  <c r="I10" i="2"/>
  <c r="F10" i="2"/>
  <c r="G10" i="2"/>
  <c r="K9" i="2"/>
  <c r="L9" i="2" s="1"/>
  <c r="I9" i="2"/>
  <c r="F9" i="2"/>
  <c r="G9" i="2"/>
  <c r="K8" i="2"/>
  <c r="I8" i="2"/>
  <c r="F8" i="2"/>
  <c r="G8" i="2"/>
  <c r="K7" i="2"/>
  <c r="I7" i="2"/>
  <c r="L7" i="2" s="1"/>
  <c r="F7" i="2"/>
  <c r="G7" i="2"/>
  <c r="K6" i="2"/>
  <c r="I6" i="2"/>
  <c r="F6" i="2"/>
  <c r="G6" i="2"/>
  <c r="K5" i="2"/>
  <c r="I5" i="2"/>
  <c r="I15" i="2" s="1"/>
  <c r="F5" i="2"/>
  <c r="G5" i="2"/>
  <c r="K4" i="2"/>
  <c r="I4" i="2"/>
  <c r="I3" i="2"/>
  <c r="F4" i="2"/>
  <c r="G4" i="2"/>
  <c r="K3" i="2"/>
  <c r="K15" i="2" s="1"/>
  <c r="L3" i="2"/>
  <c r="F3" i="2"/>
  <c r="G3" i="2" s="1"/>
  <c r="G15" i="2" s="1"/>
  <c r="K4" i="1"/>
  <c r="K5" i="1"/>
  <c r="K6" i="1"/>
  <c r="K7" i="1"/>
  <c r="K8" i="1"/>
  <c r="L8" i="1" s="1"/>
  <c r="K9" i="1"/>
  <c r="L9" i="1" s="1"/>
  <c r="K10" i="1"/>
  <c r="K11" i="1"/>
  <c r="K12" i="1"/>
  <c r="K13" i="1"/>
  <c r="K14" i="1"/>
  <c r="L14" i="1" s="1"/>
  <c r="K15" i="1"/>
  <c r="L15" i="1" s="1"/>
  <c r="K16" i="1"/>
  <c r="L16" i="1" s="1"/>
  <c r="K17" i="1"/>
  <c r="L17" i="1" s="1"/>
  <c r="K18" i="1"/>
  <c r="K19" i="1"/>
  <c r="K20" i="1"/>
  <c r="K21" i="1"/>
  <c r="K22" i="1"/>
  <c r="K23" i="1"/>
  <c r="K24" i="1"/>
  <c r="L24" i="1" s="1"/>
  <c r="K25" i="1"/>
  <c r="L25" i="1" s="1"/>
  <c r="K26" i="1"/>
  <c r="K27" i="1"/>
  <c r="K28" i="1"/>
  <c r="K29" i="1"/>
  <c r="K30" i="1"/>
  <c r="L30" i="1" s="1"/>
  <c r="K31" i="1"/>
  <c r="L31" i="1" s="1"/>
  <c r="K32" i="1"/>
  <c r="L32" i="1" s="1"/>
  <c r="K3" i="1"/>
  <c r="L3" i="1" s="1"/>
  <c r="I4" i="1"/>
  <c r="I5" i="1"/>
  <c r="I6" i="1"/>
  <c r="I7" i="1"/>
  <c r="I8" i="1"/>
  <c r="I9" i="1"/>
  <c r="I10" i="1"/>
  <c r="L10" i="1" s="1"/>
  <c r="I11" i="1"/>
  <c r="L11" i="1" s="1"/>
  <c r="I12" i="1"/>
  <c r="I13" i="1"/>
  <c r="I14" i="1"/>
  <c r="I15" i="1"/>
  <c r="I16" i="1"/>
  <c r="I17" i="1"/>
  <c r="I18" i="1"/>
  <c r="L18" i="1" s="1"/>
  <c r="I19" i="1"/>
  <c r="L19" i="1" s="1"/>
  <c r="I20" i="1"/>
  <c r="I21" i="1"/>
  <c r="I22" i="1"/>
  <c r="I23" i="1"/>
  <c r="I24" i="1"/>
  <c r="I25" i="1"/>
  <c r="I26" i="1"/>
  <c r="L26" i="1" s="1"/>
  <c r="I27" i="1"/>
  <c r="L27" i="1" s="1"/>
  <c r="I28" i="1"/>
  <c r="I29" i="1"/>
  <c r="I30" i="1"/>
  <c r="I31" i="1"/>
  <c r="I32" i="1"/>
  <c r="I3" i="1"/>
  <c r="I33" i="1" s="1"/>
  <c r="F4" i="1"/>
  <c r="G4" i="1" s="1"/>
  <c r="G33" i="1" s="1"/>
  <c r="F5" i="1"/>
  <c r="G5" i="1"/>
  <c r="F6" i="1"/>
  <c r="G6" i="1"/>
  <c r="F7" i="1"/>
  <c r="G7" i="1"/>
  <c r="F8" i="1"/>
  <c r="G8" i="1" s="1"/>
  <c r="F9" i="1"/>
  <c r="G9" i="1"/>
  <c r="F10" i="1"/>
  <c r="G10" i="1"/>
  <c r="F11" i="1"/>
  <c r="G11" i="1"/>
  <c r="F12" i="1"/>
  <c r="G12" i="1" s="1"/>
  <c r="F13" i="1"/>
  <c r="G13" i="1"/>
  <c r="F14" i="1"/>
  <c r="G14" i="1"/>
  <c r="F15" i="1"/>
  <c r="G15" i="1"/>
  <c r="F16" i="1"/>
  <c r="G16" i="1" s="1"/>
  <c r="F17" i="1"/>
  <c r="G17" i="1"/>
  <c r="F18" i="1"/>
  <c r="G18" i="1"/>
  <c r="F19" i="1"/>
  <c r="G19" i="1"/>
  <c r="F20" i="1"/>
  <c r="G20" i="1" s="1"/>
  <c r="F21" i="1"/>
  <c r="G21" i="1"/>
  <c r="F22" i="1"/>
  <c r="G22" i="1"/>
  <c r="F23" i="1"/>
  <c r="G23" i="1"/>
  <c r="F24" i="1"/>
  <c r="G24" i="1" s="1"/>
  <c r="F25" i="1"/>
  <c r="G25" i="1"/>
  <c r="F26" i="1"/>
  <c r="G26" i="1"/>
  <c r="F27" i="1"/>
  <c r="G27" i="1"/>
  <c r="F28" i="1"/>
  <c r="G28" i="1" s="1"/>
  <c r="F29" i="1"/>
  <c r="G29" i="1"/>
  <c r="F30" i="1"/>
  <c r="G30" i="1"/>
  <c r="F31" i="1"/>
  <c r="G31" i="1"/>
  <c r="F32" i="1"/>
  <c r="G32" i="1" s="1"/>
  <c r="F3" i="1"/>
  <c r="G3" i="1"/>
  <c r="L29" i="1"/>
  <c r="L23" i="1"/>
  <c r="L21" i="1"/>
  <c r="L13" i="1"/>
  <c r="L7" i="1"/>
  <c r="L5" i="1"/>
  <c r="L28" i="1"/>
  <c r="L22" i="1"/>
  <c r="L20" i="1"/>
  <c r="L12" i="1"/>
  <c r="L6" i="1"/>
  <c r="K33" i="1"/>
  <c r="L4" i="1"/>
  <c r="L13" i="2"/>
  <c r="L14" i="2"/>
  <c r="L8" i="2"/>
  <c r="L6" i="2"/>
  <c r="L5" i="2"/>
  <c r="L4" i="2"/>
  <c r="M31" i="47" l="1"/>
  <c r="M28" i="47"/>
  <c r="M25" i="47"/>
  <c r="M24" i="47"/>
  <c r="M22" i="47"/>
  <c r="M20" i="47"/>
  <c r="M17" i="47"/>
  <c r="M10" i="47"/>
  <c r="M23" i="47"/>
  <c r="M19" i="47"/>
  <c r="M32" i="47"/>
  <c r="M11" i="47"/>
  <c r="M26" i="47"/>
  <c r="M9" i="47"/>
  <c r="M15" i="47"/>
  <c r="M18" i="47"/>
  <c r="M33" i="47"/>
  <c r="M7" i="47"/>
  <c r="M3" i="47"/>
  <c r="M26" i="45"/>
  <c r="M31" i="45"/>
  <c r="M21" i="45"/>
  <c r="M19" i="45"/>
  <c r="M22" i="45"/>
  <c r="M28" i="45"/>
  <c r="M27" i="45"/>
  <c r="M24" i="45"/>
  <c r="M29" i="45"/>
  <c r="M20" i="45"/>
  <c r="M32" i="45"/>
  <c r="M25" i="45"/>
  <c r="M18" i="45"/>
  <c r="M30" i="45"/>
  <c r="M23" i="45"/>
  <c r="H34" i="46"/>
  <c r="M24" i="46"/>
  <c r="M15" i="46"/>
  <c r="M34" i="46" s="1"/>
  <c r="M9" i="45"/>
  <c r="M17" i="45"/>
  <c r="M12" i="45"/>
  <c r="M15" i="45"/>
  <c r="M16" i="45"/>
  <c r="M8" i="45"/>
  <c r="M13" i="45"/>
  <c r="M14" i="45"/>
  <c r="M4" i="45"/>
  <c r="M10" i="45"/>
  <c r="M6" i="45"/>
  <c r="M3" i="45"/>
  <c r="M5" i="45"/>
  <c r="M7" i="45"/>
  <c r="M11" i="45"/>
  <c r="M4" i="46"/>
  <c r="M3" i="46"/>
  <c r="G34" i="3"/>
  <c r="L33" i="1"/>
  <c r="G40" i="9"/>
  <c r="H35" i="16"/>
  <c r="H41" i="20"/>
  <c r="L35" i="7"/>
  <c r="L38" i="12"/>
  <c r="G27" i="6"/>
  <c r="G33" i="8"/>
  <c r="H31" i="14"/>
  <c r="G35" i="7"/>
  <c r="L24" i="4"/>
  <c r="L15" i="2"/>
  <c r="G24" i="4"/>
  <c r="F27" i="6"/>
  <c r="L4" i="9"/>
  <c r="L3" i="10"/>
  <c r="L42" i="10" s="1"/>
  <c r="F28" i="5"/>
  <c r="L5" i="7"/>
  <c r="G3" i="12"/>
  <c r="G38" i="12" s="1"/>
  <c r="M3" i="15"/>
  <c r="J35" i="16"/>
  <c r="G27" i="17"/>
  <c r="M4" i="20"/>
  <c r="L41" i="20"/>
  <c r="H3" i="21"/>
  <c r="H43" i="21" s="1"/>
  <c r="M59" i="23"/>
  <c r="K35" i="7"/>
  <c r="G51" i="13"/>
  <c r="H3" i="13"/>
  <c r="H51" i="13" s="1"/>
  <c r="M3" i="16"/>
  <c r="L35" i="16"/>
  <c r="H27" i="17"/>
  <c r="F35" i="7"/>
  <c r="L9" i="6"/>
  <c r="L27" i="6" s="1"/>
  <c r="K33" i="8"/>
  <c r="I42" i="10"/>
  <c r="G4" i="11"/>
  <c r="G35" i="11" s="1"/>
  <c r="M51" i="13"/>
  <c r="J27" i="17"/>
  <c r="G21" i="18"/>
  <c r="G31" i="14"/>
  <c r="M77" i="14"/>
  <c r="M13" i="20"/>
  <c r="M7" i="23"/>
  <c r="J59" i="23"/>
  <c r="M61" i="24"/>
  <c r="L17" i="6"/>
  <c r="L32" i="8"/>
  <c r="L24" i="8"/>
  <c r="L16" i="8"/>
  <c r="L8" i="8"/>
  <c r="L33" i="8" s="1"/>
  <c r="F40" i="9"/>
  <c r="L43" i="21"/>
  <c r="M83" i="25"/>
  <c r="J92" i="25"/>
  <c r="H48" i="25"/>
  <c r="G42" i="10"/>
  <c r="H39" i="15"/>
  <c r="M27" i="17"/>
  <c r="J21" i="18"/>
  <c r="L4" i="3"/>
  <c r="L34" i="3" s="1"/>
  <c r="L3" i="9"/>
  <c r="L40" i="9" s="1"/>
  <c r="F42" i="10"/>
  <c r="K35" i="11"/>
  <c r="L4" i="11"/>
  <c r="L35" i="11" s="1"/>
  <c r="M38" i="13"/>
  <c r="M30" i="15"/>
  <c r="M20" i="15"/>
  <c r="M12" i="15"/>
  <c r="M4" i="15"/>
  <c r="L39" i="15"/>
  <c r="M32" i="15"/>
  <c r="M3" i="18"/>
  <c r="L21" i="18"/>
  <c r="M25" i="14"/>
  <c r="M88" i="14"/>
  <c r="G41" i="20"/>
  <c r="M4" i="21"/>
  <c r="M43" i="21" s="1"/>
  <c r="L25" i="6"/>
  <c r="M14" i="16"/>
  <c r="G91" i="14"/>
  <c r="M63" i="14"/>
  <c r="M36" i="20"/>
  <c r="J36" i="22"/>
  <c r="M30" i="22"/>
  <c r="M22" i="22"/>
  <c r="M14" i="22"/>
  <c r="M6" i="22"/>
  <c r="L28" i="5"/>
  <c r="G3" i="5"/>
  <c r="G28" i="5" s="1"/>
  <c r="L34" i="11"/>
  <c r="L51" i="13"/>
  <c r="M17" i="16"/>
  <c r="M10" i="18"/>
  <c r="L31" i="14"/>
  <c r="M66" i="14"/>
  <c r="J41" i="20"/>
  <c r="M38" i="21"/>
  <c r="M22" i="19"/>
  <c r="M6" i="19"/>
  <c r="M33" i="19" s="1"/>
  <c r="J46" i="26"/>
  <c r="M78" i="23"/>
  <c r="M90" i="23" s="1"/>
  <c r="L90" i="23"/>
  <c r="H78" i="23"/>
  <c r="H90" i="23" s="1"/>
  <c r="G90" i="23"/>
  <c r="M48" i="14"/>
  <c r="L91" i="14"/>
  <c r="M12" i="21"/>
  <c r="E55" i="21"/>
  <c r="M29" i="22"/>
  <c r="M21" i="22"/>
  <c r="M13" i="22"/>
  <c r="M5" i="22"/>
  <c r="M88" i="25"/>
  <c r="H29" i="27"/>
  <c r="M7" i="16"/>
  <c r="M4" i="14"/>
  <c r="M31" i="14" s="1"/>
  <c r="M56" i="14"/>
  <c r="M21" i="20"/>
  <c r="M12" i="20"/>
  <c r="M36" i="21"/>
  <c r="G92" i="25"/>
  <c r="H70" i="25"/>
  <c r="H92" i="25" s="1"/>
  <c r="M79" i="25"/>
  <c r="L92" i="25"/>
  <c r="J48" i="25"/>
  <c r="H46" i="26"/>
  <c r="M15" i="16"/>
  <c r="H91" i="14"/>
  <c r="L36" i="22"/>
  <c r="H42" i="28"/>
  <c r="G39" i="15"/>
  <c r="M23" i="16"/>
  <c r="M18" i="18"/>
  <c r="M7" i="18"/>
  <c r="M20" i="14"/>
  <c r="J44" i="14"/>
  <c r="M72" i="14"/>
  <c r="M29" i="20"/>
  <c r="M20" i="20"/>
  <c r="M20" i="21"/>
  <c r="H36" i="22"/>
  <c r="J90" i="23"/>
  <c r="M71" i="25"/>
  <c r="M8" i="24"/>
  <c r="L61" i="24"/>
  <c r="M67" i="28"/>
  <c r="L48" i="25"/>
  <c r="M4" i="26"/>
  <c r="M46" i="26" s="1"/>
  <c r="M29" i="27"/>
  <c r="M35" i="30"/>
  <c r="L48" i="31"/>
  <c r="M10" i="31"/>
  <c r="M48" i="31" s="1"/>
  <c r="M112" i="31"/>
  <c r="J53" i="35"/>
  <c r="H67" i="28"/>
  <c r="M56" i="33"/>
  <c r="H45" i="30"/>
  <c r="J93" i="31"/>
  <c r="M78" i="31"/>
  <c r="M93" i="31" s="1"/>
  <c r="M37" i="32"/>
  <c r="H32" i="33"/>
  <c r="H94" i="28"/>
  <c r="J67" i="28"/>
  <c r="J45" i="30"/>
  <c r="H48" i="31"/>
  <c r="H93" i="31"/>
  <c r="H37" i="32"/>
  <c r="M90" i="25"/>
  <c r="M3" i="25"/>
  <c r="M48" i="25" s="1"/>
  <c r="J94" i="28"/>
  <c r="M86" i="28"/>
  <c r="M78" i="28"/>
  <c r="L67" i="28"/>
  <c r="M12" i="29"/>
  <c r="M50" i="29" s="1"/>
  <c r="M76" i="25"/>
  <c r="M92" i="25" s="1"/>
  <c r="J29" i="27"/>
  <c r="M63" i="28"/>
  <c r="M42" i="28"/>
  <c r="L42" i="28"/>
  <c r="J32" i="33"/>
  <c r="M41" i="26"/>
  <c r="M33" i="26"/>
  <c r="M25" i="26"/>
  <c r="M17" i="26"/>
  <c r="M9" i="26"/>
  <c r="L94" i="28"/>
  <c r="M76" i="28"/>
  <c r="H50" i="29"/>
  <c r="L50" i="29"/>
  <c r="L45" i="30"/>
  <c r="M36" i="30"/>
  <c r="M33" i="29"/>
  <c r="M25" i="29"/>
  <c r="M17" i="29"/>
  <c r="H89" i="35"/>
  <c r="H53" i="35"/>
  <c r="M26" i="36"/>
  <c r="M5" i="41"/>
  <c r="M52" i="41" s="1"/>
  <c r="L52" i="41"/>
  <c r="M6" i="44"/>
  <c r="H19" i="44"/>
  <c r="M53" i="35"/>
  <c r="J37" i="32"/>
  <c r="M27" i="33"/>
  <c r="L32" i="33"/>
  <c r="M86" i="35"/>
  <c r="M83" i="28"/>
  <c r="M74" i="28"/>
  <c r="M26" i="33"/>
  <c r="M18" i="33"/>
  <c r="H49" i="34"/>
  <c r="M49" i="34"/>
  <c r="H66" i="36"/>
  <c r="M20" i="36"/>
  <c r="M39" i="30"/>
  <c r="M31" i="30"/>
  <c r="M23" i="30"/>
  <c r="M45" i="30" s="1"/>
  <c r="L93" i="31"/>
  <c r="M79" i="31"/>
  <c r="J66" i="36"/>
  <c r="M59" i="36"/>
  <c r="M35" i="36"/>
  <c r="L66" i="36"/>
  <c r="H45" i="37"/>
  <c r="L49" i="34"/>
  <c r="M13" i="36"/>
  <c r="M36" i="37"/>
  <c r="M32" i="41"/>
  <c r="M60" i="33"/>
  <c r="J89" i="35"/>
  <c r="L53" i="35"/>
  <c r="L48" i="39"/>
  <c r="M4" i="39"/>
  <c r="H48" i="39"/>
  <c r="M48" i="41"/>
  <c r="H38" i="42"/>
  <c r="M24" i="33"/>
  <c r="M16" i="33"/>
  <c r="M8" i="33"/>
  <c r="M32" i="33" s="1"/>
  <c r="L89" i="35"/>
  <c r="M42" i="39"/>
  <c r="M26" i="39"/>
  <c r="M48" i="39" s="1"/>
  <c r="J41" i="40"/>
  <c r="H52" i="41"/>
  <c r="M50" i="41"/>
  <c r="M4" i="42"/>
  <c r="M38" i="42" s="1"/>
  <c r="J38" i="42"/>
  <c r="M19" i="44"/>
  <c r="M13" i="44"/>
  <c r="J45" i="37"/>
  <c r="M24" i="41"/>
  <c r="M10" i="41"/>
  <c r="J19" i="44"/>
  <c r="M24" i="36"/>
  <c r="M66" i="36" s="1"/>
  <c r="M16" i="36"/>
  <c r="M8" i="36"/>
  <c r="M4" i="37"/>
  <c r="M61" i="38"/>
  <c r="M45" i="38"/>
  <c r="M37" i="38"/>
  <c r="M29" i="38"/>
  <c r="M13" i="38"/>
  <c r="M5" i="38"/>
  <c r="H41" i="40"/>
  <c r="J52" i="41"/>
  <c r="L38" i="42"/>
  <c r="M43" i="37"/>
  <c r="M35" i="37"/>
  <c r="M27" i="37"/>
  <c r="M19" i="37"/>
  <c r="M11" i="37"/>
  <c r="L45" i="37"/>
  <c r="M5" i="40"/>
  <c r="M41" i="40" s="1"/>
  <c r="L66" i="38"/>
  <c r="J48" i="39"/>
  <c r="L41" i="40"/>
  <c r="M16" i="41"/>
  <c r="M36" i="42"/>
  <c r="M28" i="42"/>
  <c r="M20" i="42"/>
  <c r="M66" i="38" l="1"/>
  <c r="M89" i="35"/>
  <c r="M94" i="28"/>
  <c r="M21" i="18"/>
  <c r="M35" i="16"/>
  <c r="M41" i="20"/>
  <c r="M91" i="14"/>
  <c r="M36" i="22"/>
  <c r="M45" i="37"/>
  <c r="M39" i="15"/>
</calcChain>
</file>

<file path=xl/sharedStrings.xml><?xml version="1.0" encoding="utf-8"?>
<sst xmlns="http://schemas.openxmlformats.org/spreadsheetml/2006/main" count="5231" uniqueCount="1956">
  <si>
    <t>DATE</t>
  </si>
  <si>
    <t>DETAILS</t>
  </si>
  <si>
    <t>EX.RATE</t>
  </si>
  <si>
    <t>QTY</t>
  </si>
  <si>
    <t>USD</t>
  </si>
  <si>
    <t>USD RATE</t>
  </si>
  <si>
    <t>SELLING PX</t>
  </si>
  <si>
    <t>JN TROUSERS</t>
  </si>
  <si>
    <t>AMOUNT(rmb)</t>
  </si>
  <si>
    <t>T.COTT(shs)</t>
  </si>
  <si>
    <t>RATE(shs)</t>
  </si>
  <si>
    <t>RATE(rmb)</t>
  </si>
  <si>
    <t>G.PROFIT</t>
  </si>
  <si>
    <t>11TH ROUTE 2-9.JAN.2012()</t>
  </si>
  <si>
    <t>11TH ROUTE 1-11.DEC.2011(US2555/6.34RMB)</t>
  </si>
  <si>
    <t>JN SKIRT</t>
  </si>
  <si>
    <t>JN DRESS</t>
  </si>
  <si>
    <t>TOP SWEATER</t>
  </si>
  <si>
    <t xml:space="preserve">TOP </t>
  </si>
  <si>
    <t>JACKETS</t>
  </si>
  <si>
    <t>SWEATER SLEAVE</t>
  </si>
  <si>
    <t>JEGGING</t>
  </si>
  <si>
    <t>BODY SOCKING</t>
  </si>
  <si>
    <t>TOPS</t>
  </si>
  <si>
    <t>TOTAL</t>
  </si>
  <si>
    <t>COST</t>
  </si>
  <si>
    <t>TICKET</t>
  </si>
  <si>
    <t>FREIGHT</t>
  </si>
  <si>
    <t>EXPENSE</t>
  </si>
  <si>
    <t>TAX</t>
  </si>
  <si>
    <t>T.COST(shs)</t>
  </si>
  <si>
    <t>RENT</t>
  </si>
  <si>
    <t>SARALY</t>
  </si>
  <si>
    <t>EXPENSES</t>
  </si>
  <si>
    <t>T.T COST</t>
  </si>
  <si>
    <t>PROFIT</t>
  </si>
  <si>
    <t>SALLARY</t>
  </si>
  <si>
    <t>KAMALA CTNER (14BGS)</t>
  </si>
  <si>
    <t>ISMA SWAHABA (2BGS)</t>
  </si>
  <si>
    <t>MEDY CTNER(27BGS)</t>
  </si>
  <si>
    <t>ZAAKE CTNER(16BGS)</t>
  </si>
  <si>
    <t>USD RATE(Shs)</t>
  </si>
  <si>
    <t>JN SKIRTS</t>
  </si>
  <si>
    <t>TOPS CTN</t>
  </si>
  <si>
    <t>12th ROUTE AS AT 12th-24th/2/2012</t>
  </si>
  <si>
    <t>NDAWULA CTNER(4BGS)</t>
  </si>
  <si>
    <t>TT.COST</t>
  </si>
  <si>
    <t>13th ROUTE AS AT 31st.3.2012-7.4.2012</t>
  </si>
  <si>
    <t>31/3/2012</t>
  </si>
  <si>
    <t>31/3/2013</t>
  </si>
  <si>
    <t>31/3/2014</t>
  </si>
  <si>
    <t>31/3/2015</t>
  </si>
  <si>
    <t>31/3/2016</t>
  </si>
  <si>
    <t>31/3/2017</t>
  </si>
  <si>
    <t>31/3/2018</t>
  </si>
  <si>
    <t>31/3/2019</t>
  </si>
  <si>
    <t>31/3/2020</t>
  </si>
  <si>
    <t>31/3/2021</t>
  </si>
  <si>
    <t>31/3/2022</t>
  </si>
  <si>
    <t>31/3/2023</t>
  </si>
  <si>
    <t>31/3/2024</t>
  </si>
  <si>
    <t>31/3/2025</t>
  </si>
  <si>
    <t>31/3/2026</t>
  </si>
  <si>
    <t>31/3/2027</t>
  </si>
  <si>
    <t>31/3/2028</t>
  </si>
  <si>
    <t>31/3/2029</t>
  </si>
  <si>
    <t>BAMUDAH</t>
  </si>
  <si>
    <t>LINEN TROUSER</t>
  </si>
  <si>
    <t>COATS</t>
  </si>
  <si>
    <t>31/3/2030</t>
  </si>
  <si>
    <t>31/3/2031</t>
  </si>
  <si>
    <t>31/3/2032</t>
  </si>
  <si>
    <t>SEBATA MEDY</t>
  </si>
  <si>
    <t>14th ROUTE AS AT12th-23rd/5/2012</t>
  </si>
  <si>
    <t>14.5.2012</t>
  </si>
  <si>
    <t xml:space="preserve"> TOPS(2BTN)</t>
  </si>
  <si>
    <t>TOPS(SLEAVE)</t>
  </si>
  <si>
    <t>USD($)</t>
  </si>
  <si>
    <t>Moses container</t>
  </si>
  <si>
    <t>13.7.2012</t>
  </si>
  <si>
    <t>PEDAL</t>
  </si>
  <si>
    <t>COAT SLEAVE</t>
  </si>
  <si>
    <t xml:space="preserve">  JN TROUSER</t>
  </si>
  <si>
    <t>GIRLS JN</t>
  </si>
  <si>
    <t>MR ZAAKE CTNER</t>
  </si>
  <si>
    <t>29 PACKETS</t>
  </si>
  <si>
    <t>15th ROUTE AS AT12th-23rd/5/2012</t>
  </si>
  <si>
    <t xml:space="preserve">14 ROUTE AS OF 15-23.4.2012 </t>
  </si>
  <si>
    <t>JN TROUSER</t>
  </si>
  <si>
    <t>KAMALA CONTAINER</t>
  </si>
  <si>
    <t>20 PACKETS</t>
  </si>
  <si>
    <t>15.6.2012</t>
  </si>
  <si>
    <t>16th ROUTE AS AT25th.8,-5.8.2012(28,500$)</t>
  </si>
  <si>
    <t>25.8.2012</t>
  </si>
  <si>
    <t>25.8.2013</t>
  </si>
  <si>
    <t>25.8.2014</t>
  </si>
  <si>
    <t>25.8.2015</t>
  </si>
  <si>
    <t>25.8.2016</t>
  </si>
  <si>
    <t>25.8.2017</t>
  </si>
  <si>
    <t>25.8.2018</t>
  </si>
  <si>
    <t>25.8.2019</t>
  </si>
  <si>
    <t>25.8.2020</t>
  </si>
  <si>
    <t>25.8.2021</t>
  </si>
  <si>
    <t>25.8.2022</t>
  </si>
  <si>
    <t>25.8.2023</t>
  </si>
  <si>
    <t>25.8.2024</t>
  </si>
  <si>
    <t>25.8.2025</t>
  </si>
  <si>
    <t>25.8.2026</t>
  </si>
  <si>
    <t>25.8.2027</t>
  </si>
  <si>
    <t>25.8.2028</t>
  </si>
  <si>
    <t>25.8.2029</t>
  </si>
  <si>
    <t>25.8.2030</t>
  </si>
  <si>
    <t>25.8.2031</t>
  </si>
  <si>
    <t>25.8.2032</t>
  </si>
  <si>
    <t>25.8.2033</t>
  </si>
  <si>
    <t>25.8.2034</t>
  </si>
  <si>
    <t>25.8.2035</t>
  </si>
  <si>
    <t>25.8.2036</t>
  </si>
  <si>
    <t>TOPS COATS</t>
  </si>
  <si>
    <t>ON TOPS</t>
  </si>
  <si>
    <t>25.8.2037</t>
  </si>
  <si>
    <t>25.8.2038</t>
  </si>
  <si>
    <t>MR SEBATA CTNER</t>
  </si>
  <si>
    <t>17th ROUTE AS AT30th.9,-10.10.2012(30,000$)</t>
  </si>
  <si>
    <t>30.9.2012</t>
  </si>
  <si>
    <t>30.9.2013</t>
  </si>
  <si>
    <t>30.9.2014</t>
  </si>
  <si>
    <t>30.9.2015</t>
  </si>
  <si>
    <t>30.9.2016</t>
  </si>
  <si>
    <t>30.9.2017</t>
  </si>
  <si>
    <t>30.9.2018</t>
  </si>
  <si>
    <t>30.9.2019</t>
  </si>
  <si>
    <t>30.9.2020</t>
  </si>
  <si>
    <t>30.9.2021</t>
  </si>
  <si>
    <t>30.9.2022</t>
  </si>
  <si>
    <t>30.9.2023</t>
  </si>
  <si>
    <t>30.9.2024</t>
  </si>
  <si>
    <t>30.9.2025</t>
  </si>
  <si>
    <t>30.9.2026</t>
  </si>
  <si>
    <t>30.9.2027</t>
  </si>
  <si>
    <t>30.9.2028</t>
  </si>
  <si>
    <t>30.9.2029</t>
  </si>
  <si>
    <t>30.9.2030</t>
  </si>
  <si>
    <t>30.9.2031</t>
  </si>
  <si>
    <t>30.9.2032</t>
  </si>
  <si>
    <t>30.9.2033</t>
  </si>
  <si>
    <t>30.9.2034</t>
  </si>
  <si>
    <t>30.9.2035</t>
  </si>
  <si>
    <t>30.9.2036</t>
  </si>
  <si>
    <t>30.9.2037</t>
  </si>
  <si>
    <t>30.9.2038</t>
  </si>
  <si>
    <t>30.9.2039</t>
  </si>
  <si>
    <t>30.9.2040</t>
  </si>
  <si>
    <t>30.9.2041</t>
  </si>
  <si>
    <t>30.9.2042</t>
  </si>
  <si>
    <t>30.9.2043</t>
  </si>
  <si>
    <t>30.9.2044</t>
  </si>
  <si>
    <t>30.9.2045</t>
  </si>
  <si>
    <t>30.9.2046</t>
  </si>
  <si>
    <t>30.9.2047</t>
  </si>
  <si>
    <t>30.9.2048</t>
  </si>
  <si>
    <t>JEGGINGS</t>
  </si>
  <si>
    <t>TRENCH COATS</t>
  </si>
  <si>
    <t>TOP.D</t>
  </si>
  <si>
    <t>MEDI AND KALYESUBULA</t>
  </si>
  <si>
    <t>30 PACKETS</t>
  </si>
  <si>
    <t>18th ROUTE AS AT3rd.11,-13.11.2012(30,000$)</t>
  </si>
  <si>
    <t>3.11.2012</t>
  </si>
  <si>
    <t>3.11.2013</t>
  </si>
  <si>
    <t>3.11.2014</t>
  </si>
  <si>
    <t>3.11.2015</t>
  </si>
  <si>
    <t>3.11.2016</t>
  </si>
  <si>
    <t>3.11.2017</t>
  </si>
  <si>
    <t>3.11.2018</t>
  </si>
  <si>
    <t>3.11.2019</t>
  </si>
  <si>
    <t>3.11.2020</t>
  </si>
  <si>
    <t>3.11.2021</t>
  </si>
  <si>
    <t>3.11.2022</t>
  </si>
  <si>
    <t>3.11.2023</t>
  </si>
  <si>
    <t>3.11.2024</t>
  </si>
  <si>
    <t>3.11.2025</t>
  </si>
  <si>
    <t>3.11.2026</t>
  </si>
  <si>
    <t>3.11.2027</t>
  </si>
  <si>
    <t>3.11.2028</t>
  </si>
  <si>
    <t>3.11.2029</t>
  </si>
  <si>
    <t>3.11.2030</t>
  </si>
  <si>
    <t>3.11.2031</t>
  </si>
  <si>
    <t>3.11.2032</t>
  </si>
  <si>
    <t>3.11.2033</t>
  </si>
  <si>
    <t>3.11.2034</t>
  </si>
  <si>
    <t>3.11.2035</t>
  </si>
  <si>
    <t>3.11.2036</t>
  </si>
  <si>
    <t>3.11.2037</t>
  </si>
  <si>
    <t>3.11.2038</t>
  </si>
  <si>
    <t>3.11.2039</t>
  </si>
  <si>
    <t>3.11.2040</t>
  </si>
  <si>
    <t>3.11.2041</t>
  </si>
  <si>
    <t>3.11.2042</t>
  </si>
  <si>
    <t>3.11.2043</t>
  </si>
  <si>
    <t>3.11.2044</t>
  </si>
  <si>
    <t>3.11.2045</t>
  </si>
  <si>
    <t>3.11.2046</t>
  </si>
  <si>
    <t>3.11.2047</t>
  </si>
  <si>
    <t>3.11.2048</t>
  </si>
  <si>
    <t>3.11.2049</t>
  </si>
  <si>
    <t>DRESS</t>
  </si>
  <si>
    <t>PATRA</t>
  </si>
  <si>
    <t>SKIRTS</t>
  </si>
  <si>
    <t>JN.SKIRTS</t>
  </si>
  <si>
    <t>MEDI CTNER</t>
  </si>
  <si>
    <t>39 PACKETS</t>
  </si>
  <si>
    <t>LOST GOODS</t>
  </si>
  <si>
    <t>20th ROUTE AS AT29.1,-29.1.2013(40,000$)</t>
  </si>
  <si>
    <t>29.1.2013</t>
  </si>
  <si>
    <t>KIDS JN</t>
  </si>
  <si>
    <t>TOP DRESS</t>
  </si>
  <si>
    <t>BELTS</t>
  </si>
  <si>
    <t>19th ROUTE AS Af 7th.12,-12.11.2012(30,000$)</t>
  </si>
  <si>
    <t>7.12.2012</t>
  </si>
  <si>
    <t>7.12.2013</t>
  </si>
  <si>
    <t>7.12.2014</t>
  </si>
  <si>
    <t>7.12.2015</t>
  </si>
  <si>
    <t>7.12.2016</t>
  </si>
  <si>
    <t>7.12.2017</t>
  </si>
  <si>
    <t>7.12.2018</t>
  </si>
  <si>
    <t>7.12.2019</t>
  </si>
  <si>
    <t>7.12.2020</t>
  </si>
  <si>
    <t>7.12.2021</t>
  </si>
  <si>
    <t>7.12.2022</t>
  </si>
  <si>
    <t>7.12.2023</t>
  </si>
  <si>
    <t>7.12.2024</t>
  </si>
  <si>
    <t>7.12.2025</t>
  </si>
  <si>
    <t>7.12.2026</t>
  </si>
  <si>
    <t>7.12.2027</t>
  </si>
  <si>
    <t>7.12.2028</t>
  </si>
  <si>
    <t>7.12.2029</t>
  </si>
  <si>
    <t>7.12.2030</t>
  </si>
  <si>
    <t>7.12.2031</t>
  </si>
  <si>
    <t>7.12.2032</t>
  </si>
  <si>
    <t>7.12.2033</t>
  </si>
  <si>
    <t>7.12.2034</t>
  </si>
  <si>
    <t>7.12.2035</t>
  </si>
  <si>
    <t>7.12.2036</t>
  </si>
  <si>
    <t>7.12.2037</t>
  </si>
  <si>
    <t>38 PACKETS</t>
  </si>
  <si>
    <t>hand c.850,000</t>
  </si>
  <si>
    <t>JN TROUSERS(SUFI</t>
  </si>
  <si>
    <t>JN TROUSERS "</t>
  </si>
  <si>
    <t>JN TROUSERS(LEWA</t>
  </si>
  <si>
    <t>JEGGING (FLOWER</t>
  </si>
  <si>
    <t>JEG SKIRT FLOWER</t>
  </si>
  <si>
    <t>JN TROUSER(JANIE</t>
  </si>
  <si>
    <t>TOPS (LIHZA B4</t>
  </si>
  <si>
    <t>"</t>
  </si>
  <si>
    <t>SKIRTS(MINGTAI</t>
  </si>
  <si>
    <t>LEGING(LIHWA</t>
  </si>
  <si>
    <t>" FLOWAR</t>
  </si>
  <si>
    <t>JEGGING Urong</t>
  </si>
  <si>
    <t>TOPS (urong</t>
  </si>
  <si>
    <t>JN TROUSERS(AKI</t>
  </si>
  <si>
    <t>TOPS CIFON</t>
  </si>
  <si>
    <t>CAROT</t>
  </si>
  <si>
    <t>PEDLE</t>
  </si>
  <si>
    <t>DISCRIPTION</t>
  </si>
  <si>
    <t>29.7.2013</t>
  </si>
  <si>
    <t>29.7.2014</t>
  </si>
  <si>
    <t>29.7.2015</t>
  </si>
  <si>
    <t>29.7.2016</t>
  </si>
  <si>
    <t>29.7.2017</t>
  </si>
  <si>
    <t>29.7.2018</t>
  </si>
  <si>
    <t>29.7.2019</t>
  </si>
  <si>
    <t>29.7.2020</t>
  </si>
  <si>
    <t>29.7.2021</t>
  </si>
  <si>
    <t>29.7.2022</t>
  </si>
  <si>
    <t>29.7.2023</t>
  </si>
  <si>
    <t>29.7.2024</t>
  </si>
  <si>
    <t>29.7.2025</t>
  </si>
  <si>
    <t>29.7.2026</t>
  </si>
  <si>
    <t>29.7.2027</t>
  </si>
  <si>
    <t>29.7.2028</t>
  </si>
  <si>
    <t>29.7.2029</t>
  </si>
  <si>
    <t>29.7.2030</t>
  </si>
  <si>
    <t>29.7.2031</t>
  </si>
  <si>
    <t>29.7.2032</t>
  </si>
  <si>
    <t>29.7.2033</t>
  </si>
  <si>
    <t>29.7.2034</t>
  </si>
  <si>
    <t>29.7.2035</t>
  </si>
  <si>
    <t>29.7.2036</t>
  </si>
  <si>
    <t>29.7.2037</t>
  </si>
  <si>
    <t>29.7.2038</t>
  </si>
  <si>
    <t>29.7.2039</t>
  </si>
  <si>
    <t>29.7.2040</t>
  </si>
  <si>
    <t>29.7.2041</t>
  </si>
  <si>
    <t>29.7.2042</t>
  </si>
  <si>
    <t>29.7.2043</t>
  </si>
  <si>
    <t>29.7.2044</t>
  </si>
  <si>
    <t>29.7.2045</t>
  </si>
  <si>
    <t>29.7.2046</t>
  </si>
  <si>
    <t>29.7.2047</t>
  </si>
  <si>
    <t>Jeping Big size</t>
  </si>
  <si>
    <t>Flower</t>
  </si>
  <si>
    <t>Jeping small size</t>
  </si>
  <si>
    <t>Julie</t>
  </si>
  <si>
    <t>Lewa</t>
  </si>
  <si>
    <t>Janie</t>
  </si>
  <si>
    <t>Cotton same be4</t>
  </si>
  <si>
    <t>Mingtai</t>
  </si>
  <si>
    <t>Liwha</t>
  </si>
  <si>
    <t>Urong Flower</t>
  </si>
  <si>
    <t xml:space="preserve">Urong </t>
  </si>
  <si>
    <t>Handcarry</t>
  </si>
  <si>
    <t>Side Buttons</t>
  </si>
  <si>
    <t>Meitach</t>
  </si>
  <si>
    <t>Shifon Lihwa</t>
  </si>
  <si>
    <t>Aki cnn</t>
  </si>
  <si>
    <t>29.7.2048</t>
  </si>
  <si>
    <t>29.7.2049</t>
  </si>
  <si>
    <t>29.7.2050</t>
  </si>
  <si>
    <t>29.7.2051</t>
  </si>
  <si>
    <t>Former shp janie</t>
  </si>
  <si>
    <t>Litien</t>
  </si>
  <si>
    <t>29.7.2052</t>
  </si>
  <si>
    <t>29.7.2053</t>
  </si>
  <si>
    <t>29.7.2054</t>
  </si>
  <si>
    <t>Tina Highwest</t>
  </si>
  <si>
    <t>Tina turkish</t>
  </si>
  <si>
    <t>Meitach colours</t>
  </si>
  <si>
    <t>shifon long</t>
  </si>
  <si>
    <t>long sleave</t>
  </si>
  <si>
    <t>Ontops long</t>
  </si>
  <si>
    <t>Ontops btn shot</t>
  </si>
  <si>
    <t>Ontops string</t>
  </si>
  <si>
    <t>I PHONE</t>
  </si>
  <si>
    <t>SAMSUNG S4 TOP UP</t>
  </si>
  <si>
    <t>HTC ONE X</t>
  </si>
  <si>
    <t>SAFE</t>
  </si>
  <si>
    <t>SHOES</t>
  </si>
  <si>
    <t>CLOTHS</t>
  </si>
  <si>
    <t>LAPTOP REPAIR</t>
  </si>
  <si>
    <t>MOUS</t>
  </si>
  <si>
    <t>I POD</t>
  </si>
  <si>
    <t>CAMERA REPAIR</t>
  </si>
  <si>
    <t>ITEMS</t>
  </si>
  <si>
    <t>AMOUNT IN $</t>
  </si>
  <si>
    <t>CAR ACCESSORIES</t>
  </si>
  <si>
    <t>ACCOMODATION</t>
  </si>
  <si>
    <t>23rd ROUTE PERSONAL EXPENDITURE</t>
  </si>
  <si>
    <t>KILO HANDCARRY</t>
  </si>
  <si>
    <t>29.9.2013</t>
  </si>
  <si>
    <t>29.9.2014</t>
  </si>
  <si>
    <t>29.9.2015</t>
  </si>
  <si>
    <t>29.9.2016</t>
  </si>
  <si>
    <t>29.9.2017</t>
  </si>
  <si>
    <t>29.9.2020</t>
  </si>
  <si>
    <t>29.9.2021</t>
  </si>
  <si>
    <t>29.9.2023</t>
  </si>
  <si>
    <t>29.9.2024</t>
  </si>
  <si>
    <t>29.9.2025</t>
  </si>
  <si>
    <t>29.9.2026</t>
  </si>
  <si>
    <t>29.9.2027</t>
  </si>
  <si>
    <t>29.9.2028</t>
  </si>
  <si>
    <t>29.9.2029</t>
  </si>
  <si>
    <t>29.9.2030</t>
  </si>
  <si>
    <t>29.9.2031</t>
  </si>
  <si>
    <t>29.9.2032</t>
  </si>
  <si>
    <t>29.9.2033</t>
  </si>
  <si>
    <t>29.9.2034</t>
  </si>
  <si>
    <t>29.9.2035</t>
  </si>
  <si>
    <t>29.9.2036</t>
  </si>
  <si>
    <t>29.9.2037</t>
  </si>
  <si>
    <t>29.9.2038</t>
  </si>
  <si>
    <t>29.9.2039</t>
  </si>
  <si>
    <t>29.9.2040</t>
  </si>
  <si>
    <t>29.9.2041</t>
  </si>
  <si>
    <t>29.9.2042</t>
  </si>
  <si>
    <t>29.9.2044</t>
  </si>
  <si>
    <t>29.9.2045</t>
  </si>
  <si>
    <t>29.9.2046</t>
  </si>
  <si>
    <t>Sufi cnn</t>
  </si>
  <si>
    <t>"7261</t>
  </si>
  <si>
    <t>"970</t>
  </si>
  <si>
    <t>"975</t>
  </si>
  <si>
    <t>" CTN</t>
  </si>
  <si>
    <t xml:space="preserve">TOPS </t>
  </si>
  <si>
    <t>URONG MKT</t>
  </si>
  <si>
    <t>CNN FLAWERS</t>
  </si>
  <si>
    <t>CNN HIGH WEST</t>
  </si>
  <si>
    <t>LIWHA SHIFO SAME BE4</t>
  </si>
  <si>
    <t>WING</t>
  </si>
  <si>
    <t>SLEAVELES</t>
  </si>
  <si>
    <t>SANDE HIGHWEST</t>
  </si>
  <si>
    <t>KIDS JEAN</t>
  </si>
  <si>
    <t>COLOURS</t>
  </si>
  <si>
    <t>BLACK CNN</t>
  </si>
  <si>
    <t>" COLOURS</t>
  </si>
  <si>
    <t>FANNY</t>
  </si>
  <si>
    <t>"9051</t>
  </si>
  <si>
    <t>"1053</t>
  </si>
  <si>
    <t>SHIRLEY</t>
  </si>
  <si>
    <t>COSET</t>
  </si>
  <si>
    <t>AKI  8060</t>
  </si>
  <si>
    <t>TINA 904</t>
  </si>
  <si>
    <t>LITIEN FLOWER</t>
  </si>
  <si>
    <t>URONG</t>
  </si>
  <si>
    <t>SHIFO PLAIN SLEAVE</t>
  </si>
  <si>
    <t>24th ROUTE AS AT12th-23th.8.2013(40278$)</t>
  </si>
  <si>
    <t>LASTICK</t>
  </si>
  <si>
    <t>HIGH WEST</t>
  </si>
  <si>
    <t>MY 1ST</t>
  </si>
  <si>
    <t>29.9.2043</t>
  </si>
  <si>
    <t>shifon</t>
  </si>
  <si>
    <t>skirts</t>
  </si>
  <si>
    <t>jegn skirt</t>
  </si>
  <si>
    <t>be4 at (6.11)</t>
  </si>
  <si>
    <t>JANIE</t>
  </si>
  <si>
    <t>shiping china</t>
  </si>
  <si>
    <t>179$*2550</t>
  </si>
  <si>
    <t>shiping mbsa</t>
  </si>
  <si>
    <t>Tax</t>
  </si>
  <si>
    <t>Janie Jeggn =pcs</t>
  </si>
  <si>
    <t xml:space="preserve">   nh6</t>
  </si>
  <si>
    <t>"9059</t>
  </si>
  <si>
    <t>"9035</t>
  </si>
  <si>
    <t>19.10.2013</t>
  </si>
  <si>
    <t>19.10.2014</t>
  </si>
  <si>
    <t>19.10.2015</t>
  </si>
  <si>
    <t>19.10.2016</t>
  </si>
  <si>
    <t>19.10.2017</t>
  </si>
  <si>
    <t>19.10.2018</t>
  </si>
  <si>
    <t>19.10.2019</t>
  </si>
  <si>
    <t>19.10.2020</t>
  </si>
  <si>
    <t>19.10.2021</t>
  </si>
  <si>
    <t>19.10.2022</t>
  </si>
  <si>
    <t>19.10.2023</t>
  </si>
  <si>
    <t>19.10.2024</t>
  </si>
  <si>
    <t>19.10.2025</t>
  </si>
  <si>
    <t>19.10.2026</t>
  </si>
  <si>
    <t>19.10.2027</t>
  </si>
  <si>
    <t>19.10.2028</t>
  </si>
  <si>
    <t>19.10.2029</t>
  </si>
  <si>
    <t>19.10.2030</t>
  </si>
  <si>
    <t>19.10.2031</t>
  </si>
  <si>
    <t>19.10.2032</t>
  </si>
  <si>
    <t>19.10.2033</t>
  </si>
  <si>
    <t>19.10.2034</t>
  </si>
  <si>
    <t>19.10.2035</t>
  </si>
  <si>
    <t>jeggingi</t>
  </si>
  <si>
    <t>meitach</t>
  </si>
  <si>
    <t>ABIN</t>
  </si>
  <si>
    <t>"1609</t>
  </si>
  <si>
    <t>TINA</t>
  </si>
  <si>
    <t>AKI</t>
  </si>
  <si>
    <t>SHINE BLUE</t>
  </si>
  <si>
    <t>KEY BOY</t>
  </si>
  <si>
    <t>"BIG SIZE</t>
  </si>
  <si>
    <t>"KEY BOY</t>
  </si>
  <si>
    <t>SLEAVE JN</t>
  </si>
  <si>
    <t>" SHIFON</t>
  </si>
  <si>
    <t>MTCH BIG SIZE</t>
  </si>
  <si>
    <t>PEDAL JN</t>
  </si>
  <si>
    <t>LILLY</t>
  </si>
  <si>
    <t>"607</t>
  </si>
  <si>
    <t>"603</t>
  </si>
  <si>
    <t>"605</t>
  </si>
  <si>
    <t>"8102</t>
  </si>
  <si>
    <t>"069</t>
  </si>
  <si>
    <t>"609</t>
  </si>
  <si>
    <t>SHIFON URONG</t>
  </si>
  <si>
    <t>jepping</t>
  </si>
  <si>
    <t>HIGHWEST</t>
  </si>
  <si>
    <t>CNN 13605</t>
  </si>
  <si>
    <t>" 13016</t>
  </si>
  <si>
    <t>"53015</t>
  </si>
  <si>
    <t>TURKISH 213</t>
  </si>
  <si>
    <t>"214</t>
  </si>
  <si>
    <t>"230</t>
  </si>
  <si>
    <t>"250</t>
  </si>
  <si>
    <t>"206</t>
  </si>
  <si>
    <t>"520</t>
  </si>
  <si>
    <t>"545</t>
  </si>
  <si>
    <t>"523</t>
  </si>
  <si>
    <t>CTN</t>
  </si>
  <si>
    <t>BIG SIZE KEY BOY</t>
  </si>
  <si>
    <t>SHERLEY</t>
  </si>
  <si>
    <t>LINDAH</t>
  </si>
  <si>
    <t>TOPS URONG</t>
  </si>
  <si>
    <t>2PIECE</t>
  </si>
  <si>
    <t>meitach GRAY</t>
  </si>
  <si>
    <t>COATS FANNY</t>
  </si>
  <si>
    <t>Sufi 7261</t>
  </si>
  <si>
    <t>"982</t>
  </si>
  <si>
    <t>Shifon ulong</t>
  </si>
  <si>
    <t>Black litien</t>
  </si>
  <si>
    <t>" coloured</t>
  </si>
  <si>
    <t>" flowers</t>
  </si>
  <si>
    <t>" jn</t>
  </si>
  <si>
    <t>julie</t>
  </si>
  <si>
    <t>Aki</t>
  </si>
  <si>
    <t>Ulong</t>
  </si>
  <si>
    <t>sleaves lihwa</t>
  </si>
  <si>
    <t>1.12.2013</t>
  </si>
  <si>
    <t>cnn gray</t>
  </si>
  <si>
    <t>lewa</t>
  </si>
  <si>
    <t>24rd ROUTE AS AT29th-15th.8.2013(64,340$)</t>
  </si>
  <si>
    <t>25th ROUTE AS AT12th-23th.8.2013(40278$)</t>
  </si>
  <si>
    <t>26th ROUTE AS AT19th-29th.10.2013(26000$)</t>
  </si>
  <si>
    <t>26th ROUTE 2 ORDER AS AT15th-29th.11.2013(26000$)36,950$+ DEP</t>
  </si>
  <si>
    <t>TAX DEPOSIT EMMA NANA</t>
  </si>
  <si>
    <t>5,000,000/=</t>
  </si>
  <si>
    <t>1ST ROUTE TO BANGKOK AS AT 12-16.3.2013</t>
  </si>
  <si>
    <t>ART NO</t>
  </si>
  <si>
    <t>RATE(BT)</t>
  </si>
  <si>
    <t>AMOUNT(BT)</t>
  </si>
  <si>
    <t>13.3.2013</t>
  </si>
  <si>
    <t>TOPS SHIFO</t>
  </si>
  <si>
    <t>13.3.2014</t>
  </si>
  <si>
    <t>13.3.2015</t>
  </si>
  <si>
    <t>TOPS LINEN</t>
  </si>
  <si>
    <t>13.3.2016</t>
  </si>
  <si>
    <t>13.3.2017</t>
  </si>
  <si>
    <t>13.3.2018</t>
  </si>
  <si>
    <t>SKIRTS SHIFO</t>
  </si>
  <si>
    <t>SHORT</t>
  </si>
  <si>
    <t>13.3.2019</t>
  </si>
  <si>
    <t>LONG</t>
  </si>
  <si>
    <t>13.3.2020</t>
  </si>
  <si>
    <t>13.3.2021</t>
  </si>
  <si>
    <t>13.3.2022</t>
  </si>
  <si>
    <t>13.3.2023</t>
  </si>
  <si>
    <t>PENCLUM TOP</t>
  </si>
  <si>
    <t>13.3.2024</t>
  </si>
  <si>
    <t>13.3.2025</t>
  </si>
  <si>
    <t>DAMIES</t>
  </si>
  <si>
    <t>MK</t>
  </si>
  <si>
    <t>13.3.2026</t>
  </si>
  <si>
    <t>TOP</t>
  </si>
  <si>
    <t>OO8</t>
  </si>
  <si>
    <t>13.3.2027</t>
  </si>
  <si>
    <t>JAO5</t>
  </si>
  <si>
    <t>13.3.2028</t>
  </si>
  <si>
    <t>TOP SLEAVE</t>
  </si>
  <si>
    <t>V</t>
  </si>
  <si>
    <t>13.3.2029</t>
  </si>
  <si>
    <t>V3</t>
  </si>
  <si>
    <t>13.3.2030</t>
  </si>
  <si>
    <t>T4</t>
  </si>
  <si>
    <t>13.3.2031</t>
  </si>
  <si>
    <t>K19</t>
  </si>
  <si>
    <t>13.3.2032</t>
  </si>
  <si>
    <t>K18</t>
  </si>
  <si>
    <t>13.3.2033</t>
  </si>
  <si>
    <t>MM</t>
  </si>
  <si>
    <t>13.3.2034</t>
  </si>
  <si>
    <t>MM2</t>
  </si>
  <si>
    <t xml:space="preserve">TOP CTN </t>
  </si>
  <si>
    <t>13.3.2035</t>
  </si>
  <si>
    <t>13.3.2036</t>
  </si>
  <si>
    <t>HALF</t>
  </si>
  <si>
    <t>13.3.2037</t>
  </si>
  <si>
    <t>FLOWER</t>
  </si>
  <si>
    <t>13.3.2038</t>
  </si>
  <si>
    <t>LEGGING</t>
  </si>
  <si>
    <t>NEW</t>
  </si>
  <si>
    <t>Meddy container</t>
  </si>
  <si>
    <t>BHT</t>
  </si>
  <si>
    <t>$</t>
  </si>
  <si>
    <t>EXPENDITURE</t>
  </si>
  <si>
    <t>GALAXY NOTE II</t>
  </si>
  <si>
    <t>UTENSILES</t>
  </si>
  <si>
    <t>CORGO WORKERS</t>
  </si>
  <si>
    <t>ROOM &amp; TP</t>
  </si>
  <si>
    <t>SHIPPING</t>
  </si>
  <si>
    <t>RICE AND SUGAR</t>
  </si>
  <si>
    <t>SHIPPING(Serubiri)</t>
  </si>
  <si>
    <t>SHIPPING(HAJJI)</t>
  </si>
  <si>
    <t>21ST ROUTE TO CHINA AS AT 16-25.3.2013</t>
  </si>
  <si>
    <t>(56 packets with 11*2 damies)</t>
  </si>
  <si>
    <t>RATE(RMB)</t>
  </si>
  <si>
    <t>AMOUNT(RMB)</t>
  </si>
  <si>
    <t>17.3.2013</t>
  </si>
  <si>
    <t>(AKI)508</t>
  </si>
  <si>
    <t>17.3.2014</t>
  </si>
  <si>
    <t>(AKI)530</t>
  </si>
  <si>
    <t>17.3.2015</t>
  </si>
  <si>
    <t>(AKI)8071</t>
  </si>
  <si>
    <t>17.3.2016</t>
  </si>
  <si>
    <t>(AKI)505</t>
  </si>
  <si>
    <t>17.3.2017</t>
  </si>
  <si>
    <t>(AKI)A36</t>
  </si>
  <si>
    <t>17.3.2018</t>
  </si>
  <si>
    <t>(QI X)9332</t>
  </si>
  <si>
    <t>17.3.2019</t>
  </si>
  <si>
    <t>(QI X)8566</t>
  </si>
  <si>
    <t>17.3.2020</t>
  </si>
  <si>
    <t>(QI X)6688</t>
  </si>
  <si>
    <t>17.3.2021</t>
  </si>
  <si>
    <t>(QI X)8018</t>
  </si>
  <si>
    <t>17.3.2022</t>
  </si>
  <si>
    <t>(QI X)6755</t>
  </si>
  <si>
    <t>17.3.2023</t>
  </si>
  <si>
    <t>(QI X)5169</t>
  </si>
  <si>
    <t>17.3.2024</t>
  </si>
  <si>
    <t>(QI X)5170</t>
  </si>
  <si>
    <t>17.3.2025</t>
  </si>
  <si>
    <t>(QI X)5171</t>
  </si>
  <si>
    <t>17.3.2026</t>
  </si>
  <si>
    <t>17.3.2027</t>
  </si>
  <si>
    <t>(QI X)5172</t>
  </si>
  <si>
    <t>17.3.2028</t>
  </si>
  <si>
    <t>YQ-H607</t>
  </si>
  <si>
    <t>17.3.2029</t>
  </si>
  <si>
    <t>YQ-H805</t>
  </si>
  <si>
    <t>17.3.2030</t>
  </si>
  <si>
    <t>YQ-H806</t>
  </si>
  <si>
    <t>17.3.2031</t>
  </si>
  <si>
    <t>YQ-H605</t>
  </si>
  <si>
    <t>17.3.2032</t>
  </si>
  <si>
    <t>JEPING</t>
  </si>
  <si>
    <t>17.3.2033</t>
  </si>
  <si>
    <t>YI TU.1290-81</t>
  </si>
  <si>
    <t>17.3.2034</t>
  </si>
  <si>
    <t>YI TU.1280-005</t>
  </si>
  <si>
    <t>17.3.2035</t>
  </si>
  <si>
    <t>YI TU.1369-097</t>
  </si>
  <si>
    <t>17.3.2036</t>
  </si>
  <si>
    <t>YI TU.1176-099</t>
  </si>
  <si>
    <t>17.3.2037</t>
  </si>
  <si>
    <t>ZERO</t>
  </si>
  <si>
    <t>17.3.2038</t>
  </si>
  <si>
    <t>(QI X)5173</t>
  </si>
  <si>
    <t>17.3.2039</t>
  </si>
  <si>
    <t>(RITAH)255</t>
  </si>
  <si>
    <t>17.3.2040</t>
  </si>
  <si>
    <t>"867</t>
  </si>
  <si>
    <t>17.3.2041</t>
  </si>
  <si>
    <t>"865</t>
  </si>
  <si>
    <t>"874</t>
  </si>
  <si>
    <t>"933458</t>
  </si>
  <si>
    <t>(KELLEN)6277</t>
  </si>
  <si>
    <t>"6301</t>
  </si>
  <si>
    <t>17.3.2042</t>
  </si>
  <si>
    <t>"6213</t>
  </si>
  <si>
    <t>17.3.2043</t>
  </si>
  <si>
    <t>(1+1)9073</t>
  </si>
  <si>
    <t>17.3.2044</t>
  </si>
  <si>
    <t>"9075</t>
  </si>
  <si>
    <t>17.3.2045</t>
  </si>
  <si>
    <t>SKIRT</t>
  </si>
  <si>
    <t>"46</t>
  </si>
  <si>
    <t>17.3.2046</t>
  </si>
  <si>
    <t>17.3.2047</t>
  </si>
  <si>
    <t>GRAY</t>
  </si>
  <si>
    <t>17.3.2048</t>
  </si>
  <si>
    <t>STRIPS SERTIN</t>
  </si>
  <si>
    <t>17.3.2049</t>
  </si>
  <si>
    <t>SKY BLUE</t>
  </si>
  <si>
    <t>17.3.2050</t>
  </si>
  <si>
    <t>DAMIE</t>
  </si>
  <si>
    <t>17.3.2051</t>
  </si>
  <si>
    <t>FUUL</t>
  </si>
  <si>
    <t>Bashir container</t>
  </si>
  <si>
    <t>58 PACKETS</t>
  </si>
  <si>
    <t>Next route order 22nd(april)</t>
  </si>
  <si>
    <t>RMB</t>
  </si>
  <si>
    <t>sleaveless stones</t>
  </si>
  <si>
    <t>IN CHINA.</t>
  </si>
  <si>
    <t>WATCH</t>
  </si>
  <si>
    <t>Bascoats</t>
  </si>
  <si>
    <t>ROOM</t>
  </si>
  <si>
    <t>2 SUITS</t>
  </si>
  <si>
    <t>TRAUSER</t>
  </si>
  <si>
    <t>MONEY &amp; LAPTOP BAG</t>
  </si>
  <si>
    <t>jamper,air freshner &amp; car pressur</t>
  </si>
  <si>
    <t>BED COVER</t>
  </si>
  <si>
    <t>kids clths &amp; shoes</t>
  </si>
  <si>
    <t>SD CARD</t>
  </si>
  <si>
    <t>SHIRTS</t>
  </si>
  <si>
    <t>PANTS</t>
  </si>
  <si>
    <t>phone</t>
  </si>
  <si>
    <t>22nd ROUTE TO CHINA AS AT 21-30.4.2013 FOR=(47000$)</t>
  </si>
  <si>
    <t>21.4.2013</t>
  </si>
  <si>
    <t>JULIE</t>
  </si>
  <si>
    <t>21.4.2014</t>
  </si>
  <si>
    <t>21.4.2015</t>
  </si>
  <si>
    <t>21.4.2016</t>
  </si>
  <si>
    <t>21.4.2017</t>
  </si>
  <si>
    <t>JANIE(2019)</t>
  </si>
  <si>
    <t>21.4.2018</t>
  </si>
  <si>
    <t>AKI(805</t>
  </si>
  <si>
    <t>21.4.2019</t>
  </si>
  <si>
    <t>"(806)</t>
  </si>
  <si>
    <t>21.4.2020</t>
  </si>
  <si>
    <t>"(528</t>
  </si>
  <si>
    <t>21.4.2021</t>
  </si>
  <si>
    <t>"511</t>
  </si>
  <si>
    <t>21.4.2022</t>
  </si>
  <si>
    <t>TOP(SLEAVE STONES</t>
  </si>
  <si>
    <t>21.4.2023</t>
  </si>
  <si>
    <t>2BUTTON</t>
  </si>
  <si>
    <t>21.4.2024</t>
  </si>
  <si>
    <t>21.4.2025</t>
  </si>
  <si>
    <t>Kellen</t>
  </si>
  <si>
    <t>21.4.2026</t>
  </si>
  <si>
    <t>JN skirt</t>
  </si>
  <si>
    <t>21.4.2027</t>
  </si>
  <si>
    <t>21.4.2032</t>
  </si>
  <si>
    <t>CNN shifon</t>
  </si>
  <si>
    <t>21.4.2033</t>
  </si>
  <si>
    <t>Shifo(01</t>
  </si>
  <si>
    <t>21.4.2034</t>
  </si>
  <si>
    <t>Shifo(80011</t>
  </si>
  <si>
    <t>21.4.2035</t>
  </si>
  <si>
    <t>Wing(8102</t>
  </si>
  <si>
    <t>21.4.2036</t>
  </si>
  <si>
    <t>"8046</t>
  </si>
  <si>
    <t>21.4.2037</t>
  </si>
  <si>
    <t>"8052</t>
  </si>
  <si>
    <t>21.4.2038</t>
  </si>
  <si>
    <t>"008</t>
  </si>
  <si>
    <t>21.4.2039</t>
  </si>
  <si>
    <t>21.4.2040</t>
  </si>
  <si>
    <t>GIPENG</t>
  </si>
  <si>
    <t>21.4.2041</t>
  </si>
  <si>
    <t>GIP SKIRT</t>
  </si>
  <si>
    <t>21.4.2042</t>
  </si>
  <si>
    <t>BIG SIZE</t>
  </si>
  <si>
    <t>21.4.2043</t>
  </si>
  <si>
    <t>21.4.2044</t>
  </si>
  <si>
    <t>21.4.2045</t>
  </si>
  <si>
    <t>21.4.2046</t>
  </si>
  <si>
    <t>21.4.2047</t>
  </si>
  <si>
    <t>SUP 26</t>
  </si>
  <si>
    <t>21.4.2048</t>
  </si>
  <si>
    <t>PENCLUM</t>
  </si>
  <si>
    <t>COMPLE</t>
  </si>
  <si>
    <t>21.4.2049</t>
  </si>
  <si>
    <t>SHIFO</t>
  </si>
  <si>
    <t>21.4.2050</t>
  </si>
  <si>
    <t>TOPDRESS</t>
  </si>
  <si>
    <t>YCM</t>
  </si>
  <si>
    <t>1038(dots coulor</t>
  </si>
  <si>
    <t>hand c.1054000/=</t>
  </si>
  <si>
    <t>SWIMMING PUL</t>
  </si>
  <si>
    <t>PENIE SHOES</t>
  </si>
  <si>
    <t>RIMS &amp; TIRES</t>
  </si>
  <si>
    <t>HANDCARRY</t>
  </si>
  <si>
    <t>1,054,000/=</t>
  </si>
  <si>
    <t>23rd ROUTE TO CHINA AS AT 30.5.2013 FOR=(46,653$)</t>
  </si>
  <si>
    <t>30.5.2013</t>
  </si>
  <si>
    <t>30.5.2014</t>
  </si>
  <si>
    <t>30.5.2015</t>
  </si>
  <si>
    <t>30.5.2016</t>
  </si>
  <si>
    <t>30.5.2017</t>
  </si>
  <si>
    <t>30.5.2018</t>
  </si>
  <si>
    <t>BIG SZ=726</t>
  </si>
  <si>
    <t>30.5.2019</t>
  </si>
  <si>
    <t>30.5.2020</t>
  </si>
  <si>
    <t>"650</t>
  </si>
  <si>
    <t>30.5.2021</t>
  </si>
  <si>
    <t>30.5.2024</t>
  </si>
  <si>
    <t>JANIE(2185)</t>
  </si>
  <si>
    <t>30.5.2025</t>
  </si>
  <si>
    <t>"2019</t>
  </si>
  <si>
    <t>30.5.2026</t>
  </si>
  <si>
    <t>"BIG</t>
  </si>
  <si>
    <t>30.5.2029</t>
  </si>
  <si>
    <t>NR ABIN</t>
  </si>
  <si>
    <t>30.5.2030</t>
  </si>
  <si>
    <t>SANDY</t>
  </si>
  <si>
    <t>30.5.2031</t>
  </si>
  <si>
    <t>30.5.2032</t>
  </si>
  <si>
    <t>30.5.2033</t>
  </si>
  <si>
    <t>30.5.2034</t>
  </si>
  <si>
    <t>30.5.2035</t>
  </si>
  <si>
    <t>30.5.2044</t>
  </si>
  <si>
    <t>30.5.2045</t>
  </si>
  <si>
    <t>"807</t>
  </si>
  <si>
    <t>30.5.2046</t>
  </si>
  <si>
    <t>"148</t>
  </si>
  <si>
    <t>30.5.2047</t>
  </si>
  <si>
    <t>"S33</t>
  </si>
  <si>
    <t>30.5.2048</t>
  </si>
  <si>
    <t>"8042</t>
  </si>
  <si>
    <t>30.5.2049</t>
  </si>
  <si>
    <t>"8051,8033</t>
  </si>
  <si>
    <t>30.5.2050</t>
  </si>
  <si>
    <t>LITIEN</t>
  </si>
  <si>
    <t>30.5.2051</t>
  </si>
  <si>
    <t>30.5.2052</t>
  </si>
  <si>
    <t>Black Liten</t>
  </si>
  <si>
    <t>30.5.2053</t>
  </si>
  <si>
    <t>30.5.2054</t>
  </si>
  <si>
    <t>"073</t>
  </si>
  <si>
    <t>30.5.2055</t>
  </si>
  <si>
    <t xml:space="preserve">SKIRT </t>
  </si>
  <si>
    <t>MING TAI</t>
  </si>
  <si>
    <t>30.5.2056</t>
  </si>
  <si>
    <t>30.5.2057</t>
  </si>
  <si>
    <t>PEPLUM</t>
  </si>
  <si>
    <t>30.5.2058</t>
  </si>
  <si>
    <t>TINA131</t>
  </si>
  <si>
    <t>30.5.2059</t>
  </si>
  <si>
    <t>"8190</t>
  </si>
  <si>
    <t>30.5.2060</t>
  </si>
  <si>
    <t>"1312</t>
  </si>
  <si>
    <t>30.5.2061</t>
  </si>
  <si>
    <t>"732</t>
  </si>
  <si>
    <t>30.5.2062</t>
  </si>
  <si>
    <t>"K849</t>
  </si>
  <si>
    <t>30.5.2063</t>
  </si>
  <si>
    <t>"01</t>
  </si>
  <si>
    <t>30.5.2064</t>
  </si>
  <si>
    <t>"0101</t>
  </si>
  <si>
    <t>1st container</t>
  </si>
  <si>
    <t>50PACKETS</t>
  </si>
  <si>
    <t>SHEOS</t>
  </si>
  <si>
    <t>YUPIES LGN</t>
  </si>
  <si>
    <t>YUPIES COART</t>
  </si>
  <si>
    <t>CORGO EXP</t>
  </si>
  <si>
    <t>YUPIES SHEOS</t>
  </si>
  <si>
    <t>tinaF 54</t>
  </si>
  <si>
    <t>"56</t>
  </si>
  <si>
    <t>"42</t>
  </si>
  <si>
    <t>"A380</t>
  </si>
  <si>
    <t>"F10</t>
  </si>
  <si>
    <t>"F27</t>
  </si>
  <si>
    <t>"f53</t>
  </si>
  <si>
    <t>"F5301</t>
  </si>
  <si>
    <t>"F59</t>
  </si>
  <si>
    <t>TAX 5,800,000/=</t>
  </si>
  <si>
    <t>8.1.2014</t>
  </si>
  <si>
    <t>sufi 970</t>
  </si>
  <si>
    <t>"997</t>
  </si>
  <si>
    <t>"726</t>
  </si>
  <si>
    <t>SKY B JOY</t>
  </si>
  <si>
    <t>VIVI 520</t>
  </si>
  <si>
    <t>"521</t>
  </si>
  <si>
    <t>"562</t>
  </si>
  <si>
    <t>"556</t>
  </si>
  <si>
    <t>"555</t>
  </si>
  <si>
    <t>"215</t>
  </si>
  <si>
    <t>J SKIRT</t>
  </si>
  <si>
    <t>LINDAH 7802</t>
  </si>
  <si>
    <t>"7801</t>
  </si>
  <si>
    <t>"5600</t>
  </si>
  <si>
    <t>"5606</t>
  </si>
  <si>
    <t>"5603</t>
  </si>
  <si>
    <t>"8905</t>
  </si>
  <si>
    <t>"8911</t>
  </si>
  <si>
    <t>"6501</t>
  </si>
  <si>
    <t>KEY BOY MEITACH</t>
  </si>
  <si>
    <t>CB</t>
  </si>
  <si>
    <t>CHKT ULONG</t>
  </si>
  <si>
    <t>SLEAVE</t>
  </si>
  <si>
    <t>FUNNY</t>
  </si>
  <si>
    <t>ULONG</t>
  </si>
  <si>
    <t>PEP</t>
  </si>
  <si>
    <t>JN SHIRT</t>
  </si>
  <si>
    <t>SHIRTS LIWA</t>
  </si>
  <si>
    <t>ON TOPS LIWA</t>
  </si>
  <si>
    <t xml:space="preserve">   </t>
  </si>
  <si>
    <t>27th ROUTE  AS AT 1st-6th.Dec.2013(24,000$)</t>
  </si>
  <si>
    <t>9.3.2014</t>
  </si>
  <si>
    <t>LILL6071</t>
  </si>
  <si>
    <t>"6051</t>
  </si>
  <si>
    <t>"601</t>
  </si>
  <si>
    <t>"801</t>
  </si>
  <si>
    <t>LINDAH 157</t>
  </si>
  <si>
    <t>"117</t>
  </si>
  <si>
    <t>"5701</t>
  </si>
  <si>
    <t>LEWA 373</t>
  </si>
  <si>
    <t>"BLACK</t>
  </si>
  <si>
    <t>"TIE AND DIE</t>
  </si>
  <si>
    <t>OP JANIE 240</t>
  </si>
  <si>
    <t>"243</t>
  </si>
  <si>
    <t>"522</t>
  </si>
  <si>
    <t>STOCK CNN</t>
  </si>
  <si>
    <t>JEGING</t>
  </si>
  <si>
    <t>WING 9052</t>
  </si>
  <si>
    <t>"9053</t>
  </si>
  <si>
    <t>"9007</t>
  </si>
  <si>
    <t>ULONG SLEAVE</t>
  </si>
  <si>
    <t>DRAGON MKT</t>
  </si>
  <si>
    <t>"PEDAL</t>
  </si>
  <si>
    <t>JANIE 890</t>
  </si>
  <si>
    <t>"1097</t>
  </si>
  <si>
    <t>LINDAH 5092</t>
  </si>
  <si>
    <t>"5091</t>
  </si>
  <si>
    <t>"5904</t>
  </si>
  <si>
    <t>"1001</t>
  </si>
  <si>
    <t>MTCH SKY B</t>
  </si>
  <si>
    <t>"GRAY</t>
  </si>
  <si>
    <t>"JEPPING</t>
  </si>
  <si>
    <t>"LEO</t>
  </si>
  <si>
    <t>"COLOUR</t>
  </si>
  <si>
    <t>"JN SHIRT</t>
  </si>
  <si>
    <t>ULONG FLOWER</t>
  </si>
  <si>
    <t>LIWA CTN BE4</t>
  </si>
  <si>
    <t>"CHECKED</t>
  </si>
  <si>
    <t>SHIFON</t>
  </si>
  <si>
    <t>"SHIF ULONG</t>
  </si>
  <si>
    <t>"981</t>
  </si>
  <si>
    <t>meitach 2btn</t>
  </si>
  <si>
    <t>mingtai liwa 0677</t>
  </si>
  <si>
    <t>"0677(1</t>
  </si>
  <si>
    <t>"0677(2</t>
  </si>
  <si>
    <t>0677(3</t>
  </si>
  <si>
    <t>"0638</t>
  </si>
  <si>
    <t>"0575</t>
  </si>
  <si>
    <t>TOYO</t>
  </si>
  <si>
    <t>JEAN SHIRT</t>
  </si>
  <si>
    <t>OFFICE</t>
  </si>
  <si>
    <t>BOYFRIEND</t>
  </si>
  <si>
    <t>SAMON</t>
  </si>
  <si>
    <t>STRIPE</t>
  </si>
  <si>
    <t>JEAN SKIRTS</t>
  </si>
  <si>
    <t>NONG (LONG</t>
  </si>
  <si>
    <t>MEDIUM</t>
  </si>
  <si>
    <t>NIGHT SPEED PEDAL</t>
  </si>
  <si>
    <t>PEDLE BIG SIZE</t>
  </si>
  <si>
    <t>SHORT SLEAVE</t>
  </si>
  <si>
    <t>29th ROUTE VIA BANGKOK  AS AT 3RD-7th.MARCH.2014(12,000$)</t>
  </si>
  <si>
    <t>29th ROUTE  AS AT 9th-16th.MARCH.2014(31000+15000+14700$=60700$)</t>
  </si>
  <si>
    <t>7.4.2014</t>
  </si>
  <si>
    <t>AKI 8105</t>
  </si>
  <si>
    <t>"8060</t>
  </si>
  <si>
    <t>"8908</t>
  </si>
  <si>
    <t>MTCH SUNBIRD</t>
  </si>
  <si>
    <t>SUFI 7261</t>
  </si>
  <si>
    <t>"7261B</t>
  </si>
  <si>
    <t>"CLASIC BLACK</t>
  </si>
  <si>
    <t>ULONG PEP</t>
  </si>
  <si>
    <t>FANNY LASTIC</t>
  </si>
  <si>
    <t>"NO LASTIC</t>
  </si>
  <si>
    <t>"2BTN</t>
  </si>
  <si>
    <t>ULONG(SHIFON</t>
  </si>
  <si>
    <t>"156</t>
  </si>
  <si>
    <t>"681</t>
  </si>
  <si>
    <t>"128</t>
  </si>
  <si>
    <t>"2017</t>
  </si>
  <si>
    <t>"617</t>
  </si>
  <si>
    <t>"9817</t>
  </si>
  <si>
    <t>JN SHIRT ULO</t>
  </si>
  <si>
    <t>CHECKED ULO</t>
  </si>
  <si>
    <t>DRAGON DAMAGE</t>
  </si>
  <si>
    <t>TONGTONG</t>
  </si>
  <si>
    <t>MEITACH</t>
  </si>
  <si>
    <t>LIWA YCM</t>
  </si>
  <si>
    <t>SHIFON LIWA</t>
  </si>
  <si>
    <t>LIWA PEP</t>
  </si>
  <si>
    <t>SLEAVE LIWA</t>
  </si>
  <si>
    <t>"PLAIN</t>
  </si>
  <si>
    <t>WING VOLVET</t>
  </si>
  <si>
    <t>"LEOPARD</t>
  </si>
  <si>
    <t>"COLOURD</t>
  </si>
  <si>
    <t>"2280</t>
  </si>
  <si>
    <t>"5169</t>
  </si>
  <si>
    <t>"6059</t>
  </si>
  <si>
    <t>"6060</t>
  </si>
  <si>
    <t>"6036</t>
  </si>
  <si>
    <t>"6020</t>
  </si>
  <si>
    <t>FORMER JANIE 503</t>
  </si>
  <si>
    <t>LIWA STOCK</t>
  </si>
  <si>
    <t>LITIE MAMA</t>
  </si>
  <si>
    <t>MTCH DAMAGE</t>
  </si>
  <si>
    <t>DRAGON CB</t>
  </si>
  <si>
    <t>"A216</t>
  </si>
  <si>
    <t>"A217</t>
  </si>
  <si>
    <t>"A239</t>
  </si>
  <si>
    <t>CTTN</t>
  </si>
  <si>
    <t xml:space="preserve">TROUSERS </t>
  </si>
  <si>
    <t>7.5.2014</t>
  </si>
  <si>
    <t>LINDAH 151</t>
  </si>
  <si>
    <t>"7301</t>
  </si>
  <si>
    <t>"8610</t>
  </si>
  <si>
    <t>"8611</t>
  </si>
  <si>
    <t>"8612</t>
  </si>
  <si>
    <t>"8613</t>
  </si>
  <si>
    <t>"8607</t>
  </si>
  <si>
    <t>"8602</t>
  </si>
  <si>
    <t>"961</t>
  </si>
  <si>
    <t>"962</t>
  </si>
  <si>
    <t>"8606</t>
  </si>
  <si>
    <t>AKI A991</t>
  </si>
  <si>
    <t>AZ14</t>
  </si>
  <si>
    <t>A180</t>
  </si>
  <si>
    <t>A239</t>
  </si>
  <si>
    <t>A241</t>
  </si>
  <si>
    <t>"8909</t>
  </si>
  <si>
    <t>"8910</t>
  </si>
  <si>
    <t>LITIEN MAMA</t>
  </si>
  <si>
    <t>"BLACK BIG SIZE</t>
  </si>
  <si>
    <t>" BLUE last buy</t>
  </si>
  <si>
    <t>5,570,000/=</t>
  </si>
  <si>
    <t>night speed small size</t>
  </si>
  <si>
    <t>"big size</t>
  </si>
  <si>
    <t>"pedal</t>
  </si>
  <si>
    <t>NOK SHOP dot big</t>
  </si>
  <si>
    <t>BUDDY CHECKED</t>
  </si>
  <si>
    <t>"long</t>
  </si>
  <si>
    <t>"short</t>
  </si>
  <si>
    <t>ctn skirt</t>
  </si>
  <si>
    <t>long</t>
  </si>
  <si>
    <t>Jomkel checked</t>
  </si>
  <si>
    <t>"ORDER</t>
  </si>
  <si>
    <t>"long sleave</t>
  </si>
  <si>
    <t>" Jomkel chkd short sleave</t>
  </si>
  <si>
    <t>SKIRTS net shifo</t>
  </si>
  <si>
    <t>31st ROUTE VIA BANGKOK  AS AT 20th-25th.May.2014(17,000$)</t>
  </si>
  <si>
    <t>" PEDAL</t>
  </si>
  <si>
    <t>bua sp SIMPLE STYLE</t>
  </si>
  <si>
    <t>bua sp simple style dot</t>
  </si>
  <si>
    <t>"hand carry</t>
  </si>
  <si>
    <t>Jane shop big long</t>
  </si>
  <si>
    <t>"big shop</t>
  </si>
  <si>
    <t>sufi black classic</t>
  </si>
  <si>
    <t>"blue small</t>
  </si>
  <si>
    <t>"big leg</t>
  </si>
  <si>
    <t>Jegging</t>
  </si>
  <si>
    <t>wing</t>
  </si>
  <si>
    <t>"big leg black</t>
  </si>
  <si>
    <t>mtch cb damage</t>
  </si>
  <si>
    <t>cnn yoyo damege</t>
  </si>
  <si>
    <t>28th ROUTE  AS AT 8th-16th.jan.2014(34,400$)</t>
  </si>
  <si>
    <t>litien 3btn</t>
  </si>
  <si>
    <t>"blue nevy</t>
  </si>
  <si>
    <t>mtch Lugemwa colours</t>
  </si>
  <si>
    <t>" Jodle</t>
  </si>
  <si>
    <t>"884</t>
  </si>
  <si>
    <t>"666</t>
  </si>
  <si>
    <t>"168</t>
  </si>
  <si>
    <t>mtch micheal corse</t>
  </si>
  <si>
    <t>jacket</t>
  </si>
  <si>
    <t>ulong</t>
  </si>
  <si>
    <t>"black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</si>
  <si>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</si>
  <si>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jbk 372000/ and 125$</t>
  </si>
  <si>
    <t>jbk 1,350,000/</t>
  </si>
  <si>
    <t>30th ROUTE  AS AT 7th-17th.APRIL.2014(31,000+16,000$=47,000$)</t>
  </si>
  <si>
    <t>big size black</t>
  </si>
  <si>
    <t>"blue plain</t>
  </si>
  <si>
    <t>"key boy</t>
  </si>
  <si>
    <t>AKI 99-1</t>
  </si>
  <si>
    <t>A275</t>
  </si>
  <si>
    <t>31ST ROUTE  AS AT 20th-30th.MAY.2014(31000+16000$=58,000$)</t>
  </si>
  <si>
    <t>"2014</t>
  </si>
  <si>
    <t>jegging</t>
  </si>
  <si>
    <t>turquish 14301</t>
  </si>
  <si>
    <t>"14333</t>
  </si>
  <si>
    <t>Lindah 964</t>
  </si>
  <si>
    <t>"blue</t>
  </si>
  <si>
    <t>"9641</t>
  </si>
  <si>
    <t>"blue big</t>
  </si>
  <si>
    <t>"964</t>
  </si>
  <si>
    <t>Jean shirt</t>
  </si>
  <si>
    <t>maama</t>
  </si>
  <si>
    <t>Jn flower</t>
  </si>
  <si>
    <t>miss jean 773</t>
  </si>
  <si>
    <t>"2013</t>
  </si>
  <si>
    <t>"301</t>
  </si>
  <si>
    <t>"1972</t>
  </si>
  <si>
    <t>"cton</t>
  </si>
  <si>
    <t>leather</t>
  </si>
  <si>
    <t>"leopard</t>
  </si>
  <si>
    <t>Ms Fitting 8613</t>
  </si>
  <si>
    <t>"8632</t>
  </si>
  <si>
    <t>litien cb</t>
  </si>
  <si>
    <t>"cb</t>
  </si>
  <si>
    <t>meitach cb</t>
  </si>
  <si>
    <t>sunbird</t>
  </si>
  <si>
    <t>Tops</t>
  </si>
  <si>
    <t xml:space="preserve">ulong judie </t>
  </si>
  <si>
    <t>"2036</t>
  </si>
  <si>
    <t>"8031</t>
  </si>
  <si>
    <t>"819</t>
  </si>
  <si>
    <t>CTTN stephanie</t>
  </si>
  <si>
    <t xml:space="preserve"> </t>
  </si>
  <si>
    <t>ulong gray damage</t>
  </si>
  <si>
    <t>Meitach cb big size</t>
  </si>
  <si>
    <t>ulong blue big size blue</t>
  </si>
  <si>
    <t>"226</t>
  </si>
  <si>
    <t>litien ymi cb</t>
  </si>
  <si>
    <t>"gray</t>
  </si>
  <si>
    <t>litien blue cb</t>
  </si>
  <si>
    <t>32nd ROUTE  AS AT 23rd-31.july.2014(23,000+9200$)</t>
  </si>
  <si>
    <t>33rd ROUTE  AS AT 19th-29.aug.2014(23,000+9200$)</t>
  </si>
  <si>
    <t>21.8.2014</t>
  </si>
  <si>
    <t xml:space="preserve">tops </t>
  </si>
  <si>
    <t>ycm k1176</t>
  </si>
  <si>
    <t>Ulong damage</t>
  </si>
  <si>
    <t>sufi blue</t>
  </si>
  <si>
    <t>"black sm</t>
  </si>
  <si>
    <t>jn shirt</t>
  </si>
  <si>
    <t>maama sleave</t>
  </si>
  <si>
    <t>meitach flayer</t>
  </si>
  <si>
    <t>cnn yoyo</t>
  </si>
  <si>
    <t>litien ymi</t>
  </si>
  <si>
    <t>sunbird jns</t>
  </si>
  <si>
    <t>maama litien</t>
  </si>
  <si>
    <t>lit catchie</t>
  </si>
  <si>
    <t>litien 3btn jn</t>
  </si>
  <si>
    <t>meitach joint</t>
  </si>
  <si>
    <t>litien damage</t>
  </si>
  <si>
    <t>turquish litien</t>
  </si>
  <si>
    <t>meitach sisy 2btn blue small</t>
  </si>
  <si>
    <t>Staphanie tw 138</t>
  </si>
  <si>
    <t>"tw1502</t>
  </si>
  <si>
    <t>"m 0052</t>
  </si>
  <si>
    <t>"tw 049</t>
  </si>
  <si>
    <t>kellen 6582</t>
  </si>
  <si>
    <t>"6569</t>
  </si>
  <si>
    <t>"6550</t>
  </si>
  <si>
    <t>"6565</t>
  </si>
  <si>
    <t>"6585</t>
  </si>
  <si>
    <t>mtch fang stock</t>
  </si>
  <si>
    <t>sufi black small</t>
  </si>
  <si>
    <t>"3706</t>
  </si>
  <si>
    <t>"3702</t>
  </si>
  <si>
    <t>yoyo 7001</t>
  </si>
  <si>
    <t>"7002</t>
  </si>
  <si>
    <t>"7003</t>
  </si>
  <si>
    <t>"7004</t>
  </si>
  <si>
    <t>"7005</t>
  </si>
  <si>
    <t>mtch cici 2btn</t>
  </si>
  <si>
    <t>"black small</t>
  </si>
  <si>
    <t xml:space="preserve">2piece </t>
  </si>
  <si>
    <t>Joy cnn mkt</t>
  </si>
  <si>
    <t>litien mama</t>
  </si>
  <si>
    <t>lit cb joint</t>
  </si>
  <si>
    <t>lit sun bird jns</t>
  </si>
  <si>
    <t>dragon mkt cb</t>
  </si>
  <si>
    <t>"ymi jns</t>
  </si>
  <si>
    <t>" 3btn tie &amp; die</t>
  </si>
  <si>
    <t>Patras</t>
  </si>
  <si>
    <t>litien mkt</t>
  </si>
  <si>
    <t>linda cnn mkt</t>
  </si>
  <si>
    <t>mtch mkt cb</t>
  </si>
  <si>
    <t>"order</t>
  </si>
  <si>
    <t>dragon</t>
  </si>
  <si>
    <t>lit jn witt nilon</t>
  </si>
  <si>
    <t>34TH ROUTE  AS AT 28th-8.OCT.2014(19500+8000+4000tony+20000$lyon=51,500$)</t>
  </si>
  <si>
    <t>drogon mkt whit</t>
  </si>
  <si>
    <t>"tie and die</t>
  </si>
  <si>
    <t>4th ROUTE VIA BANGKOK  AS AT 20th-25th.May.2014(17,000$)</t>
  </si>
  <si>
    <t>11.10.2014</t>
  </si>
  <si>
    <t>jn skirts</t>
  </si>
  <si>
    <t>sarmon</t>
  </si>
  <si>
    <t>sleave with hood</t>
  </si>
  <si>
    <t>"dot big</t>
  </si>
  <si>
    <t>"dot string</t>
  </si>
  <si>
    <t>"checked string</t>
  </si>
  <si>
    <t>"checked dress</t>
  </si>
  <si>
    <t>"same dress</t>
  </si>
  <si>
    <t>Jane shop big string</t>
  </si>
  <si>
    <t>Net brukerly</t>
  </si>
  <si>
    <t>Dress</t>
  </si>
  <si>
    <t>tops</t>
  </si>
  <si>
    <t>sleaveless</t>
  </si>
  <si>
    <t>boyfriend</t>
  </si>
  <si>
    <t>t.shirt</t>
  </si>
  <si>
    <t>lek</t>
  </si>
  <si>
    <t>"sleave</t>
  </si>
  <si>
    <t xml:space="preserve">digit dress </t>
  </si>
  <si>
    <t>"1031 highwest damage</t>
  </si>
  <si>
    <t>cnn stephanie plain blue</t>
  </si>
  <si>
    <t>"1016 joint</t>
  </si>
  <si>
    <t>"1030 tie and die</t>
  </si>
  <si>
    <t>"2009  damage</t>
  </si>
  <si>
    <t>"t-shirt Lec</t>
  </si>
  <si>
    <t>1,850,000/=t shirt</t>
  </si>
  <si>
    <t>1200,000/=t shirt</t>
  </si>
  <si>
    <t>2,140,000/= tax</t>
  </si>
  <si>
    <t>430,000/=shpn</t>
  </si>
  <si>
    <t>29.11.2014</t>
  </si>
  <si>
    <t>Sufi 970</t>
  </si>
  <si>
    <t>Cnn Yoyo</t>
  </si>
  <si>
    <t>"8802</t>
  </si>
  <si>
    <t>"8803-1</t>
  </si>
  <si>
    <t>"8804-2</t>
  </si>
  <si>
    <t>"8806-</t>
  </si>
  <si>
    <t>"2282</t>
  </si>
  <si>
    <t>Cnn Mkt Ritah 2465</t>
  </si>
  <si>
    <t>"354</t>
  </si>
  <si>
    <t>kellen 6507</t>
  </si>
  <si>
    <t>Cnn lindah 970</t>
  </si>
  <si>
    <t>"967</t>
  </si>
  <si>
    <t>"968</t>
  </si>
  <si>
    <t>Dragon cb Gray</t>
  </si>
  <si>
    <t>dragon mkt sky ymi</t>
  </si>
  <si>
    <t>Dragon suspender Black</t>
  </si>
  <si>
    <t>Dragon ymi</t>
  </si>
  <si>
    <t>Sunbird Mimi</t>
  </si>
  <si>
    <t>Litien Ymi</t>
  </si>
  <si>
    <t>"white</t>
  </si>
  <si>
    <t>Black</t>
  </si>
  <si>
    <t>cb damage Dragon</t>
  </si>
  <si>
    <t>Cisy mtch</t>
  </si>
  <si>
    <t>"small size</t>
  </si>
  <si>
    <t>staphanie J-13</t>
  </si>
  <si>
    <t>"tw-049-1</t>
  </si>
  <si>
    <t>"tw-049-2</t>
  </si>
  <si>
    <t>"tw-150</t>
  </si>
  <si>
    <t>"tw-151 sky b</t>
  </si>
  <si>
    <t>"tw-152</t>
  </si>
  <si>
    <t>"tw-153</t>
  </si>
  <si>
    <t>Ulongo sky</t>
  </si>
  <si>
    <t>Dragon highwest</t>
  </si>
  <si>
    <t>"dragon Gray</t>
  </si>
  <si>
    <t>Litien black</t>
  </si>
  <si>
    <t>Dragon damage</t>
  </si>
  <si>
    <t>stock</t>
  </si>
  <si>
    <t>800$</t>
  </si>
  <si>
    <t>Juice mashine</t>
  </si>
  <si>
    <t>1,000$</t>
  </si>
  <si>
    <t>Debt Judie</t>
  </si>
  <si>
    <t>1,700$</t>
  </si>
  <si>
    <t>Tiles</t>
  </si>
  <si>
    <t>34TH ROUTE  AS AT 30th-10.12.2014(23500+25000+12000tony=51,500$)</t>
  </si>
  <si>
    <t xml:space="preserve">Tops </t>
  </si>
  <si>
    <t>handcarry</t>
  </si>
  <si>
    <t>Debt lindah</t>
  </si>
  <si>
    <t>1000$</t>
  </si>
  <si>
    <t>Phones</t>
  </si>
  <si>
    <t>400$</t>
  </si>
  <si>
    <t>"015</t>
  </si>
  <si>
    <t>"8001</t>
  </si>
  <si>
    <t>kellen</t>
  </si>
  <si>
    <t>sicy mtch</t>
  </si>
  <si>
    <t>cnn staphanie</t>
  </si>
  <si>
    <t>"1018</t>
  </si>
  <si>
    <t>"201420</t>
  </si>
  <si>
    <t>TW-154-1</t>
  </si>
  <si>
    <t>TW-154-2</t>
  </si>
  <si>
    <t>J-08</t>
  </si>
  <si>
    <t>2pc</t>
  </si>
  <si>
    <t>dragon mkt chb</t>
  </si>
  <si>
    <t>"sky and gray</t>
  </si>
  <si>
    <t>litien cb gray and sky</t>
  </si>
  <si>
    <t>mtch tie and die</t>
  </si>
  <si>
    <t>ctn</t>
  </si>
  <si>
    <t>dragon tie ad die</t>
  </si>
  <si>
    <t>JN JACKET</t>
  </si>
  <si>
    <t>Ulong Judie</t>
  </si>
  <si>
    <t>"shifon</t>
  </si>
  <si>
    <t>Ulong crop top</t>
  </si>
  <si>
    <t>Ulong digit</t>
  </si>
  <si>
    <t>Ulong sleave digit</t>
  </si>
  <si>
    <t>"crop jacket</t>
  </si>
  <si>
    <t>Stock</t>
  </si>
  <si>
    <t>Emma' Joy</t>
  </si>
  <si>
    <t>"sky highwest</t>
  </si>
  <si>
    <t>"low west</t>
  </si>
  <si>
    <t>Kellen stock</t>
  </si>
  <si>
    <t>25.1.2015</t>
  </si>
  <si>
    <t>Gass cooker</t>
  </si>
  <si>
    <t>450$</t>
  </si>
  <si>
    <t>500$</t>
  </si>
  <si>
    <t>Room and food</t>
  </si>
  <si>
    <t>dragon Catch colour</t>
  </si>
  <si>
    <t>"sky and Gray</t>
  </si>
  <si>
    <t>35TH ROUTE  AS AT 25th-6.FEB.2015(30.000$,   13.300$,14.000$)</t>
  </si>
  <si>
    <t>ulong preg and black,gray</t>
  </si>
  <si>
    <t>Dragon mkt damage</t>
  </si>
  <si>
    <t>gipsum</t>
  </si>
  <si>
    <t>200$</t>
  </si>
  <si>
    <t>PKTS</t>
  </si>
  <si>
    <t>77PKTS</t>
  </si>
  <si>
    <t>81PKTS</t>
  </si>
  <si>
    <t>13.4.2015</t>
  </si>
  <si>
    <t>lind cnn 964-1</t>
  </si>
  <si>
    <t>staphanie cnn</t>
  </si>
  <si>
    <t>"skyblue</t>
  </si>
  <si>
    <t>"Sicy mtch</t>
  </si>
  <si>
    <t>Lewa small size</t>
  </si>
  <si>
    <t>cnn lilly</t>
  </si>
  <si>
    <t>kellen 6569</t>
  </si>
  <si>
    <t>"6661</t>
  </si>
  <si>
    <t>"6582</t>
  </si>
  <si>
    <t>JN Jacket</t>
  </si>
  <si>
    <t>dragon mkt</t>
  </si>
  <si>
    <t>Pedal</t>
  </si>
  <si>
    <t>litien mkt ymi</t>
  </si>
  <si>
    <t>sufie small blue</t>
  </si>
  <si>
    <t>litien gray</t>
  </si>
  <si>
    <t>jn dress</t>
  </si>
  <si>
    <t>litien blue new</t>
  </si>
  <si>
    <t>"same</t>
  </si>
  <si>
    <t>dragon mkt{mix jns}</t>
  </si>
  <si>
    <t>litien black highwest</t>
  </si>
  <si>
    <t>dragon army damage</t>
  </si>
  <si>
    <t>highwest</t>
  </si>
  <si>
    <t>Ulong jude</t>
  </si>
  <si>
    <t>Ulong sleaves</t>
  </si>
  <si>
    <t>"crop top/ net</t>
  </si>
  <si>
    <t>Dragon lastic blue</t>
  </si>
  <si>
    <t>"Darkblue and black</t>
  </si>
  <si>
    <t>"blue with pocket design</t>
  </si>
  <si>
    <t>jacket sleave</t>
  </si>
  <si>
    <t>dragon skyblue super skinny</t>
  </si>
  <si>
    <t>"highwest black</t>
  </si>
  <si>
    <t>"highwest zip behind</t>
  </si>
  <si>
    <t>staphanie cnn j-08</t>
  </si>
  <si>
    <t>"J-13</t>
  </si>
  <si>
    <t>"Tw-344</t>
  </si>
  <si>
    <t>"Tw-501</t>
  </si>
  <si>
    <t>cnn lilly more</t>
  </si>
  <si>
    <t>Jn skirt</t>
  </si>
  <si>
    <t>litien up floor Black and blue super skinny</t>
  </si>
  <si>
    <t>Ulong sleaves with pic</t>
  </si>
  <si>
    <t>"with flowers</t>
  </si>
  <si>
    <t>ulong mult colour</t>
  </si>
  <si>
    <t>dragon mkt highwest cut</t>
  </si>
  <si>
    <t>dragon blue</t>
  </si>
  <si>
    <t>"jackets</t>
  </si>
  <si>
    <t>36TH ROUTE  AS AT 18th-28.april.2015(25000$+18400$)</t>
  </si>
  <si>
    <t>drogon more sky with cut</t>
  </si>
  <si>
    <t>kamala cont</t>
  </si>
  <si>
    <t>sleave with edge 4 colour</t>
  </si>
  <si>
    <t>twp piece sleave</t>
  </si>
  <si>
    <t>"sleave with uk flag</t>
  </si>
  <si>
    <t>sleave hot colours</t>
  </si>
  <si>
    <t>"round neck shirt</t>
  </si>
  <si>
    <t>5th ROUTE VIA BANGKOK  AS AT 5th-7th.May.2015($)</t>
  </si>
  <si>
    <t>crop top sleave</t>
  </si>
  <si>
    <t>sleave tie and die</t>
  </si>
  <si>
    <t>crop no' and sleve</t>
  </si>
  <si>
    <t>sleave open back</t>
  </si>
  <si>
    <t>sleave</t>
  </si>
  <si>
    <t>big size top</t>
  </si>
  <si>
    <t>kellen 6661</t>
  </si>
  <si>
    <t>sande cnn damage</t>
  </si>
  <si>
    <t>drago mkt</t>
  </si>
  <si>
    <t>dragon more</t>
  </si>
  <si>
    <t>dragon ac</t>
  </si>
  <si>
    <t>"catchie</t>
  </si>
  <si>
    <t>"black cut highwst</t>
  </si>
  <si>
    <t>ulong mkt</t>
  </si>
  <si>
    <t>"sky</t>
  </si>
  <si>
    <t>dragon sky btn</t>
  </si>
  <si>
    <t>"ovarall</t>
  </si>
  <si>
    <t>patras 2pc</t>
  </si>
  <si>
    <t>lindah small</t>
  </si>
  <si>
    <t>kellen 6018</t>
  </si>
  <si>
    <t>"6013</t>
  </si>
  <si>
    <t>"6703</t>
  </si>
  <si>
    <t>10.6.2015</t>
  </si>
  <si>
    <t>ulong mkt 3desighn</t>
  </si>
  <si>
    <t>litien blue bitege</t>
  </si>
  <si>
    <t>litien damage black</t>
  </si>
  <si>
    <t>lit damage</t>
  </si>
  <si>
    <t>jn top</t>
  </si>
  <si>
    <t>Dragon tie and die cut</t>
  </si>
  <si>
    <t>10.5.2015</t>
  </si>
  <si>
    <t>37TH ROUTE  AS AT 10th-19.june.2015(36000$)</t>
  </si>
  <si>
    <t>surnbird moon girl</t>
  </si>
  <si>
    <t>"jn jackets</t>
  </si>
  <si>
    <t>dragon last blue</t>
  </si>
  <si>
    <t>litien mkt btn</t>
  </si>
  <si>
    <t>litien mkt highwest</t>
  </si>
  <si>
    <t>cnn jessie a588</t>
  </si>
  <si>
    <t>"sky blue</t>
  </si>
  <si>
    <t>"a957</t>
  </si>
  <si>
    <t>"A587</t>
  </si>
  <si>
    <t>"A811</t>
  </si>
  <si>
    <t>cnn becky high tie and die</t>
  </si>
  <si>
    <t>cnn mkt sande</t>
  </si>
  <si>
    <t>kellen 6552</t>
  </si>
  <si>
    <t>"6660</t>
  </si>
  <si>
    <t>"6041</t>
  </si>
  <si>
    <t>cnn lewa</t>
  </si>
  <si>
    <t>"979</t>
  </si>
  <si>
    <t>"979 1</t>
  </si>
  <si>
    <t>jn skirt</t>
  </si>
  <si>
    <t>blue</t>
  </si>
  <si>
    <t>black</t>
  </si>
  <si>
    <t>highwet lilly</t>
  </si>
  <si>
    <t>staphanie</t>
  </si>
  <si>
    <t>litien mkt tie and die damage</t>
  </si>
  <si>
    <t>dragon mkt ymi</t>
  </si>
  <si>
    <t xml:space="preserve">Dragon YMI Black </t>
  </si>
  <si>
    <t>dragon market ac</t>
  </si>
  <si>
    <t>jn jacket</t>
  </si>
  <si>
    <t>ac dragon</t>
  </si>
  <si>
    <t>litien mkt suspendar patra</t>
  </si>
  <si>
    <t>cnn mkt kelle 6552</t>
  </si>
  <si>
    <t>"6660-1</t>
  </si>
  <si>
    <t>cnn mkt Lewa</t>
  </si>
  <si>
    <t>big blue</t>
  </si>
  <si>
    <t>38TH ROUTE  AS AT 1st-10th.july.2015(3$)</t>
  </si>
  <si>
    <t>17.9.2015</t>
  </si>
  <si>
    <t>cnn mkt lewa</t>
  </si>
  <si>
    <t>cnn kellen</t>
  </si>
  <si>
    <t>"6091</t>
  </si>
  <si>
    <t>"6092</t>
  </si>
  <si>
    <t>cnn Joy</t>
  </si>
  <si>
    <t>"1502 two zip</t>
  </si>
  <si>
    <t>"55</t>
  </si>
  <si>
    <t>"1013</t>
  </si>
  <si>
    <t>"1010</t>
  </si>
  <si>
    <t>cnn becky high blight colours</t>
  </si>
  <si>
    <t>cnn near staphie 1313</t>
  </si>
  <si>
    <t>"1515</t>
  </si>
  <si>
    <t>"A561-3</t>
  </si>
  <si>
    <t>"A957-1</t>
  </si>
  <si>
    <t>"A957</t>
  </si>
  <si>
    <t>A587</t>
  </si>
  <si>
    <t>"A983</t>
  </si>
  <si>
    <t>"A981</t>
  </si>
  <si>
    <t>"A968</t>
  </si>
  <si>
    <t>Cnn Jesie A870-1</t>
  </si>
  <si>
    <t>Cnn lindah</t>
  </si>
  <si>
    <t>"black big</t>
  </si>
  <si>
    <t>"781-2</t>
  </si>
  <si>
    <t>"781-4</t>
  </si>
  <si>
    <t>"9811</t>
  </si>
  <si>
    <t>dragon balmain</t>
  </si>
  <si>
    <t>"stock</t>
  </si>
  <si>
    <t>"lastick</t>
  </si>
  <si>
    <t>tie and die black</t>
  </si>
  <si>
    <t>Cnn lindah789</t>
  </si>
  <si>
    <t>"789-2</t>
  </si>
  <si>
    <t>"787</t>
  </si>
  <si>
    <t>"9310</t>
  </si>
  <si>
    <t/>
  </si>
  <si>
    <t>"7311</t>
  </si>
  <si>
    <t>drogn mkt grey and two colour</t>
  </si>
  <si>
    <t>dragon AC black</t>
  </si>
  <si>
    <t>Kids jns</t>
  </si>
  <si>
    <t>jns highwest</t>
  </si>
  <si>
    <t>cnn mkt staphanie 285</t>
  </si>
  <si>
    <t>"2950</t>
  </si>
  <si>
    <t>"501</t>
  </si>
  <si>
    <t>"A1035</t>
  </si>
  <si>
    <t>39TH ROUTE  AS AT 16-28th.sept.2015(26000$,13920$,6400)</t>
  </si>
  <si>
    <t>China accdn</t>
  </si>
  <si>
    <t>tie and die(litien)</t>
  </si>
  <si>
    <t>20.10.2015</t>
  </si>
  <si>
    <t>"6655</t>
  </si>
  <si>
    <t>cnn op sande sky blue</t>
  </si>
  <si>
    <t>cnn becky highwest 2piece</t>
  </si>
  <si>
    <t>"6043</t>
  </si>
  <si>
    <t>"6047</t>
  </si>
  <si>
    <t>"6050</t>
  </si>
  <si>
    <t>"6037</t>
  </si>
  <si>
    <t>"6053</t>
  </si>
  <si>
    <t>"6019</t>
  </si>
  <si>
    <t>"6156</t>
  </si>
  <si>
    <t>"6172</t>
  </si>
  <si>
    <t>cnn jesie A1126</t>
  </si>
  <si>
    <t>"9855</t>
  </si>
  <si>
    <t>"2508</t>
  </si>
  <si>
    <t>"tw-151</t>
  </si>
  <si>
    <t>"tw-390</t>
  </si>
  <si>
    <t>Two piece jns</t>
  </si>
  <si>
    <t>ulong 1st f side cut</t>
  </si>
  <si>
    <t>"adidas</t>
  </si>
  <si>
    <t>dress</t>
  </si>
  <si>
    <t>top crop</t>
  </si>
  <si>
    <t>" digit</t>
  </si>
  <si>
    <t>"zip aside</t>
  </si>
  <si>
    <t>"zip highlow</t>
  </si>
  <si>
    <t>"lakers</t>
  </si>
  <si>
    <t>jn shirt long</t>
  </si>
  <si>
    <t>meitach fang</t>
  </si>
  <si>
    <t>"001</t>
  </si>
  <si>
    <t>"002</t>
  </si>
  <si>
    <t>"002-1</t>
  </si>
  <si>
    <t>"003</t>
  </si>
  <si>
    <t>"003-1</t>
  </si>
  <si>
    <t>meitach cicy</t>
  </si>
  <si>
    <t>"big size clasic</t>
  </si>
  <si>
    <t>meitach black damage</t>
  </si>
  <si>
    <t>"ymi</t>
  </si>
  <si>
    <t>"surnbird mimi</t>
  </si>
  <si>
    <t>micmike</t>
  </si>
  <si>
    <t>JN Dress</t>
  </si>
  <si>
    <t>bagie jn</t>
  </si>
  <si>
    <t>"sleave chanel</t>
  </si>
  <si>
    <t>Jn Top</t>
  </si>
  <si>
    <t>Ulong Chambu</t>
  </si>
  <si>
    <t>Dragon jn shirt sleave</t>
  </si>
  <si>
    <t>40TH ROUTE  AS AT 20-29th.0ct.2015(26000$+12500$+16,000$)</t>
  </si>
  <si>
    <t>1350yn</t>
  </si>
  <si>
    <t>skyworth tv 32 inch</t>
  </si>
  <si>
    <t>Wactch Boutique</t>
  </si>
  <si>
    <t>mick mouse big</t>
  </si>
  <si>
    <t>hand carry</t>
  </si>
  <si>
    <t>mick mouse</t>
  </si>
  <si>
    <t>jn sleave</t>
  </si>
  <si>
    <t>shifon behind</t>
  </si>
  <si>
    <t>shifon zip</t>
  </si>
  <si>
    <t>meitach cisy</t>
  </si>
  <si>
    <t>cnn joy near sufi</t>
  </si>
  <si>
    <t>cnn near lindah sweater pant</t>
  </si>
  <si>
    <t>ulong nig sets colour</t>
  </si>
  <si>
    <t>Repeat order</t>
  </si>
  <si>
    <t>jn trauser</t>
  </si>
  <si>
    <t>Lindah 7310(cut and Plain)</t>
  </si>
  <si>
    <t>"787 tie and die dark blue</t>
  </si>
  <si>
    <t>iyeeewgwzx./,xsm</t>
  </si>
  <si>
    <t>q</t>
  </si>
  <si>
    <t>±</t>
  </si>
  <si>
    <t>?&lt;W#?±±±±±±±#</t>
  </si>
  <si>
    <t>W!L±;.w§aq.z?/;</t>
  </si>
  <si>
    <t xml:space="preserve">      </t>
  </si>
  <si>
    <t>Sweater pant</t>
  </si>
  <si>
    <t>15.12.2015</t>
  </si>
  <si>
    <t>lewa 0</t>
  </si>
  <si>
    <t>"sky flash</t>
  </si>
  <si>
    <t>Cnn jesie a1121</t>
  </si>
  <si>
    <t>"A1007-1</t>
  </si>
  <si>
    <t>"A1059</t>
  </si>
  <si>
    <t>"A922</t>
  </si>
  <si>
    <t>"A1565</t>
  </si>
  <si>
    <t>Sande 6050</t>
  </si>
  <si>
    <t>"6039</t>
  </si>
  <si>
    <t>"sky bton plain</t>
  </si>
  <si>
    <t>"sky cut</t>
  </si>
  <si>
    <t>"sky string</t>
  </si>
  <si>
    <t>"tie and die blue btons</t>
  </si>
  <si>
    <t>"918</t>
  </si>
  <si>
    <t>opp sande Sky 918</t>
  </si>
  <si>
    <t>cnn Staphanietw-390</t>
  </si>
  <si>
    <t>"tw-280</t>
  </si>
  <si>
    <t>"tw-287</t>
  </si>
  <si>
    <t>"J-02 sky blue</t>
  </si>
  <si>
    <t>" darkblue</t>
  </si>
  <si>
    <t>cnn mkt Lindah 6901</t>
  </si>
  <si>
    <t>"6902</t>
  </si>
  <si>
    <t>"6903</t>
  </si>
  <si>
    <t>"6904</t>
  </si>
  <si>
    <t>"964-1</t>
  </si>
  <si>
    <t>Overal</t>
  </si>
  <si>
    <t>Sweater Pant</t>
  </si>
  <si>
    <t>two piece</t>
  </si>
  <si>
    <t>Joy 8855</t>
  </si>
  <si>
    <t>"1831</t>
  </si>
  <si>
    <t>"3910</t>
  </si>
  <si>
    <t>cnn mkt kelen 6552</t>
  </si>
  <si>
    <t>"6124</t>
  </si>
  <si>
    <t>ulong apple dress</t>
  </si>
  <si>
    <t>ulond mama Yes</t>
  </si>
  <si>
    <t>"mickie</t>
  </si>
  <si>
    <t>"addidas string</t>
  </si>
  <si>
    <t>"one colour black</t>
  </si>
  <si>
    <t>"long adidas</t>
  </si>
  <si>
    <t>"coco top</t>
  </si>
  <si>
    <t>ulong mkt mickie shifon</t>
  </si>
  <si>
    <t>"net colours</t>
  </si>
  <si>
    <t>"net again sleave</t>
  </si>
  <si>
    <t>Dragon mkt</t>
  </si>
  <si>
    <t>Dragon jn sleave</t>
  </si>
  <si>
    <t>Comp</t>
  </si>
  <si>
    <t>cnn beckie</t>
  </si>
  <si>
    <t>Mimi surnbird</t>
  </si>
  <si>
    <t>"ctn</t>
  </si>
  <si>
    <t>40pcs</t>
  </si>
  <si>
    <t>45yn</t>
  </si>
  <si>
    <t>65yn</t>
  </si>
  <si>
    <t>30pcs</t>
  </si>
  <si>
    <t>40yn</t>
  </si>
  <si>
    <t>trausers jns</t>
  </si>
  <si>
    <t>trausers cackie</t>
  </si>
  <si>
    <t>Dragon mkt Black mickie</t>
  </si>
  <si>
    <t>Dragon ymi Ac</t>
  </si>
  <si>
    <t>Jn Shirt</t>
  </si>
  <si>
    <t>41st ROUTE  AS AT 13-22nd.dec.2015(25000$+17500$+16,000$)</t>
  </si>
  <si>
    <t>60pcs</t>
  </si>
  <si>
    <t>Lyon</t>
  </si>
  <si>
    <t>4000$</t>
  </si>
  <si>
    <t>watch</t>
  </si>
  <si>
    <t>boutique</t>
  </si>
  <si>
    <t>Phone and Tab</t>
  </si>
  <si>
    <t>litien lastic sky blue</t>
  </si>
  <si>
    <t>Ritah 5812</t>
  </si>
  <si>
    <t>"5813</t>
  </si>
  <si>
    <t>"5817</t>
  </si>
  <si>
    <t>"5625</t>
  </si>
  <si>
    <t>"5732</t>
  </si>
  <si>
    <t>Jenny</t>
  </si>
  <si>
    <t>"1052</t>
  </si>
  <si>
    <t>"1032</t>
  </si>
  <si>
    <t>"1035</t>
  </si>
  <si>
    <t>staphanie J-02</t>
  </si>
  <si>
    <t>"J-02 darkblue</t>
  </si>
  <si>
    <t>"2871</t>
  </si>
  <si>
    <t>"2872</t>
  </si>
  <si>
    <t>"267-1</t>
  </si>
  <si>
    <t>"287</t>
  </si>
  <si>
    <t>lindah964-1</t>
  </si>
  <si>
    <t>"746</t>
  </si>
  <si>
    <t>"748</t>
  </si>
  <si>
    <t>"741</t>
  </si>
  <si>
    <t>mtch sicy</t>
  </si>
  <si>
    <t>42nd ROUTE  AS AT 19-30.1.2016(20,000$+17500$+16,000$)</t>
  </si>
  <si>
    <t>20.1.2016</t>
  </si>
  <si>
    <t>Jn top lit sleave</t>
  </si>
  <si>
    <t>Lit mkt cb super skin</t>
  </si>
  <si>
    <t>Lit Gray with btns</t>
  </si>
  <si>
    <t>Lit mkt gray pedle &amp; black</t>
  </si>
  <si>
    <t>Dragon tie and die blue</t>
  </si>
  <si>
    <t>Jn shirt with stones</t>
  </si>
  <si>
    <t>ymi litien</t>
  </si>
  <si>
    <t>litien blue and black</t>
  </si>
  <si>
    <t>lit sky blue damage</t>
  </si>
  <si>
    <t>Ymi sky blue</t>
  </si>
  <si>
    <t>drogn cb blue wash</t>
  </si>
  <si>
    <t>jn trouser lastic blue</t>
  </si>
  <si>
    <t>Dragon ac jns gray</t>
  </si>
  <si>
    <t>" lastic blue</t>
  </si>
  <si>
    <t>"ymi and tie and die gray</t>
  </si>
  <si>
    <t>"tie and die dauble btn and zip</t>
  </si>
  <si>
    <t>"tie and die damage</t>
  </si>
  <si>
    <t>litien lastic</t>
  </si>
  <si>
    <t>c</t>
  </si>
  <si>
    <t>20.4.2016</t>
  </si>
  <si>
    <t>staphanie km-002</t>
  </si>
  <si>
    <t>"tw-313</t>
  </si>
  <si>
    <t>"638</t>
  </si>
  <si>
    <t>"664</t>
  </si>
  <si>
    <t>Lewa clours</t>
  </si>
  <si>
    <t>"0 nevy blue and loyal blue</t>
  </si>
  <si>
    <t>"7635</t>
  </si>
  <si>
    <t>"lastic</t>
  </si>
  <si>
    <t>"7638 4colours</t>
  </si>
  <si>
    <t>Sweater Pants</t>
  </si>
  <si>
    <t>Jenny 3001</t>
  </si>
  <si>
    <t>"3007</t>
  </si>
  <si>
    <t>"3008</t>
  </si>
  <si>
    <t>"1066</t>
  </si>
  <si>
    <t>"1067</t>
  </si>
  <si>
    <t>"2007</t>
  </si>
  <si>
    <t>"1068</t>
  </si>
  <si>
    <t>emilly near lindah</t>
  </si>
  <si>
    <t>"255</t>
  </si>
  <si>
    <t>Zero 2pc</t>
  </si>
  <si>
    <t>vivi opp Lindah</t>
  </si>
  <si>
    <t>"503</t>
  </si>
  <si>
    <t>"505</t>
  </si>
  <si>
    <t>Jeggings</t>
  </si>
  <si>
    <t>Eva colous</t>
  </si>
  <si>
    <t>"ctn black</t>
  </si>
  <si>
    <t>"5010</t>
  </si>
  <si>
    <t>Dragon AC black cut</t>
  </si>
  <si>
    <t>Litien mkt Army</t>
  </si>
  <si>
    <t>Drogon Order Lala</t>
  </si>
  <si>
    <t>"009</t>
  </si>
  <si>
    <t>Surnbird Mimi cackie</t>
  </si>
  <si>
    <t>"jns</t>
  </si>
  <si>
    <t>Dragon near ac</t>
  </si>
  <si>
    <t xml:space="preserve">dragon </t>
  </si>
  <si>
    <t>AC dragon</t>
  </si>
  <si>
    <t>Jn Jacket</t>
  </si>
  <si>
    <t>"tw-15.</t>
  </si>
  <si>
    <t>Lindah 8832</t>
  </si>
  <si>
    <t>"009 2colours</t>
  </si>
  <si>
    <t>"010 big size blue</t>
  </si>
  <si>
    <t>"008 1</t>
  </si>
  <si>
    <t>""</t>
  </si>
  <si>
    <t>Dragon Gray</t>
  </si>
  <si>
    <t>43rd ROUTE  AS AT 20-30.4.2016(@ $ 3,320= / 6.48yn)</t>
  </si>
  <si>
    <t>ulong dress 031</t>
  </si>
  <si>
    <t>"0223</t>
  </si>
  <si>
    <t>"005</t>
  </si>
  <si>
    <t>"006</t>
  </si>
  <si>
    <t>"0302</t>
  </si>
  <si>
    <t>"055</t>
  </si>
  <si>
    <t>"0115</t>
  </si>
  <si>
    <t>"dress multcoloured</t>
  </si>
  <si>
    <t>dragon 3btn jn</t>
  </si>
  <si>
    <t>20.7.2016</t>
  </si>
  <si>
    <t>Lovelyn cnn mkt 4330</t>
  </si>
  <si>
    <t>"43251</t>
  </si>
  <si>
    <t>"436</t>
  </si>
  <si>
    <t>"ma13</t>
  </si>
  <si>
    <t>"F4239</t>
  </si>
  <si>
    <t>"F309315</t>
  </si>
  <si>
    <t>"F1831</t>
  </si>
  <si>
    <t>"3032</t>
  </si>
  <si>
    <t>"3030</t>
  </si>
  <si>
    <t>Jenny Dress 3031</t>
  </si>
  <si>
    <t>"3001</t>
  </si>
  <si>
    <t>"3013</t>
  </si>
  <si>
    <t>"3016</t>
  </si>
  <si>
    <t>Sweater Dress</t>
  </si>
  <si>
    <t>Sweater comp</t>
  </si>
  <si>
    <t>Zero</t>
  </si>
  <si>
    <t>jN TROUSERS</t>
  </si>
  <si>
    <t>Joy cnn army</t>
  </si>
  <si>
    <t>"2234</t>
  </si>
  <si>
    <t>Ritah cnn mkt 5975</t>
  </si>
  <si>
    <t>"5976</t>
  </si>
  <si>
    <t>"5977</t>
  </si>
  <si>
    <t>"5828</t>
  </si>
  <si>
    <t>Staphanie 379</t>
  </si>
  <si>
    <t>"163</t>
  </si>
  <si>
    <t>"313</t>
  </si>
  <si>
    <t>"166</t>
  </si>
  <si>
    <t>Lindah Best Black</t>
  </si>
  <si>
    <t>"7638</t>
  </si>
  <si>
    <t>Mtch Cicy Winie blue small</t>
  </si>
  <si>
    <t>"Big sizr</t>
  </si>
  <si>
    <t>"Black small</t>
  </si>
  <si>
    <t>"Black Big</t>
  </si>
  <si>
    <t>Dragon Lala</t>
  </si>
  <si>
    <t>"25.5</t>
  </si>
  <si>
    <t>litien black cb</t>
  </si>
  <si>
    <t>"tie and die blue lack</t>
  </si>
  <si>
    <t>"kids</t>
  </si>
  <si>
    <t>"shorts</t>
  </si>
  <si>
    <t>Pedle</t>
  </si>
  <si>
    <t>Litien Li driver</t>
  </si>
  <si>
    <t>23.9.2016</t>
  </si>
  <si>
    <t>Lovelyn cnn mkt Ma 14</t>
  </si>
  <si>
    <t>"4351</t>
  </si>
  <si>
    <t>"F4244</t>
  </si>
  <si>
    <t>"F4281</t>
  </si>
  <si>
    <t>"F4305</t>
  </si>
  <si>
    <t>"m13</t>
  </si>
  <si>
    <t>"F4264</t>
  </si>
  <si>
    <t>Jenny  200</t>
  </si>
  <si>
    <t>"Gucci</t>
  </si>
  <si>
    <t>"Nike</t>
  </si>
  <si>
    <t>"Apple</t>
  </si>
  <si>
    <t>"75 ZP</t>
  </si>
  <si>
    <t>"Tommy</t>
  </si>
  <si>
    <t>Lindah back</t>
  </si>
  <si>
    <t>"red</t>
  </si>
  <si>
    <t>"Blue</t>
  </si>
  <si>
    <t>JN  TROUSERS</t>
  </si>
  <si>
    <t>Ritah 317</t>
  </si>
  <si>
    <t>"6067</t>
  </si>
  <si>
    <t>Kellen 6305</t>
  </si>
  <si>
    <t>"6330</t>
  </si>
  <si>
    <t>Alice Army pedle</t>
  </si>
  <si>
    <t>Eve Army</t>
  </si>
  <si>
    <t>Jeasy</t>
  </si>
  <si>
    <t>Mim surnbird</t>
  </si>
  <si>
    <t>dragon mkt Ac</t>
  </si>
  <si>
    <t>Funny Ulong</t>
  </si>
  <si>
    <t>Beckie cnn mkt</t>
  </si>
  <si>
    <t>"short colours</t>
  </si>
  <si>
    <t>"short jns</t>
  </si>
  <si>
    <t>Comple</t>
  </si>
  <si>
    <t>"highlow</t>
  </si>
  <si>
    <t>44th ROUTE  AS AT 22-30.9.2016( $36,000. @ 6.67yn)</t>
  </si>
  <si>
    <t>Total Pkts</t>
  </si>
  <si>
    <t>57 pkts</t>
  </si>
  <si>
    <t>28.10.2016</t>
  </si>
  <si>
    <t>Lovelyn cnn mkt f452</t>
  </si>
  <si>
    <t>"F4543</t>
  </si>
  <si>
    <t>"F4544</t>
  </si>
  <si>
    <t>"F4538</t>
  </si>
  <si>
    <t>"F4344</t>
  </si>
  <si>
    <t>"F4545</t>
  </si>
  <si>
    <t>"4546</t>
  </si>
  <si>
    <t>"4F4547</t>
  </si>
  <si>
    <t>"F4548</t>
  </si>
  <si>
    <t>"F4553</t>
  </si>
  <si>
    <t>"F4557</t>
  </si>
  <si>
    <t>"F4550</t>
  </si>
  <si>
    <t>"F4535</t>
  </si>
  <si>
    <t>"F4555</t>
  </si>
  <si>
    <t>"F4339</t>
  </si>
  <si>
    <t>"F4526</t>
  </si>
  <si>
    <t>"4527</t>
  </si>
  <si>
    <t>Jn TROUSERS</t>
  </si>
  <si>
    <t>Jeasey cnn mkt A1493 blue</t>
  </si>
  <si>
    <t>"Black</t>
  </si>
  <si>
    <t>"A3264</t>
  </si>
  <si>
    <t>"A2570</t>
  </si>
  <si>
    <t>"A2629</t>
  </si>
  <si>
    <t>"A2553</t>
  </si>
  <si>
    <t>"A3314</t>
  </si>
  <si>
    <t>"A2660</t>
  </si>
  <si>
    <t>A1126</t>
  </si>
  <si>
    <t>"A2823</t>
  </si>
  <si>
    <t>Staphanie</t>
  </si>
  <si>
    <t>Lindah cnn mkt8601</t>
  </si>
  <si>
    <t>"8603</t>
  </si>
  <si>
    <t>"8604</t>
  </si>
  <si>
    <t>AC dragon mkt</t>
  </si>
  <si>
    <t>top Throw on</t>
  </si>
  <si>
    <t>Dragon</t>
  </si>
  <si>
    <t>Judie0023</t>
  </si>
  <si>
    <t>"0025</t>
  </si>
  <si>
    <t>"0026</t>
  </si>
  <si>
    <t>45th ROUTE  AS AT 22-30.9.2016( $21000. @ 6.76yn)</t>
  </si>
  <si>
    <t>Dragon ac' bro</t>
  </si>
  <si>
    <t xml:space="preserve">Jn Shirt </t>
  </si>
  <si>
    <t>AC Dragon mkt</t>
  </si>
  <si>
    <t>"J 02</t>
  </si>
  <si>
    <t>"sky last</t>
  </si>
  <si>
    <t>Drogon mkt YMI</t>
  </si>
  <si>
    <t>"14936</t>
  </si>
  <si>
    <t xml:space="preserve">                          </t>
  </si>
  <si>
    <t>9.1.2017</t>
  </si>
  <si>
    <t>Jan ROUTE  AS AT 9-15.1.2017( $. @ 6.94yn)</t>
  </si>
  <si>
    <t>Lovelyn cnn mkt f4513</t>
  </si>
  <si>
    <t>"F4513(14)</t>
  </si>
  <si>
    <t>"F4509</t>
  </si>
  <si>
    <t>"F4601</t>
  </si>
  <si>
    <t>"F5140/ F4360</t>
  </si>
  <si>
    <t>"F43601</t>
  </si>
  <si>
    <t>"4564</t>
  </si>
  <si>
    <t>"4603</t>
  </si>
  <si>
    <t>Jeasey A3162</t>
  </si>
  <si>
    <t>"a3071</t>
  </si>
  <si>
    <t>"A3337</t>
  </si>
  <si>
    <t>"3161-2</t>
  </si>
  <si>
    <t>"A2168</t>
  </si>
  <si>
    <t>"A3080</t>
  </si>
  <si>
    <t>"A2373</t>
  </si>
  <si>
    <t>"A2818</t>
  </si>
  <si>
    <t>"A665</t>
  </si>
  <si>
    <t>"A3560</t>
  </si>
  <si>
    <t>"A3561</t>
  </si>
  <si>
    <t>"A3537</t>
  </si>
  <si>
    <t>"A3538</t>
  </si>
  <si>
    <t>"A3539</t>
  </si>
  <si>
    <t>"A3540</t>
  </si>
  <si>
    <t>"A1067</t>
  </si>
  <si>
    <t>"A1188</t>
  </si>
  <si>
    <t>"A2806</t>
  </si>
  <si>
    <t>"A2722</t>
  </si>
  <si>
    <t>"A2396</t>
  </si>
  <si>
    <t>"A3685</t>
  </si>
  <si>
    <t>"A3880</t>
  </si>
  <si>
    <t>"A3053</t>
  </si>
  <si>
    <t>"A3542</t>
  </si>
  <si>
    <t>"A3069-1</t>
  </si>
  <si>
    <t>2,459,838/</t>
  </si>
  <si>
    <t xml:space="preserve"> C53</t>
  </si>
  <si>
    <t>May ROUTE  AS AT 28th-8th.5.2017( $3630/. @ 6.89yn)</t>
  </si>
  <si>
    <t>28.4.2017</t>
  </si>
  <si>
    <t>Lovelyn cnn mkt f4804</t>
  </si>
  <si>
    <t>"F4849</t>
  </si>
  <si>
    <t>"F4677</t>
  </si>
  <si>
    <t>"F4671</t>
  </si>
  <si>
    <t>"F4801</t>
  </si>
  <si>
    <t>"F4869</t>
  </si>
  <si>
    <t>"4518</t>
  </si>
  <si>
    <t>"4539</t>
  </si>
  <si>
    <t>"4808</t>
  </si>
  <si>
    <t>"4811</t>
  </si>
  <si>
    <t>"F4914</t>
  </si>
  <si>
    <t>"F4841</t>
  </si>
  <si>
    <t>"F4935</t>
  </si>
  <si>
    <t>Jn shirt</t>
  </si>
  <si>
    <t xml:space="preserve">Liwa mkt </t>
  </si>
  <si>
    <t>"normal</t>
  </si>
  <si>
    <t>Bodysuit</t>
  </si>
  <si>
    <t>Jan ROUTE  AS AT 11-30.1.2024( $. @ 7.15yn)</t>
  </si>
  <si>
    <t>13.1.2024</t>
  </si>
  <si>
    <t>Liying (9262)</t>
  </si>
  <si>
    <t>"9263</t>
  </si>
  <si>
    <t>T1449</t>
  </si>
  <si>
    <t>T shirts Coller</t>
  </si>
  <si>
    <t>"68109</t>
  </si>
  <si>
    <t>"68151</t>
  </si>
  <si>
    <t>"68111</t>
  </si>
  <si>
    <t>T shirts  C- neck</t>
  </si>
  <si>
    <t>Guanda Plain</t>
  </si>
  <si>
    <t>Short</t>
  </si>
  <si>
    <t>Jingdong</t>
  </si>
  <si>
    <t>Capes</t>
  </si>
  <si>
    <t>Jason and Dada</t>
  </si>
  <si>
    <t>European</t>
  </si>
  <si>
    <t>Socks</t>
  </si>
  <si>
    <t>Dragon mama Doz</t>
  </si>
  <si>
    <t>Guanda mama</t>
  </si>
  <si>
    <t>Jacket</t>
  </si>
  <si>
    <t>Guanda</t>
  </si>
  <si>
    <t>T shirts  R- neck</t>
  </si>
  <si>
    <t>Ecco Rubber</t>
  </si>
  <si>
    <t>Prints</t>
  </si>
  <si>
    <t>Jumper</t>
  </si>
  <si>
    <t>Plain</t>
  </si>
  <si>
    <t>Kalungi'</t>
  </si>
  <si>
    <t>Half Jacket</t>
  </si>
  <si>
    <t>shorts</t>
  </si>
  <si>
    <t xml:space="preserve">Sweater Pant </t>
  </si>
  <si>
    <t xml:space="preserve">Jacket </t>
  </si>
  <si>
    <t>Short tour</t>
  </si>
  <si>
    <t xml:space="preserve">JN TROUSERS </t>
  </si>
  <si>
    <t>Black W413</t>
  </si>
  <si>
    <t>Hellen YC 5027N</t>
  </si>
  <si>
    <t>"PC5032N</t>
  </si>
  <si>
    <t>"TC5018F</t>
  </si>
  <si>
    <t>"AC5031</t>
  </si>
  <si>
    <t>Shirts</t>
  </si>
  <si>
    <t>Two pockets</t>
  </si>
  <si>
    <t>Plain long</t>
  </si>
  <si>
    <t>Plain short</t>
  </si>
  <si>
    <t>Bags</t>
  </si>
  <si>
    <t>NB</t>
  </si>
  <si>
    <t>"7661</t>
  </si>
  <si>
    <t>A8309</t>
  </si>
  <si>
    <t>A8306</t>
  </si>
  <si>
    <t>A7105-2</t>
  </si>
  <si>
    <t xml:space="preserve"> Mandy 1003-4</t>
  </si>
  <si>
    <t>7104-2</t>
  </si>
  <si>
    <t xml:space="preserve">JN TROUSERS  </t>
  </si>
  <si>
    <t>Hellen 7969</t>
  </si>
  <si>
    <t>T Shirt Coller</t>
  </si>
  <si>
    <t>MARCH ROUTE  AS AT 25-5th.4.2024( $. @ 7.23yn)</t>
  </si>
  <si>
    <t>Cargo Pants</t>
  </si>
  <si>
    <t>Yulong Mkt</t>
  </si>
  <si>
    <t>T Shirt Round</t>
  </si>
  <si>
    <t>Armless</t>
  </si>
  <si>
    <t>Yingfu</t>
  </si>
  <si>
    <t>Lihwa</t>
  </si>
  <si>
    <t>T Shirts Coller</t>
  </si>
  <si>
    <t>Dragon Strip</t>
  </si>
  <si>
    <t>Yulong Cindy8760</t>
  </si>
  <si>
    <t>"8732</t>
  </si>
  <si>
    <t>"8765</t>
  </si>
  <si>
    <t>"8775</t>
  </si>
  <si>
    <t>T shirts</t>
  </si>
  <si>
    <t>Press Jacket</t>
  </si>
  <si>
    <t>Lihua MKt</t>
  </si>
  <si>
    <t>Dragon Mkt B2-018</t>
  </si>
  <si>
    <t xml:space="preserve">T shirt </t>
  </si>
  <si>
    <t>Chloe Lihua  K60117</t>
  </si>
  <si>
    <t>"k60035</t>
  </si>
  <si>
    <t>"K28177</t>
  </si>
  <si>
    <t>"k60340</t>
  </si>
  <si>
    <t>"k60322</t>
  </si>
  <si>
    <t>"k60288</t>
  </si>
  <si>
    <t>"k60263</t>
  </si>
  <si>
    <t>"K60270</t>
  </si>
  <si>
    <t>"K60323</t>
  </si>
  <si>
    <t>"Z60264</t>
  </si>
  <si>
    <t>"Z60236</t>
  </si>
  <si>
    <t>"Z60074</t>
  </si>
  <si>
    <t>"Z60036</t>
  </si>
  <si>
    <t>"Z60308</t>
  </si>
  <si>
    <t>"Z60271</t>
  </si>
  <si>
    <t>Lihua Chloe' Brother</t>
  </si>
  <si>
    <t>"More</t>
  </si>
  <si>
    <t>T shirts  Round neck</t>
  </si>
  <si>
    <t>Senlen Black</t>
  </si>
  <si>
    <t>"White</t>
  </si>
  <si>
    <t>Dark Blue</t>
  </si>
  <si>
    <t>"Sky Blue</t>
  </si>
  <si>
    <t>"Dark Grey</t>
  </si>
  <si>
    <t>"Mint Green</t>
  </si>
  <si>
    <t>"Pink</t>
  </si>
  <si>
    <t>"Brown</t>
  </si>
  <si>
    <t xml:space="preserve">"Khaki </t>
  </si>
  <si>
    <t>"Maroon</t>
  </si>
  <si>
    <t>"Green</t>
  </si>
  <si>
    <t>"Ceam</t>
  </si>
  <si>
    <t>"Nevy Blue</t>
  </si>
  <si>
    <t>"Cream</t>
  </si>
  <si>
    <t>Jan ROUTE  AS AT 13-21.1.2026( $. @ 6.92yn)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</si>
</sst>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u val="singleAccounting"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sz val="24"/>
      <color rgb="FFC0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scheme val="minor"/>
    </font>
    <font>
      <b/>
      <sz val="11"/>
      <color rgb="FF0000FF"/>
      <name val="Calibri"/>
      <scheme val="minor"/>
    </font>
    <font>
      <b/>
      <sz val="11"/>
      <color rgb="FF008000"/>
      <name val="Calibri"/>
      <scheme val="minor"/>
    </font>
    <font>
      <b/>
      <sz val="11"/>
      <color rgb="FF660066"/>
      <name val="Calibri"/>
      <scheme val="minor"/>
    </font>
    <font>
      <b/>
      <sz val="11"/>
      <color rgb="FFFF6600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2060"/>
      <name val="Calibri"/>
      <scheme val="minor"/>
    </font>
    <font>
      <b/>
      <sz val="11"/>
      <color rgb="FF000090"/>
      <name val="Calibri"/>
      <scheme val="minor"/>
    </font>
    <font>
      <b/>
      <u/>
      <sz val="11"/>
      <color rgb="FFFF0000"/>
      <name val="Calibri"/>
      <scheme val="minor"/>
    </font>
    <font>
      <b/>
      <sz val="11"/>
      <color rgb="FF3366FF"/>
      <name val="Calibri"/>
      <scheme val="minor"/>
    </font>
    <font>
      <sz val="8"/>
      <name val="Calibri"/>
      <family val="2"/>
      <scheme val="minor"/>
    </font>
    <font>
      <b/>
      <i/>
      <sz val="11"/>
      <color rgb="FF0000FF"/>
      <name val="Calibri"/>
      <scheme val="minor"/>
    </font>
    <font>
      <b/>
      <i/>
      <sz val="11"/>
      <color rgb="FF000090"/>
      <name val="Calibri"/>
      <scheme val="minor"/>
    </font>
    <font>
      <b/>
      <sz val="11"/>
      <color rgb="FF0000FF"/>
      <name val="Calibri"/>
    </font>
    <font>
      <sz val="11"/>
      <color rgb="FF000090"/>
      <name val="Calibri"/>
      <scheme val="minor"/>
    </font>
    <font>
      <b/>
      <sz val="11"/>
      <color rgb="FF800000"/>
      <name val="Calibri"/>
      <scheme val="minor"/>
    </font>
    <font>
      <b/>
      <i/>
      <sz val="11"/>
      <color rgb="FF660066"/>
      <name val="Calibri"/>
      <scheme val="minor"/>
    </font>
    <font>
      <sz val="11"/>
      <color rgb="FF0070C0"/>
      <name val="Calibri"/>
      <family val="2"/>
      <scheme val="minor"/>
    </font>
    <font>
      <b/>
      <sz val="11"/>
      <color rgb="FFC00000"/>
      <name val="Calibri (Body)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77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02">
    <xf numFmtId="0" fontId="0" fillId="0" borderId="0" xfId="0"/>
    <xf numFmtId="0" fontId="0" fillId="0" borderId="1" xfId="0" applyBorder="1"/>
    <xf numFmtId="14" fontId="0" fillId="0" borderId="1" xfId="0" applyNumberFormat="1" applyBorder="1"/>
    <xf numFmtId="165" fontId="0" fillId="0" borderId="1" xfId="1" applyNumberFormat="1" applyFont="1" applyBorder="1"/>
    <xf numFmtId="165" fontId="0" fillId="0" borderId="0" xfId="1" applyNumberFormat="1" applyFont="1"/>
    <xf numFmtId="164" fontId="0" fillId="0" borderId="1" xfId="0" applyNumberFormat="1" applyBorder="1"/>
    <xf numFmtId="165" fontId="2" fillId="0" borderId="1" xfId="1" applyNumberFormat="1" applyFont="1" applyBorder="1"/>
    <xf numFmtId="0" fontId="2" fillId="0" borderId="0" xfId="0" applyFont="1"/>
    <xf numFmtId="165" fontId="0" fillId="0" borderId="0" xfId="0" applyNumberFormat="1"/>
    <xf numFmtId="165" fontId="3" fillId="0" borderId="1" xfId="1" applyNumberFormat="1" applyFont="1" applyBorder="1"/>
    <xf numFmtId="165" fontId="4" fillId="0" borderId="1" xfId="1" applyNumberFormat="1" applyFont="1" applyBorder="1"/>
    <xf numFmtId="164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/>
    <xf numFmtId="164" fontId="3" fillId="0" borderId="1" xfId="0" applyNumberFormat="1" applyFont="1" applyBorder="1"/>
    <xf numFmtId="165" fontId="6" fillId="0" borderId="1" xfId="1" applyNumberFormat="1" applyFont="1" applyBorder="1"/>
    <xf numFmtId="0" fontId="6" fillId="0" borderId="1" xfId="0" applyFont="1" applyBorder="1" applyAlignment="1">
      <alignment horizontal="center"/>
    </xf>
    <xf numFmtId="165" fontId="0" fillId="0" borderId="1" xfId="0" applyNumberFormat="1" applyBorder="1"/>
    <xf numFmtId="165" fontId="7" fillId="0" borderId="1" xfId="0" applyNumberFormat="1" applyFont="1" applyBorder="1"/>
    <xf numFmtId="165" fontId="7" fillId="0" borderId="1" xfId="1" applyNumberFormat="1" applyFont="1" applyBorder="1"/>
    <xf numFmtId="165" fontId="2" fillId="0" borderId="1" xfId="0" applyNumberFormat="1" applyFont="1" applyBorder="1"/>
    <xf numFmtId="165" fontId="8" fillId="0" borderId="1" xfId="1" applyNumberFormat="1" applyFont="1" applyBorder="1"/>
    <xf numFmtId="165" fontId="9" fillId="0" borderId="1" xfId="0" applyNumberFormat="1" applyFont="1" applyBorder="1"/>
    <xf numFmtId="165" fontId="5" fillId="0" borderId="1" xfId="1" applyNumberFormat="1" applyFont="1" applyBorder="1"/>
    <xf numFmtId="165" fontId="9" fillId="0" borderId="1" xfId="1" applyNumberFormat="1" applyFont="1" applyBorder="1"/>
    <xf numFmtId="165" fontId="10" fillId="0" borderId="1" xfId="1" applyNumberFormat="1" applyFont="1" applyBorder="1"/>
    <xf numFmtId="165" fontId="11" fillId="0" borderId="1" xfId="1" applyNumberFormat="1" applyFont="1" applyBorder="1"/>
    <xf numFmtId="0" fontId="12" fillId="0" borderId="0" xfId="0" applyFont="1"/>
    <xf numFmtId="165" fontId="0" fillId="0" borderId="0" xfId="1" applyNumberFormat="1" applyFont="1" applyAlignment="1"/>
    <xf numFmtId="165" fontId="0" fillId="0" borderId="1" xfId="1" applyNumberFormat="1" applyFont="1" applyFill="1" applyBorder="1"/>
    <xf numFmtId="165" fontId="13" fillId="0" borderId="1" xfId="0" applyNumberFormat="1" applyFont="1" applyBorder="1"/>
    <xf numFmtId="165" fontId="3" fillId="0" borderId="1" xfId="0" applyNumberFormat="1" applyFont="1" applyBorder="1"/>
    <xf numFmtId="165" fontId="4" fillId="0" borderId="1" xfId="0" applyNumberFormat="1" applyFont="1" applyBorder="1"/>
    <xf numFmtId="0" fontId="3" fillId="0" borderId="1" xfId="0" applyFont="1" applyBorder="1"/>
    <xf numFmtId="0" fontId="14" fillId="0" borderId="0" xfId="0" applyFont="1"/>
    <xf numFmtId="0" fontId="0" fillId="0" borderId="0" xfId="0" applyAlignment="1">
      <alignment horizontal="right"/>
    </xf>
    <xf numFmtId="41" fontId="0" fillId="0" borderId="1" xfId="2" applyFont="1" applyBorder="1"/>
    <xf numFmtId="43" fontId="0" fillId="0" borderId="1" xfId="0" applyNumberFormat="1" applyBorder="1"/>
    <xf numFmtId="1" fontId="0" fillId="0" borderId="1" xfId="0" applyNumberFormat="1" applyBorder="1"/>
    <xf numFmtId="0" fontId="13" fillId="0" borderId="1" xfId="0" applyFont="1" applyBorder="1"/>
    <xf numFmtId="165" fontId="6" fillId="0" borderId="1" xfId="0" applyNumberFormat="1" applyFont="1" applyBorder="1"/>
    <xf numFmtId="0" fontId="13" fillId="0" borderId="0" xfId="0" applyFont="1"/>
    <xf numFmtId="164" fontId="13" fillId="0" borderId="1" xfId="0" applyNumberFormat="1" applyFont="1" applyBorder="1"/>
    <xf numFmtId="0" fontId="14" fillId="0" borderId="1" xfId="0" applyFont="1" applyBorder="1"/>
    <xf numFmtId="165" fontId="1" fillId="0" borderId="1" xfId="1" applyNumberFormat="1" applyFont="1" applyBorder="1"/>
    <xf numFmtId="165" fontId="15" fillId="0" borderId="1" xfId="1" applyNumberFormat="1" applyFont="1" applyBorder="1"/>
    <xf numFmtId="165" fontId="16" fillId="0" borderId="1" xfId="1" applyNumberFormat="1" applyFont="1" applyBorder="1"/>
    <xf numFmtId="165" fontId="16" fillId="0" borderId="1" xfId="1" applyNumberFormat="1" applyFont="1" applyFill="1" applyBorder="1"/>
    <xf numFmtId="165" fontId="2" fillId="0" borderId="0" xfId="0" applyNumberFormat="1" applyFont="1"/>
    <xf numFmtId="165" fontId="6" fillId="0" borderId="0" xfId="0" applyNumberFormat="1" applyFont="1"/>
    <xf numFmtId="165" fontId="4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0" fontId="3" fillId="0" borderId="0" xfId="0" applyFont="1"/>
    <xf numFmtId="0" fontId="5" fillId="0" borderId="0" xfId="0" applyFont="1"/>
    <xf numFmtId="165" fontId="18" fillId="0" borderId="1" xfId="1" applyNumberFormat="1" applyFont="1" applyBorder="1"/>
    <xf numFmtId="0" fontId="20" fillId="0" borderId="1" xfId="0" applyFont="1" applyBorder="1"/>
    <xf numFmtId="0" fontId="19" fillId="0" borderId="1" xfId="0" applyFont="1" applyBorder="1"/>
    <xf numFmtId="0" fontId="17" fillId="0" borderId="1" xfId="0" applyFont="1" applyBorder="1"/>
    <xf numFmtId="165" fontId="17" fillId="0" borderId="1" xfId="1" applyNumberFormat="1" applyFont="1" applyBorder="1"/>
    <xf numFmtId="0" fontId="21" fillId="0" borderId="2" xfId="0" applyFont="1" applyBorder="1"/>
    <xf numFmtId="0" fontId="21" fillId="0" borderId="0" xfId="0" applyFont="1"/>
    <xf numFmtId="165" fontId="21" fillId="0" borderId="0" xfId="0" applyNumberFormat="1" applyFont="1"/>
    <xf numFmtId="165" fontId="13" fillId="0" borderId="0" xfId="0" applyNumberFormat="1" applyFont="1"/>
    <xf numFmtId="165" fontId="1" fillId="0" borderId="1" xfId="1" applyNumberFormat="1" applyFont="1" applyFill="1" applyBorder="1"/>
    <xf numFmtId="164" fontId="13" fillId="0" borderId="0" xfId="0" applyNumberFormat="1" applyFont="1"/>
    <xf numFmtId="0" fontId="20" fillId="0" borderId="3" xfId="0" applyFont="1" applyBorder="1"/>
    <xf numFmtId="0" fontId="19" fillId="0" borderId="3" xfId="0" applyFont="1" applyBorder="1"/>
    <xf numFmtId="164" fontId="22" fillId="0" borderId="1" xfId="0" applyNumberFormat="1" applyFont="1" applyBorder="1"/>
    <xf numFmtId="165" fontId="22" fillId="0" borderId="1" xfId="0" applyNumberFormat="1" applyFont="1" applyBorder="1"/>
    <xf numFmtId="165" fontId="23" fillId="0" borderId="0" xfId="0" applyNumberFormat="1" applyFont="1"/>
    <xf numFmtId="165" fontId="24" fillId="0" borderId="0" xfId="0" applyNumberFormat="1" applyFont="1"/>
    <xf numFmtId="164" fontId="25" fillId="0" borderId="0" xfId="0" applyNumberFormat="1" applyFont="1"/>
    <xf numFmtId="165" fontId="26" fillId="0" borderId="0" xfId="0" applyNumberFormat="1" applyFont="1"/>
    <xf numFmtId="165" fontId="0" fillId="0" borderId="4" xfId="1" applyNumberFormat="1" applyFont="1" applyBorder="1"/>
    <xf numFmtId="165" fontId="6" fillId="0" borderId="4" xfId="1" applyNumberFormat="1" applyFont="1" applyBorder="1"/>
    <xf numFmtId="165" fontId="13" fillId="0" borderId="5" xfId="1" applyNumberFormat="1" applyFont="1" applyFill="1" applyBorder="1"/>
    <xf numFmtId="165" fontId="1" fillId="0" borderId="7" xfId="1" applyNumberFormat="1" applyFont="1" applyFill="1" applyBorder="1"/>
    <xf numFmtId="0" fontId="0" fillId="0" borderId="2" xfId="0" applyBorder="1"/>
    <xf numFmtId="165" fontId="29" fillId="0" borderId="4" xfId="1" applyNumberFormat="1" applyFont="1" applyBorder="1"/>
    <xf numFmtId="165" fontId="2" fillId="0" borderId="0" xfId="1" applyNumberFormat="1" applyFont="1" applyFill="1" applyBorder="1"/>
    <xf numFmtId="0" fontId="13" fillId="0" borderId="6" xfId="0" applyFont="1" applyBorder="1"/>
    <xf numFmtId="165" fontId="0" fillId="0" borderId="7" xfId="1" applyNumberFormat="1" applyFont="1" applyFill="1" applyBorder="1"/>
    <xf numFmtId="0" fontId="31" fillId="0" borderId="1" xfId="0" applyFont="1" applyBorder="1"/>
    <xf numFmtId="165" fontId="25" fillId="0" borderId="1" xfId="0" applyNumberFormat="1" applyFont="1" applyBorder="1"/>
    <xf numFmtId="164" fontId="25" fillId="0" borderId="1" xfId="0" applyNumberFormat="1" applyFont="1" applyBorder="1"/>
    <xf numFmtId="165" fontId="30" fillId="0" borderId="1" xfId="0" applyNumberFormat="1" applyFont="1" applyBorder="1"/>
    <xf numFmtId="165" fontId="23" fillId="0" borderId="1" xfId="0" applyNumberFormat="1" applyFont="1" applyBorder="1"/>
    <xf numFmtId="165" fontId="8" fillId="0" borderId="1" xfId="0" applyNumberFormat="1" applyFont="1" applyBorder="1"/>
    <xf numFmtId="4" fontId="0" fillId="0" borderId="0" xfId="0" applyNumberFormat="1"/>
    <xf numFmtId="3" fontId="0" fillId="0" borderId="0" xfId="0" applyNumberFormat="1"/>
    <xf numFmtId="3" fontId="13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  <xf numFmtId="165" fontId="24" fillId="0" borderId="1" xfId="0" applyNumberFormat="1" applyFont="1" applyBorder="1"/>
    <xf numFmtId="165" fontId="30" fillId="0" borderId="0" xfId="0" applyNumberFormat="1" applyFont="1"/>
    <xf numFmtId="164" fontId="32" fillId="0" borderId="0" xfId="0" applyNumberFormat="1" applyFont="1"/>
    <xf numFmtId="165" fontId="32" fillId="0" borderId="0" xfId="0" applyNumberFormat="1" applyFont="1"/>
    <xf numFmtId="0" fontId="17" fillId="0" borderId="0" xfId="0" applyFont="1"/>
    <xf numFmtId="164" fontId="2" fillId="0" borderId="0" xfId="0" applyNumberFormat="1" applyFont="1"/>
    <xf numFmtId="164" fontId="17" fillId="0" borderId="0" xfId="0" applyNumberFormat="1" applyFont="1"/>
    <xf numFmtId="0" fontId="6" fillId="0" borderId="0" xfId="0" applyFont="1"/>
    <xf numFmtId="43" fontId="13" fillId="0" borderId="0" xfId="0" applyNumberFormat="1" applyFont="1"/>
    <xf numFmtId="165" fontId="21" fillId="0" borderId="0" xfId="1" applyNumberFormat="1" applyFont="1" applyFill="1" applyBorder="1"/>
    <xf numFmtId="165" fontId="17" fillId="0" borderId="0" xfId="1" applyNumberFormat="1" applyFont="1" applyFill="1" applyBorder="1"/>
    <xf numFmtId="165" fontId="0" fillId="0" borderId="0" xfId="1" applyNumberFormat="1" applyFont="1" applyFill="1" applyBorder="1"/>
    <xf numFmtId="165" fontId="3" fillId="0" borderId="0" xfId="0" applyNumberFormat="1" applyFont="1"/>
    <xf numFmtId="3" fontId="0" fillId="0" borderId="1" xfId="0" applyNumberFormat="1" applyBorder="1"/>
    <xf numFmtId="165" fontId="17" fillId="0" borderId="0" xfId="0" applyNumberFormat="1" applyFont="1"/>
    <xf numFmtId="164" fontId="23" fillId="0" borderId="1" xfId="0" applyNumberFormat="1" applyFont="1" applyBorder="1"/>
    <xf numFmtId="165" fontId="26" fillId="0" borderId="1" xfId="0" applyNumberFormat="1" applyFont="1" applyBorder="1"/>
    <xf numFmtId="43" fontId="0" fillId="0" borderId="2" xfId="0" applyNumberFormat="1" applyBorder="1"/>
    <xf numFmtId="165" fontId="0" fillId="0" borderId="2" xfId="1" applyNumberFormat="1" applyFont="1" applyFill="1" applyBorder="1"/>
    <xf numFmtId="165" fontId="1" fillId="0" borderId="2" xfId="1" applyNumberFormat="1" applyFont="1" applyFill="1" applyBorder="1"/>
    <xf numFmtId="164" fontId="30" fillId="0" borderId="0" xfId="0" applyNumberFormat="1" applyFont="1"/>
    <xf numFmtId="165" fontId="25" fillId="0" borderId="0" xfId="0" applyNumberFormat="1" applyFont="1"/>
    <xf numFmtId="165" fontId="34" fillId="0" borderId="1" xfId="1" applyNumberFormat="1" applyFont="1" applyBorder="1"/>
    <xf numFmtId="41" fontId="0" fillId="0" borderId="0" xfId="2" applyFont="1"/>
    <xf numFmtId="0" fontId="0" fillId="0" borderId="4" xfId="0" applyBorder="1"/>
    <xf numFmtId="165" fontId="23" fillId="0" borderId="1" xfId="1" applyNumberFormat="1" applyFont="1" applyBorder="1"/>
    <xf numFmtId="0" fontId="0" fillId="0" borderId="7" xfId="0" applyBorder="1"/>
    <xf numFmtId="165" fontId="0" fillId="0" borderId="8" xfId="1" applyNumberFormat="1" applyFont="1" applyFill="1" applyBorder="1"/>
    <xf numFmtId="43" fontId="0" fillId="0" borderId="0" xfId="0" applyNumberFormat="1"/>
    <xf numFmtId="43" fontId="23" fillId="0" borderId="0" xfId="0" applyNumberFormat="1" applyFont="1"/>
    <xf numFmtId="0" fontId="23" fillId="0" borderId="2" xfId="0" applyFont="1" applyBorder="1"/>
    <xf numFmtId="14" fontId="0" fillId="0" borderId="0" xfId="0" applyNumberFormat="1"/>
    <xf numFmtId="165" fontId="22" fillId="0" borderId="1" xfId="1" applyNumberFormat="1" applyFont="1" applyBorder="1"/>
    <xf numFmtId="165" fontId="35" fillId="0" borderId="1" xfId="1" applyNumberFormat="1" applyFont="1" applyBorder="1"/>
    <xf numFmtId="43" fontId="36" fillId="0" borderId="0" xfId="0" applyNumberFormat="1" applyFont="1"/>
    <xf numFmtId="165" fontId="1" fillId="0" borderId="0" xfId="1" applyNumberFormat="1" applyFont="1" applyFill="1" applyBorder="1"/>
    <xf numFmtId="0" fontId="37" fillId="0" borderId="0" xfId="0" applyFont="1"/>
    <xf numFmtId="0" fontId="30" fillId="0" borderId="1" xfId="0" applyFont="1" applyBorder="1"/>
    <xf numFmtId="43" fontId="30" fillId="0" borderId="1" xfId="0" applyNumberFormat="1" applyFont="1" applyBorder="1"/>
    <xf numFmtId="165" fontId="32" fillId="0" borderId="1" xfId="0" applyNumberFormat="1" applyFont="1" applyBorder="1"/>
    <xf numFmtId="164" fontId="30" fillId="0" borderId="1" xfId="0" applyNumberFormat="1" applyFont="1" applyBorder="1"/>
    <xf numFmtId="43" fontId="30" fillId="0" borderId="0" xfId="0" applyNumberFormat="1" applyFont="1"/>
    <xf numFmtId="0" fontId="30" fillId="0" borderId="0" xfId="0" applyFont="1"/>
    <xf numFmtId="165" fontId="13" fillId="0" borderId="2" xfId="1" applyNumberFormat="1" applyFont="1" applyFill="1" applyBorder="1"/>
    <xf numFmtId="43" fontId="23" fillId="0" borderId="1" xfId="0" applyNumberFormat="1" applyFont="1" applyBorder="1"/>
    <xf numFmtId="0" fontId="23" fillId="0" borderId="1" xfId="0" applyFont="1" applyBorder="1"/>
    <xf numFmtId="0" fontId="32" fillId="0" borderId="1" xfId="0" applyFont="1" applyBorder="1"/>
    <xf numFmtId="43" fontId="32" fillId="0" borderId="1" xfId="0" applyNumberFormat="1" applyFont="1" applyBorder="1"/>
    <xf numFmtId="165" fontId="0" fillId="0" borderId="0" xfId="1" applyNumberFormat="1" applyFont="1" applyBorder="1"/>
    <xf numFmtId="165" fontId="30" fillId="0" borderId="1" xfId="1" applyNumberFormat="1" applyFont="1" applyFill="1" applyBorder="1"/>
    <xf numFmtId="165" fontId="2" fillId="0" borderId="1" xfId="1" applyNumberFormat="1" applyFont="1" applyFill="1" applyBorder="1"/>
    <xf numFmtId="0" fontId="0" fillId="0" borderId="1" xfId="0" applyBorder="1" applyAlignment="1">
      <alignment horizontal="left"/>
    </xf>
    <xf numFmtId="43" fontId="0" fillId="0" borderId="1" xfId="0" applyNumberFormat="1" applyBorder="1" applyAlignment="1">
      <alignment horizontal="left"/>
    </xf>
    <xf numFmtId="165" fontId="0" fillId="0" borderId="1" xfId="1" applyNumberFormat="1" applyFont="1" applyFill="1" applyBorder="1" applyAlignment="1">
      <alignment horizontal="left"/>
    </xf>
    <xf numFmtId="165" fontId="1" fillId="0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43" fontId="0" fillId="0" borderId="2" xfId="0" applyNumberFormat="1" applyBorder="1" applyAlignment="1">
      <alignment horizontal="left"/>
    </xf>
    <xf numFmtId="165" fontId="0" fillId="0" borderId="2" xfId="1" applyNumberFormat="1" applyFont="1" applyFill="1" applyBorder="1" applyAlignment="1">
      <alignment horizontal="left"/>
    </xf>
    <xf numFmtId="165" fontId="1" fillId="0" borderId="2" xfId="1" applyNumberFormat="1" applyFont="1" applyFill="1" applyBorder="1" applyAlignment="1">
      <alignment horizontal="left"/>
    </xf>
    <xf numFmtId="43" fontId="2" fillId="0" borderId="0" xfId="0" applyNumberFormat="1" applyFont="1"/>
    <xf numFmtId="0" fontId="32" fillId="0" borderId="2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vertical="top"/>
    </xf>
    <xf numFmtId="43" fontId="32" fillId="0" borderId="0" xfId="0" applyNumberFormat="1" applyFont="1"/>
    <xf numFmtId="0" fontId="22" fillId="0" borderId="1" xfId="0" applyFont="1" applyBorder="1" applyAlignment="1">
      <alignment horizontal="right"/>
    </xf>
    <xf numFmtId="0" fontId="0" fillId="0" borderId="0" xfId="0" quotePrefix="1"/>
    <xf numFmtId="0" fontId="0" fillId="0" borderId="7" xfId="0" applyBorder="1" applyAlignment="1">
      <alignment horizontal="left"/>
    </xf>
    <xf numFmtId="165" fontId="38" fillId="0" borderId="0" xfId="0" applyNumberFormat="1" applyFont="1"/>
    <xf numFmtId="0" fontId="30" fillId="0" borderId="2" xfId="0" applyFont="1" applyBorder="1" applyAlignment="1">
      <alignment horizontal="left"/>
    </xf>
    <xf numFmtId="165" fontId="39" fillId="0" borderId="1" xfId="1" applyNumberFormat="1" applyFont="1" applyBorder="1"/>
    <xf numFmtId="165" fontId="2" fillId="0" borderId="2" xfId="1" applyNumberFormat="1" applyFont="1" applyFill="1" applyBorder="1" applyAlignment="1">
      <alignment horizontal="left"/>
    </xf>
    <xf numFmtId="165" fontId="1" fillId="0" borderId="8" xfId="1" applyNumberFormat="1" applyFont="1" applyFill="1" applyBorder="1" applyAlignment="1">
      <alignment horizontal="left"/>
    </xf>
    <xf numFmtId="165" fontId="0" fillId="0" borderId="0" xfId="1" applyNumberFormat="1" applyFont="1" applyFill="1" applyBorder="1" applyAlignment="1">
      <alignment horizontal="left"/>
    </xf>
    <xf numFmtId="165" fontId="32" fillId="0" borderId="1" xfId="1" applyNumberFormat="1" applyFont="1" applyBorder="1"/>
    <xf numFmtId="165" fontId="0" fillId="0" borderId="8" xfId="1" applyNumberFormat="1" applyFont="1" applyFill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3" fontId="5" fillId="0" borderId="1" xfId="0" applyNumberFormat="1" applyFont="1" applyBorder="1"/>
    <xf numFmtId="43" fontId="5" fillId="0" borderId="0" xfId="0" applyNumberFormat="1" applyFont="1"/>
    <xf numFmtId="0" fontId="5" fillId="0" borderId="2" xfId="0" applyFont="1" applyBorder="1" applyAlignment="1">
      <alignment horizontal="left"/>
    </xf>
    <xf numFmtId="0" fontId="40" fillId="0" borderId="0" xfId="0" applyFont="1"/>
    <xf numFmtId="0" fontId="41" fillId="0" borderId="0" xfId="0" applyFont="1" applyAlignment="1">
      <alignment horizontal="right"/>
    </xf>
    <xf numFmtId="0" fontId="0" fillId="0" borderId="0" xfId="0" applyAlignment="1">
      <alignment horizontal="left"/>
    </xf>
    <xf numFmtId="43" fontId="0" fillId="0" borderId="0" xfId="0" applyNumberFormat="1" applyAlignment="1">
      <alignment horizontal="left"/>
    </xf>
    <xf numFmtId="165" fontId="1" fillId="0" borderId="0" xfId="1" applyNumberFormat="1" applyFont="1" applyFill="1" applyBorder="1" applyAlignment="1">
      <alignment horizontal="left"/>
    </xf>
    <xf numFmtId="165" fontId="42" fillId="0" borderId="0" xfId="0" applyNumberFormat="1" applyFont="1"/>
    <xf numFmtId="43" fontId="21" fillId="0" borderId="0" xfId="0" applyNumberFormat="1" applyFont="1"/>
    <xf numFmtId="0" fontId="21" fillId="0" borderId="2" xfId="0" applyFont="1" applyBorder="1" applyAlignment="1">
      <alignment horizontal="left"/>
    </xf>
    <xf numFmtId="0" fontId="9" fillId="0" borderId="0" xfId="0" applyFont="1"/>
    <xf numFmtId="165" fontId="13" fillId="0" borderId="1" xfId="1" applyNumberFormat="1" applyFont="1" applyBorder="1"/>
    <xf numFmtId="43" fontId="6" fillId="0" borderId="0" xfId="0" applyNumberFormat="1" applyFont="1"/>
    <xf numFmtId="0" fontId="2" fillId="0" borderId="2" xfId="0" applyFont="1" applyBorder="1" applyAlignment="1">
      <alignment horizontal="left"/>
    </xf>
    <xf numFmtId="0" fontId="0" fillId="0" borderId="8" xfId="0" applyBorder="1" applyAlignment="1">
      <alignment horizontal="right"/>
    </xf>
    <xf numFmtId="43" fontId="4" fillId="0" borderId="0" xfId="0" applyNumberFormat="1" applyFont="1"/>
    <xf numFmtId="0" fontId="4" fillId="0" borderId="2" xfId="0" applyFont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right"/>
    </xf>
    <xf numFmtId="43" fontId="0" fillId="0" borderId="0" xfId="0" applyNumberFormat="1" applyFill="1" applyBorder="1" applyAlignment="1">
      <alignment horizontal="left"/>
    </xf>
    <xf numFmtId="165" fontId="0" fillId="0" borderId="0" xfId="0" applyNumberFormat="1" applyFont="1"/>
    <xf numFmtId="43" fontId="0" fillId="0" borderId="0" xfId="0" applyNumberFormat="1" applyFont="1"/>
    <xf numFmtId="0" fontId="0" fillId="0" borderId="0" xfId="0" applyFont="1"/>
    <xf numFmtId="0" fontId="0" fillId="0" borderId="2" xfId="0" applyFont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right"/>
    </xf>
  </cellXfs>
  <cellStyles count="277">
    <cellStyle name="Comma" xfId="1" builtinId="3"/>
    <cellStyle name="Comma [0]" xfId="2" builtinId="6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workbookViewId="0">
      <selection activeCell="H36" sqref="H36:I45"/>
    </sheetView>
  </sheetViews>
  <sheetFormatPr baseColWidth="10" defaultColWidth="9.1640625" defaultRowHeight="15" x14ac:dyDescent="0.2"/>
  <cols>
    <col min="1" max="1" width="12.83203125" customWidth="1"/>
    <col min="2" max="2" width="15.6640625" customWidth="1"/>
    <col min="3" max="3" width="11.83203125" customWidth="1"/>
    <col min="4" max="4" width="22.5" customWidth="1"/>
    <col min="5" max="5" width="11.6640625" customWidth="1"/>
    <col min="6" max="6" width="13.5" style="4" customWidth="1"/>
    <col min="7" max="7" width="13.6640625" customWidth="1"/>
    <col min="8" max="8" width="11.6640625" style="4" customWidth="1"/>
    <col min="9" max="9" width="12.83203125" style="4" customWidth="1"/>
    <col min="10" max="10" width="11.33203125" style="4" customWidth="1"/>
    <col min="11" max="11" width="14.6640625" style="4" customWidth="1"/>
    <col min="12" max="12" width="11.5" style="4" customWidth="1"/>
  </cols>
  <sheetData>
    <row r="1" spans="1:12" ht="26" x14ac:dyDescent="0.3">
      <c r="A1" s="27" t="s">
        <v>14</v>
      </c>
      <c r="B1" s="27"/>
      <c r="C1" s="27"/>
      <c r="D1" s="27"/>
      <c r="F1" s="28"/>
      <c r="H1" s="28"/>
      <c r="I1" s="28"/>
      <c r="J1" s="28"/>
      <c r="K1" s="28"/>
      <c r="L1" s="28"/>
    </row>
    <row r="2" spans="1:12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11</v>
      </c>
      <c r="F2" s="3" t="s">
        <v>8</v>
      </c>
      <c r="G2" s="1" t="s">
        <v>4</v>
      </c>
      <c r="H2" s="3" t="s">
        <v>5</v>
      </c>
      <c r="I2" s="3" t="s">
        <v>9</v>
      </c>
      <c r="J2" s="3" t="s">
        <v>10</v>
      </c>
      <c r="K2" s="3" t="s">
        <v>6</v>
      </c>
      <c r="L2" s="3" t="s">
        <v>12</v>
      </c>
    </row>
    <row r="3" spans="1:12" x14ac:dyDescent="0.2">
      <c r="A3" s="2">
        <v>40910</v>
      </c>
      <c r="B3" s="1" t="s">
        <v>7</v>
      </c>
      <c r="C3" s="1">
        <v>6.34</v>
      </c>
      <c r="D3" s="1">
        <v>130</v>
      </c>
      <c r="E3" s="1">
        <v>18</v>
      </c>
      <c r="F3" s="3">
        <f>D3*E3</f>
        <v>2340</v>
      </c>
      <c r="G3" s="5">
        <f>F3/C3</f>
        <v>369.08517350157729</v>
      </c>
      <c r="H3" s="3">
        <v>2555</v>
      </c>
      <c r="I3" s="3">
        <f>E3/C3*H3*D3</f>
        <v>943012.61829652998</v>
      </c>
      <c r="J3" s="3">
        <v>16000</v>
      </c>
      <c r="K3" s="3">
        <f>J3*D3</f>
        <v>2080000</v>
      </c>
      <c r="L3" s="3">
        <f>K3-I3</f>
        <v>1136987.3817034699</v>
      </c>
    </row>
    <row r="4" spans="1:12" x14ac:dyDescent="0.2">
      <c r="A4" s="1"/>
      <c r="B4" s="1" t="s">
        <v>15</v>
      </c>
      <c r="C4" s="1">
        <v>6.34</v>
      </c>
      <c r="D4" s="1">
        <v>240</v>
      </c>
      <c r="E4" s="1">
        <v>14</v>
      </c>
      <c r="F4" s="3">
        <f t="shared" ref="F4:F32" si="0">D4*E4</f>
        <v>3360</v>
      </c>
      <c r="G4" s="5">
        <f t="shared" ref="G4:G32" si="1">F4/C4</f>
        <v>529.96845425867514</v>
      </c>
      <c r="H4" s="3">
        <v>2555</v>
      </c>
      <c r="I4" s="3">
        <f t="shared" ref="I4:I32" si="2">E4/C4*H4*D4</f>
        <v>1354069.4006309148</v>
      </c>
      <c r="J4" s="3">
        <v>15000</v>
      </c>
      <c r="K4" s="3">
        <f t="shared" ref="K4:K32" si="3">J4*D4</f>
        <v>3600000</v>
      </c>
      <c r="L4" s="3">
        <f t="shared" ref="L4:L32" si="4">K4-I4</f>
        <v>2245930.5993690854</v>
      </c>
    </row>
    <row r="5" spans="1:12" x14ac:dyDescent="0.2">
      <c r="A5" s="1"/>
      <c r="B5" s="1" t="s">
        <v>7</v>
      </c>
      <c r="C5" s="1">
        <v>6.34</v>
      </c>
      <c r="D5" s="1">
        <v>186</v>
      </c>
      <c r="E5" s="1">
        <v>23</v>
      </c>
      <c r="F5" s="3">
        <f t="shared" si="0"/>
        <v>4278</v>
      </c>
      <c r="G5" s="5">
        <f t="shared" si="1"/>
        <v>674.76340694006308</v>
      </c>
      <c r="H5" s="3">
        <v>2555</v>
      </c>
      <c r="I5" s="3">
        <f t="shared" si="2"/>
        <v>1724020.5047318614</v>
      </c>
      <c r="J5" s="3">
        <v>16000</v>
      </c>
      <c r="K5" s="3">
        <f t="shared" si="3"/>
        <v>2976000</v>
      </c>
      <c r="L5" s="3">
        <f t="shared" si="4"/>
        <v>1251979.4952681386</v>
      </c>
    </row>
    <row r="6" spans="1:12" x14ac:dyDescent="0.2">
      <c r="A6" s="1"/>
      <c r="B6" s="1" t="s">
        <v>7</v>
      </c>
      <c r="C6" s="1">
        <v>6.34</v>
      </c>
      <c r="D6" s="1">
        <v>440</v>
      </c>
      <c r="E6" s="1">
        <v>22</v>
      </c>
      <c r="F6" s="3">
        <f t="shared" si="0"/>
        <v>9680</v>
      </c>
      <c r="G6" s="5">
        <f t="shared" si="1"/>
        <v>1526.813880126183</v>
      </c>
      <c r="H6" s="3">
        <v>2555</v>
      </c>
      <c r="I6" s="3">
        <f t="shared" si="2"/>
        <v>3901009.4637223976</v>
      </c>
      <c r="J6" s="3">
        <v>16000</v>
      </c>
      <c r="K6" s="3">
        <f t="shared" si="3"/>
        <v>7040000</v>
      </c>
      <c r="L6" s="3">
        <f t="shared" si="4"/>
        <v>3138990.5362776024</v>
      </c>
    </row>
    <row r="7" spans="1:12" x14ac:dyDescent="0.2">
      <c r="A7" s="1"/>
      <c r="B7" s="1" t="s">
        <v>7</v>
      </c>
      <c r="C7" s="1">
        <v>6.34</v>
      </c>
      <c r="D7" s="1">
        <v>750</v>
      </c>
      <c r="E7" s="1">
        <v>24</v>
      </c>
      <c r="F7" s="3">
        <f t="shared" si="0"/>
        <v>18000</v>
      </c>
      <c r="G7" s="5">
        <f t="shared" si="1"/>
        <v>2839.1167192429025</v>
      </c>
      <c r="H7" s="3">
        <v>2555</v>
      </c>
      <c r="I7" s="3">
        <f t="shared" si="2"/>
        <v>7253943.2176656155</v>
      </c>
      <c r="J7" s="3">
        <v>16000</v>
      </c>
      <c r="K7" s="3">
        <f t="shared" si="3"/>
        <v>12000000</v>
      </c>
      <c r="L7" s="3">
        <f t="shared" si="4"/>
        <v>4746056.7823343845</v>
      </c>
    </row>
    <row r="8" spans="1:12" x14ac:dyDescent="0.2">
      <c r="A8" s="1"/>
      <c r="B8" s="1" t="s">
        <v>7</v>
      </c>
      <c r="C8" s="1">
        <v>6.34</v>
      </c>
      <c r="D8" s="1">
        <v>1000</v>
      </c>
      <c r="E8" s="1">
        <v>23</v>
      </c>
      <c r="F8" s="3">
        <f t="shared" si="0"/>
        <v>23000</v>
      </c>
      <c r="G8" s="5">
        <f t="shared" si="1"/>
        <v>3627.7602523659307</v>
      </c>
      <c r="H8" s="3">
        <v>2555</v>
      </c>
      <c r="I8" s="3">
        <f t="shared" si="2"/>
        <v>9268927.4447949529</v>
      </c>
      <c r="J8" s="3">
        <v>16000</v>
      </c>
      <c r="K8" s="3">
        <f t="shared" si="3"/>
        <v>16000000</v>
      </c>
      <c r="L8" s="3">
        <f t="shared" si="4"/>
        <v>6731072.5552050471</v>
      </c>
    </row>
    <row r="9" spans="1:12" x14ac:dyDescent="0.2">
      <c r="A9" s="1"/>
      <c r="B9" s="1" t="s">
        <v>7</v>
      </c>
      <c r="C9" s="1">
        <v>6.34</v>
      </c>
      <c r="D9" s="1">
        <v>600</v>
      </c>
      <c r="E9" s="1">
        <v>23</v>
      </c>
      <c r="F9" s="3">
        <f t="shared" si="0"/>
        <v>13800</v>
      </c>
      <c r="G9" s="5">
        <f t="shared" si="1"/>
        <v>2176.6561514195582</v>
      </c>
      <c r="H9" s="3">
        <v>2555</v>
      </c>
      <c r="I9" s="3">
        <f t="shared" si="2"/>
        <v>5561356.4668769725</v>
      </c>
      <c r="J9" s="3">
        <v>16000</v>
      </c>
      <c r="K9" s="3">
        <f t="shared" si="3"/>
        <v>9600000</v>
      </c>
      <c r="L9" s="3">
        <f t="shared" si="4"/>
        <v>4038643.5331230275</v>
      </c>
    </row>
    <row r="10" spans="1:12" x14ac:dyDescent="0.2">
      <c r="A10" s="1"/>
      <c r="B10" s="1" t="s">
        <v>7</v>
      </c>
      <c r="C10" s="1">
        <v>6.34</v>
      </c>
      <c r="D10" s="1">
        <v>400</v>
      </c>
      <c r="E10" s="1">
        <v>23</v>
      </c>
      <c r="F10" s="3">
        <f t="shared" si="0"/>
        <v>9200</v>
      </c>
      <c r="G10" s="5">
        <f t="shared" si="1"/>
        <v>1451.1041009463722</v>
      </c>
      <c r="H10" s="3">
        <v>2555</v>
      </c>
      <c r="I10" s="3">
        <f t="shared" si="2"/>
        <v>3707570.9779179813</v>
      </c>
      <c r="J10" s="3">
        <v>16000</v>
      </c>
      <c r="K10" s="3">
        <f t="shared" si="3"/>
        <v>6400000</v>
      </c>
      <c r="L10" s="3">
        <f t="shared" si="4"/>
        <v>2692429.0220820187</v>
      </c>
    </row>
    <row r="11" spans="1:12" x14ac:dyDescent="0.2">
      <c r="A11" s="1"/>
      <c r="B11" s="1" t="s">
        <v>7</v>
      </c>
      <c r="C11" s="1">
        <v>6.34</v>
      </c>
      <c r="D11" s="1">
        <v>600</v>
      </c>
      <c r="E11" s="1">
        <v>22</v>
      </c>
      <c r="F11" s="3">
        <f t="shared" si="0"/>
        <v>13200</v>
      </c>
      <c r="G11" s="5">
        <f t="shared" si="1"/>
        <v>2082.0189274447948</v>
      </c>
      <c r="H11" s="3">
        <v>2555</v>
      </c>
      <c r="I11" s="3">
        <f t="shared" si="2"/>
        <v>5319558.3596214512</v>
      </c>
      <c r="J11" s="3">
        <v>16000</v>
      </c>
      <c r="K11" s="3">
        <f t="shared" si="3"/>
        <v>9600000</v>
      </c>
      <c r="L11" s="3">
        <f t="shared" si="4"/>
        <v>4280441.6403785488</v>
      </c>
    </row>
    <row r="12" spans="1:12" x14ac:dyDescent="0.2">
      <c r="A12" s="1"/>
      <c r="B12" s="1" t="s">
        <v>7</v>
      </c>
      <c r="C12" s="1">
        <v>6.34</v>
      </c>
      <c r="D12" s="1">
        <v>400</v>
      </c>
      <c r="E12" s="1">
        <v>24.5</v>
      </c>
      <c r="F12" s="3">
        <f t="shared" si="0"/>
        <v>9800</v>
      </c>
      <c r="G12" s="5">
        <f t="shared" si="1"/>
        <v>1545.7413249211356</v>
      </c>
      <c r="H12" s="3">
        <v>2555</v>
      </c>
      <c r="I12" s="3">
        <f t="shared" si="2"/>
        <v>3949369.0851735016</v>
      </c>
      <c r="J12" s="3">
        <v>16000</v>
      </c>
      <c r="K12" s="3">
        <f t="shared" si="3"/>
        <v>6400000</v>
      </c>
      <c r="L12" s="3">
        <f t="shared" si="4"/>
        <v>2450630.9148264984</v>
      </c>
    </row>
    <row r="13" spans="1:12" x14ac:dyDescent="0.2">
      <c r="A13" s="1"/>
      <c r="B13" s="1" t="s">
        <v>7</v>
      </c>
      <c r="C13" s="1">
        <v>6.34</v>
      </c>
      <c r="D13" s="1">
        <v>200</v>
      </c>
      <c r="E13" s="1">
        <v>22.5</v>
      </c>
      <c r="F13" s="3">
        <f t="shared" si="0"/>
        <v>4500</v>
      </c>
      <c r="G13" s="5">
        <f t="shared" si="1"/>
        <v>709.77917981072562</v>
      </c>
      <c r="H13" s="3">
        <v>2555</v>
      </c>
      <c r="I13" s="3">
        <f t="shared" si="2"/>
        <v>1813485.8044164036</v>
      </c>
      <c r="J13" s="3">
        <v>16000</v>
      </c>
      <c r="K13" s="3">
        <f t="shared" si="3"/>
        <v>3200000</v>
      </c>
      <c r="L13" s="3">
        <f t="shared" si="4"/>
        <v>1386514.1955835964</v>
      </c>
    </row>
    <row r="14" spans="1:12" x14ac:dyDescent="0.2">
      <c r="A14" s="1"/>
      <c r="B14" s="1" t="s">
        <v>7</v>
      </c>
      <c r="C14" s="1">
        <v>6.34</v>
      </c>
      <c r="D14" s="1">
        <v>100</v>
      </c>
      <c r="E14" s="1">
        <v>22</v>
      </c>
      <c r="F14" s="3">
        <f t="shared" si="0"/>
        <v>2200</v>
      </c>
      <c r="G14" s="5">
        <f t="shared" si="1"/>
        <v>347.00315457413251</v>
      </c>
      <c r="H14" s="3">
        <v>2555</v>
      </c>
      <c r="I14" s="3">
        <f t="shared" si="2"/>
        <v>886593.05993690854</v>
      </c>
      <c r="J14" s="3">
        <v>16000</v>
      </c>
      <c r="K14" s="3">
        <f t="shared" si="3"/>
        <v>1600000</v>
      </c>
      <c r="L14" s="3">
        <f t="shared" si="4"/>
        <v>713406.94006309146</v>
      </c>
    </row>
    <row r="15" spans="1:12" x14ac:dyDescent="0.2">
      <c r="A15" s="1"/>
      <c r="B15" s="1" t="s">
        <v>7</v>
      </c>
      <c r="C15" s="1">
        <v>6.34</v>
      </c>
      <c r="D15" s="1">
        <v>200</v>
      </c>
      <c r="E15" s="1">
        <v>22</v>
      </c>
      <c r="F15" s="3">
        <f t="shared" si="0"/>
        <v>4400</v>
      </c>
      <c r="G15" s="5">
        <f t="shared" si="1"/>
        <v>694.00630914826502</v>
      </c>
      <c r="H15" s="3">
        <v>2555</v>
      </c>
      <c r="I15" s="3">
        <f t="shared" si="2"/>
        <v>1773186.1198738171</v>
      </c>
      <c r="J15" s="3">
        <v>16000</v>
      </c>
      <c r="K15" s="3">
        <f t="shared" si="3"/>
        <v>3200000</v>
      </c>
      <c r="L15" s="3">
        <f t="shared" si="4"/>
        <v>1426813.8801261829</v>
      </c>
    </row>
    <row r="16" spans="1:12" x14ac:dyDescent="0.2">
      <c r="A16" s="1"/>
      <c r="B16" s="1" t="s">
        <v>7</v>
      </c>
      <c r="C16" s="1">
        <v>6.34</v>
      </c>
      <c r="D16" s="1">
        <v>300</v>
      </c>
      <c r="E16" s="1">
        <v>25</v>
      </c>
      <c r="F16" s="3">
        <f t="shared" si="0"/>
        <v>7500</v>
      </c>
      <c r="G16" s="5">
        <f t="shared" si="1"/>
        <v>1182.9652996845425</v>
      </c>
      <c r="H16" s="3">
        <v>2555</v>
      </c>
      <c r="I16" s="3">
        <f t="shared" si="2"/>
        <v>3022476.3406940061</v>
      </c>
      <c r="J16" s="3">
        <v>16000</v>
      </c>
      <c r="K16" s="3">
        <f t="shared" si="3"/>
        <v>4800000</v>
      </c>
      <c r="L16" s="3">
        <f t="shared" si="4"/>
        <v>1777523.6593059939</v>
      </c>
    </row>
    <row r="17" spans="1:12" x14ac:dyDescent="0.2">
      <c r="A17" s="1"/>
      <c r="B17" s="1" t="s">
        <v>7</v>
      </c>
      <c r="C17" s="1">
        <v>6.34</v>
      </c>
      <c r="D17" s="1">
        <v>500</v>
      </c>
      <c r="E17" s="1">
        <v>24.5</v>
      </c>
      <c r="F17" s="3">
        <f t="shared" si="0"/>
        <v>12250</v>
      </c>
      <c r="G17" s="5">
        <f t="shared" si="1"/>
        <v>1932.1766561514196</v>
      </c>
      <c r="H17" s="3">
        <v>2555</v>
      </c>
      <c r="I17" s="3">
        <f t="shared" si="2"/>
        <v>4936711.3564668773</v>
      </c>
      <c r="J17" s="3">
        <v>16000</v>
      </c>
      <c r="K17" s="3">
        <f t="shared" si="3"/>
        <v>8000000</v>
      </c>
      <c r="L17" s="3">
        <f t="shared" si="4"/>
        <v>3063288.6435331227</v>
      </c>
    </row>
    <row r="18" spans="1:12" x14ac:dyDescent="0.2">
      <c r="A18" s="1"/>
      <c r="B18" s="1" t="s">
        <v>16</v>
      </c>
      <c r="C18" s="1">
        <v>6.34</v>
      </c>
      <c r="D18" s="1">
        <v>200</v>
      </c>
      <c r="E18" s="1">
        <v>25</v>
      </c>
      <c r="F18" s="3">
        <f t="shared" si="0"/>
        <v>5000</v>
      </c>
      <c r="G18" s="5">
        <f t="shared" si="1"/>
        <v>788.64353312302842</v>
      </c>
      <c r="H18" s="3">
        <v>2555</v>
      </c>
      <c r="I18" s="3">
        <f t="shared" si="2"/>
        <v>2014984.2271293376</v>
      </c>
      <c r="J18" s="3">
        <v>23000</v>
      </c>
      <c r="K18" s="3">
        <f t="shared" si="3"/>
        <v>4600000</v>
      </c>
      <c r="L18" s="3">
        <f t="shared" si="4"/>
        <v>2585015.7728706626</v>
      </c>
    </row>
    <row r="19" spans="1:12" x14ac:dyDescent="0.2">
      <c r="A19" s="1"/>
      <c r="B19" s="1" t="s">
        <v>16</v>
      </c>
      <c r="C19" s="1">
        <v>6.34</v>
      </c>
      <c r="D19" s="1">
        <v>500</v>
      </c>
      <c r="E19" s="1">
        <v>26</v>
      </c>
      <c r="F19" s="3">
        <f t="shared" si="0"/>
        <v>13000</v>
      </c>
      <c r="G19" s="5">
        <f t="shared" si="1"/>
        <v>2050.4731861198738</v>
      </c>
      <c r="H19" s="3">
        <v>2555</v>
      </c>
      <c r="I19" s="3">
        <f t="shared" si="2"/>
        <v>5238958.9905362781</v>
      </c>
      <c r="J19" s="3">
        <v>23000</v>
      </c>
      <c r="K19" s="3">
        <f t="shared" si="3"/>
        <v>11500000</v>
      </c>
      <c r="L19" s="3">
        <f t="shared" si="4"/>
        <v>6261041.0094637219</v>
      </c>
    </row>
    <row r="20" spans="1:12" x14ac:dyDescent="0.2">
      <c r="A20" s="1"/>
      <c r="B20" s="1" t="s">
        <v>7</v>
      </c>
      <c r="C20" s="1">
        <v>6.34</v>
      </c>
      <c r="D20" s="1">
        <v>241</v>
      </c>
      <c r="E20" s="1">
        <v>17</v>
      </c>
      <c r="F20" s="3">
        <f t="shared" si="0"/>
        <v>4097</v>
      </c>
      <c r="G20" s="5">
        <f t="shared" si="1"/>
        <v>646.21451104100947</v>
      </c>
      <c r="H20" s="3">
        <v>2555</v>
      </c>
      <c r="I20" s="3">
        <f t="shared" si="2"/>
        <v>1651078.0757097795</v>
      </c>
      <c r="J20" s="3">
        <v>16000</v>
      </c>
      <c r="K20" s="3">
        <f t="shared" si="3"/>
        <v>3856000</v>
      </c>
      <c r="L20" s="3">
        <f t="shared" si="4"/>
        <v>2204921.9242902203</v>
      </c>
    </row>
    <row r="21" spans="1:12" x14ac:dyDescent="0.2">
      <c r="A21" s="1"/>
      <c r="B21" s="1" t="s">
        <v>17</v>
      </c>
      <c r="C21" s="1">
        <v>6.34</v>
      </c>
      <c r="D21" s="1">
        <v>100</v>
      </c>
      <c r="E21" s="1">
        <v>15</v>
      </c>
      <c r="F21" s="3">
        <f t="shared" si="0"/>
        <v>1500</v>
      </c>
      <c r="G21" s="5">
        <f t="shared" si="1"/>
        <v>236.59305993690853</v>
      </c>
      <c r="H21" s="3">
        <v>2555</v>
      </c>
      <c r="I21" s="3">
        <f t="shared" si="2"/>
        <v>604495.26813880121</v>
      </c>
      <c r="J21" s="3">
        <v>12000</v>
      </c>
      <c r="K21" s="3">
        <f t="shared" si="3"/>
        <v>1200000</v>
      </c>
      <c r="L21" s="3">
        <f t="shared" si="4"/>
        <v>595504.73186119879</v>
      </c>
    </row>
    <row r="22" spans="1:12" x14ac:dyDescent="0.2">
      <c r="A22" s="1"/>
      <c r="B22" s="1" t="s">
        <v>18</v>
      </c>
      <c r="C22" s="1">
        <v>6.34</v>
      </c>
      <c r="D22" s="1">
        <v>240</v>
      </c>
      <c r="E22" s="1">
        <v>13</v>
      </c>
      <c r="F22" s="3">
        <f t="shared" si="0"/>
        <v>3120</v>
      </c>
      <c r="G22" s="5">
        <f t="shared" si="1"/>
        <v>492.11356466876975</v>
      </c>
      <c r="H22" s="3">
        <v>2555</v>
      </c>
      <c r="I22" s="3">
        <f t="shared" si="2"/>
        <v>1257350.1577287067</v>
      </c>
      <c r="J22" s="3">
        <v>10000</v>
      </c>
      <c r="K22" s="3">
        <f t="shared" si="3"/>
        <v>2400000</v>
      </c>
      <c r="L22" s="3">
        <f t="shared" si="4"/>
        <v>1142649.8422712933</v>
      </c>
    </row>
    <row r="23" spans="1:12" x14ac:dyDescent="0.2">
      <c r="A23" s="1"/>
      <c r="B23" s="1" t="s">
        <v>19</v>
      </c>
      <c r="C23" s="1">
        <v>6.34</v>
      </c>
      <c r="D23" s="1">
        <v>230</v>
      </c>
      <c r="E23" s="1">
        <v>18</v>
      </c>
      <c r="F23" s="3">
        <f t="shared" si="0"/>
        <v>4140</v>
      </c>
      <c r="G23" s="5">
        <f t="shared" si="1"/>
        <v>652.99684542586749</v>
      </c>
      <c r="H23" s="3">
        <v>2555</v>
      </c>
      <c r="I23" s="3">
        <f t="shared" si="2"/>
        <v>1668406.9400630915</v>
      </c>
      <c r="J23" s="3">
        <v>16000</v>
      </c>
      <c r="K23" s="3">
        <f t="shared" si="3"/>
        <v>3680000</v>
      </c>
      <c r="L23" s="3">
        <f t="shared" si="4"/>
        <v>2011593.0599369085</v>
      </c>
    </row>
    <row r="24" spans="1:12" x14ac:dyDescent="0.2">
      <c r="A24" s="1"/>
      <c r="B24" s="1" t="s">
        <v>19</v>
      </c>
      <c r="C24" s="1">
        <v>6.34</v>
      </c>
      <c r="D24" s="1">
        <v>119</v>
      </c>
      <c r="E24" s="1">
        <v>11</v>
      </c>
      <c r="F24" s="3">
        <f t="shared" si="0"/>
        <v>1309</v>
      </c>
      <c r="G24" s="5">
        <f t="shared" si="1"/>
        <v>206.46687697160883</v>
      </c>
      <c r="H24" s="3">
        <v>2555</v>
      </c>
      <c r="I24" s="3">
        <f t="shared" si="2"/>
        <v>527522.87066246057</v>
      </c>
      <c r="J24" s="3">
        <v>16000</v>
      </c>
      <c r="K24" s="3">
        <f t="shared" si="3"/>
        <v>1904000</v>
      </c>
      <c r="L24" s="3">
        <f t="shared" si="4"/>
        <v>1376477.1293375394</v>
      </c>
    </row>
    <row r="25" spans="1:12" x14ac:dyDescent="0.2">
      <c r="A25" s="1"/>
      <c r="B25" s="1" t="s">
        <v>20</v>
      </c>
      <c r="C25" s="1">
        <v>6.34</v>
      </c>
      <c r="D25" s="1">
        <v>200</v>
      </c>
      <c r="E25" s="1">
        <v>11</v>
      </c>
      <c r="F25" s="3">
        <f t="shared" si="0"/>
        <v>2200</v>
      </c>
      <c r="G25" s="5">
        <f t="shared" si="1"/>
        <v>347.00315457413251</v>
      </c>
      <c r="H25" s="3">
        <v>2555</v>
      </c>
      <c r="I25" s="3">
        <f t="shared" si="2"/>
        <v>886593.05993690854</v>
      </c>
      <c r="J25" s="3">
        <v>10000</v>
      </c>
      <c r="K25" s="3">
        <f t="shared" si="3"/>
        <v>2000000</v>
      </c>
      <c r="L25" s="3">
        <f t="shared" si="4"/>
        <v>1113406.9400630915</v>
      </c>
    </row>
    <row r="26" spans="1:12" x14ac:dyDescent="0.2">
      <c r="A26" s="1"/>
      <c r="B26" s="1" t="s">
        <v>21</v>
      </c>
      <c r="C26" s="1">
        <v>6.34</v>
      </c>
      <c r="D26" s="1">
        <v>400</v>
      </c>
      <c r="E26" s="1">
        <v>12</v>
      </c>
      <c r="F26" s="3">
        <f t="shared" si="0"/>
        <v>4800</v>
      </c>
      <c r="G26" s="5">
        <f t="shared" si="1"/>
        <v>757.09779179810732</v>
      </c>
      <c r="H26" s="3">
        <v>2555</v>
      </c>
      <c r="I26" s="3">
        <f t="shared" si="2"/>
        <v>1934384.8580441643</v>
      </c>
      <c r="J26" s="3">
        <v>13000</v>
      </c>
      <c r="K26" s="3">
        <f t="shared" si="3"/>
        <v>5200000</v>
      </c>
      <c r="L26" s="3">
        <f t="shared" si="4"/>
        <v>3265615.1419558357</v>
      </c>
    </row>
    <row r="27" spans="1:12" x14ac:dyDescent="0.2">
      <c r="A27" s="1"/>
      <c r="B27" s="1" t="s">
        <v>21</v>
      </c>
      <c r="C27" s="1">
        <v>6.34</v>
      </c>
      <c r="D27" s="1">
        <v>600</v>
      </c>
      <c r="E27" s="1">
        <v>19</v>
      </c>
      <c r="F27" s="3">
        <f t="shared" si="0"/>
        <v>11400</v>
      </c>
      <c r="G27" s="5">
        <f t="shared" si="1"/>
        <v>1798.1072555205049</v>
      </c>
      <c r="H27" s="3">
        <v>2555</v>
      </c>
      <c r="I27" s="3">
        <f t="shared" si="2"/>
        <v>4594164.0378548894</v>
      </c>
      <c r="J27" s="3">
        <v>15000</v>
      </c>
      <c r="K27" s="3">
        <f t="shared" si="3"/>
        <v>9000000</v>
      </c>
      <c r="L27" s="3">
        <f t="shared" si="4"/>
        <v>4405835.9621451106</v>
      </c>
    </row>
    <row r="28" spans="1:12" x14ac:dyDescent="0.2">
      <c r="A28" s="1"/>
      <c r="B28" s="1" t="s">
        <v>21</v>
      </c>
      <c r="C28" s="1">
        <v>6.34</v>
      </c>
      <c r="D28" s="1">
        <v>600</v>
      </c>
      <c r="E28" s="1">
        <v>23</v>
      </c>
      <c r="F28" s="3">
        <f t="shared" si="0"/>
        <v>13800</v>
      </c>
      <c r="G28" s="5">
        <f t="shared" si="1"/>
        <v>2176.6561514195582</v>
      </c>
      <c r="H28" s="3">
        <v>2555</v>
      </c>
      <c r="I28" s="3">
        <f t="shared" si="2"/>
        <v>5561356.4668769725</v>
      </c>
      <c r="J28" s="3">
        <v>15000</v>
      </c>
      <c r="K28" s="3">
        <f t="shared" si="3"/>
        <v>9000000</v>
      </c>
      <c r="L28" s="3">
        <f t="shared" si="4"/>
        <v>3438643.5331230275</v>
      </c>
    </row>
    <row r="29" spans="1:12" x14ac:dyDescent="0.2">
      <c r="A29" s="1"/>
      <c r="B29" s="1" t="s">
        <v>21</v>
      </c>
      <c r="C29" s="1">
        <v>6.34</v>
      </c>
      <c r="D29" s="1">
        <v>600</v>
      </c>
      <c r="E29" s="1">
        <v>22</v>
      </c>
      <c r="F29" s="3">
        <f t="shared" si="0"/>
        <v>13200</v>
      </c>
      <c r="G29" s="5">
        <f t="shared" si="1"/>
        <v>2082.0189274447948</v>
      </c>
      <c r="H29" s="3">
        <v>2555</v>
      </c>
      <c r="I29" s="3">
        <f t="shared" si="2"/>
        <v>5319558.3596214512</v>
      </c>
      <c r="J29" s="3">
        <v>15000</v>
      </c>
      <c r="K29" s="3">
        <f t="shared" si="3"/>
        <v>9000000</v>
      </c>
      <c r="L29" s="3">
        <f t="shared" si="4"/>
        <v>3680441.6403785488</v>
      </c>
    </row>
    <row r="30" spans="1:12" x14ac:dyDescent="0.2">
      <c r="A30" s="1"/>
      <c r="B30" s="1" t="s">
        <v>7</v>
      </c>
      <c r="C30" s="1">
        <v>6.34</v>
      </c>
      <c r="D30" s="1">
        <v>34</v>
      </c>
      <c r="E30" s="1">
        <v>15</v>
      </c>
      <c r="F30" s="3">
        <f t="shared" si="0"/>
        <v>510</v>
      </c>
      <c r="G30" s="5">
        <f t="shared" si="1"/>
        <v>80.441640378548897</v>
      </c>
      <c r="H30" s="3">
        <v>2555</v>
      </c>
      <c r="I30" s="3">
        <f t="shared" si="2"/>
        <v>205528.3911671924</v>
      </c>
      <c r="J30" s="3">
        <v>16000</v>
      </c>
      <c r="K30" s="3">
        <f t="shared" si="3"/>
        <v>544000</v>
      </c>
      <c r="L30" s="3">
        <f t="shared" si="4"/>
        <v>338471.60883280763</v>
      </c>
    </row>
    <row r="31" spans="1:12" x14ac:dyDescent="0.2">
      <c r="A31" s="1"/>
      <c r="B31" s="1" t="s">
        <v>22</v>
      </c>
      <c r="C31" s="1">
        <v>6.34</v>
      </c>
      <c r="D31" s="1">
        <v>120</v>
      </c>
      <c r="E31" s="1">
        <v>6</v>
      </c>
      <c r="F31" s="3">
        <f t="shared" si="0"/>
        <v>720</v>
      </c>
      <c r="G31" s="5">
        <f t="shared" si="1"/>
        <v>113.56466876971609</v>
      </c>
      <c r="H31" s="3">
        <v>2555</v>
      </c>
      <c r="I31" s="3">
        <f t="shared" si="2"/>
        <v>290157.72870662459</v>
      </c>
      <c r="J31" s="3">
        <v>10000</v>
      </c>
      <c r="K31" s="3">
        <f t="shared" si="3"/>
        <v>1200000</v>
      </c>
      <c r="L31" s="3">
        <f t="shared" si="4"/>
        <v>909842.27129337541</v>
      </c>
    </row>
    <row r="32" spans="1:12" x14ac:dyDescent="0.2">
      <c r="A32" s="1"/>
      <c r="B32" s="1" t="s">
        <v>7</v>
      </c>
      <c r="C32" s="1">
        <v>6.34</v>
      </c>
      <c r="D32" s="1">
        <v>500</v>
      </c>
      <c r="E32" s="1">
        <v>23</v>
      </c>
      <c r="F32" s="3">
        <f t="shared" si="0"/>
        <v>11500</v>
      </c>
      <c r="G32" s="5">
        <f t="shared" si="1"/>
        <v>1813.8801261829653</v>
      </c>
      <c r="H32" s="3">
        <v>2555</v>
      </c>
      <c r="I32" s="3">
        <f t="shared" si="2"/>
        <v>4634463.7223974764</v>
      </c>
      <c r="J32" s="3">
        <v>16000</v>
      </c>
      <c r="K32" s="3">
        <f t="shared" si="3"/>
        <v>8000000</v>
      </c>
      <c r="L32" s="3">
        <f t="shared" si="4"/>
        <v>3365536.2776025236</v>
      </c>
    </row>
    <row r="33" spans="1:13" x14ac:dyDescent="0.2">
      <c r="A33" s="16" t="s">
        <v>24</v>
      </c>
      <c r="B33" s="1"/>
      <c r="C33" s="1"/>
      <c r="D33" s="1"/>
      <c r="E33" s="1"/>
      <c r="F33" s="3"/>
      <c r="G33" s="14">
        <f>SUM(G3:G32)</f>
        <v>35931.230283911667</v>
      </c>
      <c r="H33" s="3"/>
      <c r="I33" s="15">
        <f>SUM(I3:I32)</f>
        <v>91804293.375394344</v>
      </c>
      <c r="J33" s="6"/>
      <c r="K33" s="15">
        <f>SUM(K3:K32)</f>
        <v>169580000</v>
      </c>
      <c r="L33" s="6">
        <f>SUM(L3:L32)</f>
        <v>77775706.624605671</v>
      </c>
      <c r="M33" s="7"/>
    </row>
    <row r="34" spans="1:13" x14ac:dyDescent="0.2">
      <c r="A34" s="1"/>
      <c r="B34" s="1"/>
      <c r="C34" s="1"/>
      <c r="D34" s="1"/>
      <c r="E34" s="1"/>
      <c r="F34" s="3"/>
      <c r="G34" s="5"/>
      <c r="H34" s="3"/>
      <c r="I34" s="3"/>
      <c r="J34" s="3"/>
      <c r="K34" s="3"/>
      <c r="L34" s="3"/>
    </row>
    <row r="35" spans="1:13" x14ac:dyDescent="0.2">
      <c r="A35" s="1"/>
      <c r="B35" s="1"/>
      <c r="C35" s="1"/>
      <c r="D35" s="5" t="s">
        <v>39</v>
      </c>
      <c r="E35" s="3" t="s">
        <v>27</v>
      </c>
      <c r="F35" s="18">
        <v>3200000</v>
      </c>
      <c r="G35" s="5"/>
      <c r="H35" s="3"/>
      <c r="I35" s="3"/>
      <c r="J35" s="3"/>
      <c r="K35" s="3"/>
      <c r="L35" s="3"/>
    </row>
    <row r="36" spans="1:13" x14ac:dyDescent="0.2">
      <c r="A36" s="1"/>
      <c r="B36" s="5"/>
      <c r="C36" s="3"/>
      <c r="D36" s="5"/>
      <c r="E36" s="3" t="s">
        <v>33</v>
      </c>
      <c r="F36" s="5"/>
      <c r="G36" s="17"/>
      <c r="H36" s="3" t="s">
        <v>25</v>
      </c>
      <c r="I36" s="15">
        <v>91804293</v>
      </c>
      <c r="J36" s="3"/>
      <c r="K36" s="3"/>
      <c r="L36" s="3"/>
    </row>
    <row r="37" spans="1:13" x14ac:dyDescent="0.2">
      <c r="A37" s="1"/>
      <c r="B37" s="5"/>
      <c r="C37" s="3"/>
      <c r="D37" s="5"/>
      <c r="E37" s="3" t="s">
        <v>29</v>
      </c>
      <c r="F37" s="22">
        <v>4000000</v>
      </c>
      <c r="G37" s="5"/>
      <c r="H37" s="3" t="s">
        <v>27</v>
      </c>
      <c r="I37" s="9">
        <f>F45+F40+F35</f>
        <v>5180000</v>
      </c>
      <c r="J37" s="3"/>
      <c r="K37" s="3"/>
      <c r="L37" s="3"/>
    </row>
    <row r="38" spans="1:13" x14ac:dyDescent="0.2">
      <c r="A38" s="1"/>
      <c r="B38" s="5"/>
      <c r="C38" s="3"/>
      <c r="D38" s="5"/>
      <c r="E38" s="3" t="s">
        <v>34</v>
      </c>
      <c r="F38" s="20">
        <f>F35+F37</f>
        <v>7200000</v>
      </c>
      <c r="G38" s="17"/>
      <c r="H38" s="3" t="s">
        <v>26</v>
      </c>
      <c r="I38" s="3">
        <v>2850000</v>
      </c>
      <c r="J38" s="3"/>
      <c r="K38" s="3"/>
      <c r="L38" s="3"/>
    </row>
    <row r="39" spans="1:13" x14ac:dyDescent="0.2">
      <c r="A39" s="1"/>
      <c r="B39" s="5"/>
      <c r="C39" s="3"/>
      <c r="D39" s="5"/>
      <c r="E39" s="3"/>
      <c r="F39" s="5"/>
      <c r="G39" s="20"/>
      <c r="H39" s="3" t="s">
        <v>33</v>
      </c>
      <c r="I39" s="3">
        <v>300000</v>
      </c>
      <c r="J39" s="3"/>
      <c r="K39" s="3"/>
      <c r="L39" s="3"/>
    </row>
    <row r="40" spans="1:13" x14ac:dyDescent="0.2">
      <c r="A40" s="1"/>
      <c r="B40" s="5"/>
      <c r="C40" s="3"/>
      <c r="D40" s="5" t="s">
        <v>37</v>
      </c>
      <c r="E40" s="3" t="s">
        <v>27</v>
      </c>
      <c r="F40" s="18">
        <v>1730000</v>
      </c>
      <c r="G40" s="5"/>
      <c r="H40" s="3" t="s">
        <v>31</v>
      </c>
      <c r="I40" s="3">
        <v>4500000</v>
      </c>
      <c r="J40" s="3"/>
      <c r="K40" s="3"/>
      <c r="L40" s="3"/>
    </row>
    <row r="41" spans="1:13" x14ac:dyDescent="0.2">
      <c r="A41" s="1"/>
      <c r="B41" s="5"/>
      <c r="C41" s="3"/>
      <c r="D41" s="5"/>
      <c r="E41" s="3" t="s">
        <v>33</v>
      </c>
      <c r="F41" s="5"/>
      <c r="G41" s="5"/>
      <c r="H41" s="3" t="s">
        <v>36</v>
      </c>
      <c r="I41" s="3">
        <v>3500000</v>
      </c>
      <c r="J41" s="3"/>
      <c r="K41" s="3"/>
      <c r="L41" s="3"/>
    </row>
    <row r="42" spans="1:13" x14ac:dyDescent="0.2">
      <c r="A42" s="1"/>
      <c r="B42" s="5"/>
      <c r="C42" s="3"/>
      <c r="D42" s="5"/>
      <c r="E42" s="3" t="s">
        <v>29</v>
      </c>
      <c r="F42" s="22">
        <v>1219900</v>
      </c>
      <c r="G42" s="17"/>
      <c r="H42" s="3" t="s">
        <v>29</v>
      </c>
      <c r="I42" s="23">
        <f>F47+F42+F37</f>
        <v>5909900</v>
      </c>
      <c r="J42" s="3"/>
      <c r="K42" s="3"/>
      <c r="L42" s="3"/>
    </row>
    <row r="43" spans="1:13" x14ac:dyDescent="0.2">
      <c r="A43" s="1"/>
      <c r="B43" s="5"/>
      <c r="C43" s="3"/>
      <c r="D43" s="5"/>
      <c r="E43" s="3" t="s">
        <v>34</v>
      </c>
      <c r="F43" s="20">
        <f>F40+F42</f>
        <v>2949900</v>
      </c>
      <c r="G43" s="5"/>
      <c r="H43" s="3" t="s">
        <v>34</v>
      </c>
      <c r="I43" s="26">
        <f>SUM(I36:I42)</f>
        <v>114044193</v>
      </c>
      <c r="J43" s="3"/>
      <c r="K43" s="3"/>
      <c r="L43" s="3"/>
    </row>
    <row r="44" spans="1:13" x14ac:dyDescent="0.2">
      <c r="A44" s="1"/>
      <c r="B44" s="5"/>
      <c r="C44" s="3"/>
      <c r="D44" s="5"/>
      <c r="E44" s="5"/>
      <c r="F44" s="3"/>
      <c r="G44" s="17"/>
      <c r="H44" s="3" t="s">
        <v>6</v>
      </c>
      <c r="I44" s="25">
        <v>169580000</v>
      </c>
      <c r="J44" s="3"/>
      <c r="K44" s="3"/>
      <c r="L44" s="3"/>
    </row>
    <row r="45" spans="1:13" ht="18" x14ac:dyDescent="0.35">
      <c r="A45" s="1"/>
      <c r="B45" s="5"/>
      <c r="C45" s="3"/>
      <c r="D45" s="5" t="s">
        <v>38</v>
      </c>
      <c r="E45" s="3" t="s">
        <v>27</v>
      </c>
      <c r="F45" s="19">
        <v>250000</v>
      </c>
      <c r="G45" s="20"/>
      <c r="H45" s="3" t="s">
        <v>35</v>
      </c>
      <c r="I45" s="21">
        <f>I44-I43</f>
        <v>55535807</v>
      </c>
      <c r="J45" s="3"/>
      <c r="K45" s="3"/>
      <c r="L45" s="3"/>
    </row>
    <row r="46" spans="1:13" x14ac:dyDescent="0.2">
      <c r="A46" s="1"/>
      <c r="B46" s="5"/>
      <c r="C46" s="3"/>
      <c r="D46" s="5"/>
      <c r="E46" s="3" t="s">
        <v>33</v>
      </c>
      <c r="F46" s="3"/>
      <c r="G46" s="5"/>
      <c r="H46" s="3"/>
      <c r="I46" s="3"/>
      <c r="J46" s="3"/>
      <c r="K46" s="3"/>
      <c r="L46" s="3"/>
    </row>
    <row r="47" spans="1:13" x14ac:dyDescent="0.2">
      <c r="A47" s="1"/>
      <c r="B47" s="5"/>
      <c r="C47" s="3"/>
      <c r="D47" s="5"/>
      <c r="E47" s="3" t="s">
        <v>29</v>
      </c>
      <c r="F47" s="24">
        <v>690000</v>
      </c>
      <c r="G47" s="3"/>
      <c r="H47" s="3"/>
      <c r="I47" s="3"/>
      <c r="J47" s="3"/>
      <c r="K47" s="3"/>
      <c r="L47" s="3"/>
    </row>
    <row r="48" spans="1:13" x14ac:dyDescent="0.2">
      <c r="A48" s="1"/>
      <c r="B48" s="5"/>
      <c r="C48" s="3"/>
      <c r="D48" s="5"/>
      <c r="E48" s="3" t="s">
        <v>34</v>
      </c>
      <c r="F48" s="6">
        <f>F45+F47</f>
        <v>940000</v>
      </c>
      <c r="G48" s="3"/>
      <c r="H48" s="3"/>
      <c r="I48" s="3"/>
      <c r="J48" s="3"/>
      <c r="K48" s="3"/>
      <c r="L48" s="3"/>
    </row>
    <row r="49" spans="1:12" x14ac:dyDescent="0.2">
      <c r="A49" s="1"/>
      <c r="B49" s="5"/>
      <c r="C49" s="3"/>
      <c r="D49" s="5"/>
      <c r="E49" s="5"/>
      <c r="F49" s="3"/>
      <c r="G49" s="3"/>
      <c r="H49" s="3"/>
      <c r="I49" s="3"/>
      <c r="J49" s="3"/>
      <c r="K49" s="3"/>
      <c r="L49" s="3"/>
    </row>
    <row r="50" spans="1:12" x14ac:dyDescent="0.2">
      <c r="A50" s="1"/>
      <c r="B50" s="5"/>
      <c r="C50" s="3"/>
      <c r="D50" s="5"/>
      <c r="E50" s="5"/>
      <c r="F50" s="3"/>
      <c r="G50" s="6"/>
      <c r="H50" s="3"/>
      <c r="I50" s="3"/>
      <c r="J50" s="3"/>
      <c r="K50" s="3"/>
      <c r="L50" s="3"/>
    </row>
    <row r="51" spans="1:12" x14ac:dyDescent="0.2">
      <c r="A51" s="1"/>
      <c r="B51" s="5"/>
      <c r="C51" s="3"/>
      <c r="D51" s="5"/>
      <c r="E51" s="3"/>
      <c r="F51" s="3"/>
      <c r="G51" s="5"/>
      <c r="H51" s="3"/>
      <c r="I51" s="3"/>
      <c r="J51" s="3"/>
      <c r="K51" s="3"/>
      <c r="L51" s="3"/>
    </row>
    <row r="52" spans="1:12" x14ac:dyDescent="0.2">
      <c r="A52" s="1"/>
      <c r="B52" s="5"/>
      <c r="D52" s="5"/>
      <c r="E52" s="3"/>
      <c r="F52" s="3"/>
      <c r="G52" s="5"/>
      <c r="H52" s="3"/>
      <c r="I52" s="3"/>
      <c r="J52" s="3"/>
      <c r="K52" s="3"/>
      <c r="L52" s="3"/>
    </row>
    <row r="53" spans="1:12" x14ac:dyDescent="0.2">
      <c r="A53" s="1"/>
      <c r="B53" s="5"/>
      <c r="C53" s="3"/>
      <c r="D53" s="5"/>
      <c r="E53" s="3"/>
      <c r="F53" s="3"/>
      <c r="G53" s="5"/>
      <c r="H53" s="3"/>
      <c r="I53" s="3"/>
      <c r="J53" s="3"/>
      <c r="K53" s="3"/>
      <c r="L53" s="3"/>
    </row>
    <row r="54" spans="1:12" x14ac:dyDescent="0.2">
      <c r="A54" s="1"/>
      <c r="B54" s="5"/>
      <c r="C54" s="3"/>
      <c r="D54" s="5"/>
      <c r="E54" s="3"/>
      <c r="F54" s="3"/>
      <c r="G54" s="5"/>
      <c r="H54" s="3"/>
      <c r="I54" s="3"/>
      <c r="J54" s="3"/>
      <c r="K54" s="3"/>
      <c r="L54" s="3"/>
    </row>
    <row r="55" spans="1:12" x14ac:dyDescent="0.2">
      <c r="A55" s="1"/>
      <c r="B55" s="5"/>
      <c r="C55" s="3"/>
      <c r="D55" s="5"/>
      <c r="E55" s="3"/>
      <c r="F55" s="3"/>
      <c r="G55" s="5"/>
      <c r="H55" s="3"/>
      <c r="I55" s="3"/>
      <c r="J55" s="3"/>
      <c r="K55" s="3"/>
      <c r="L55" s="3"/>
    </row>
    <row r="56" spans="1:12" x14ac:dyDescent="0.2">
      <c r="A56" s="1"/>
      <c r="B56" s="5"/>
      <c r="C56" s="3"/>
      <c r="D56" s="5"/>
      <c r="E56" s="3"/>
      <c r="F56" s="3"/>
      <c r="G56" s="5"/>
      <c r="H56" s="3"/>
      <c r="I56" s="3"/>
      <c r="J56" s="3"/>
      <c r="K56" s="3"/>
      <c r="L56" s="3"/>
    </row>
    <row r="57" spans="1:12" x14ac:dyDescent="0.2">
      <c r="A57" s="1"/>
      <c r="B57" s="1"/>
      <c r="C57" s="1"/>
      <c r="D57" s="1"/>
      <c r="E57" s="1"/>
      <c r="F57" s="3"/>
      <c r="G57" s="5"/>
      <c r="H57" s="3"/>
      <c r="I57" s="3"/>
      <c r="J57" s="3"/>
      <c r="K57" s="3"/>
      <c r="L57" s="3"/>
    </row>
    <row r="58" spans="1:12" x14ac:dyDescent="0.2">
      <c r="A58" s="1"/>
      <c r="B58" s="1"/>
      <c r="C58" s="1"/>
      <c r="D58" s="1"/>
      <c r="E58" s="1"/>
      <c r="F58" s="3"/>
      <c r="G58" s="5"/>
      <c r="H58" s="3"/>
      <c r="I58" s="3"/>
      <c r="J58" s="3"/>
      <c r="K58" s="3"/>
      <c r="L58" s="3"/>
    </row>
    <row r="59" spans="1:12" x14ac:dyDescent="0.2">
      <c r="A59" s="1"/>
      <c r="B59" s="1"/>
      <c r="C59" s="1"/>
      <c r="D59" s="1"/>
      <c r="E59" s="1"/>
      <c r="F59" s="3"/>
      <c r="G59" s="5"/>
      <c r="H59" s="3"/>
      <c r="I59" s="3"/>
      <c r="J59" s="3"/>
      <c r="K59" s="3"/>
      <c r="L59" s="3"/>
    </row>
    <row r="60" spans="1:12" x14ac:dyDescent="0.2">
      <c r="A60" s="1"/>
      <c r="B60" s="1"/>
      <c r="C60" s="1"/>
      <c r="D60" s="1"/>
      <c r="E60" s="1"/>
      <c r="F60" s="3"/>
      <c r="G60" s="5"/>
      <c r="H60" s="3"/>
      <c r="I60" s="3"/>
      <c r="J60" s="3"/>
      <c r="K60" s="3"/>
      <c r="L60" s="3"/>
    </row>
    <row r="61" spans="1:12" x14ac:dyDescent="0.2">
      <c r="A61" s="1"/>
      <c r="B61" s="1"/>
      <c r="C61" s="1"/>
      <c r="D61" s="1"/>
      <c r="E61" s="1"/>
      <c r="F61" s="3"/>
      <c r="G61" s="5"/>
      <c r="H61" s="3"/>
      <c r="I61" s="3"/>
      <c r="J61" s="3"/>
      <c r="K61" s="3"/>
      <c r="L61" s="3"/>
    </row>
    <row r="62" spans="1:12" x14ac:dyDescent="0.2">
      <c r="A62" s="1"/>
      <c r="B62" s="1"/>
      <c r="C62" s="1"/>
      <c r="D62" s="1"/>
      <c r="E62" s="1"/>
      <c r="F62" s="3"/>
      <c r="G62" s="5"/>
      <c r="H62" s="3"/>
      <c r="I62" s="3"/>
      <c r="J62" s="3"/>
      <c r="K62" s="3"/>
      <c r="L62" s="3"/>
    </row>
    <row r="63" spans="1:12" x14ac:dyDescent="0.2">
      <c r="A63" s="1"/>
      <c r="B63" s="1"/>
      <c r="C63" s="1"/>
      <c r="D63" s="1"/>
      <c r="E63" s="1"/>
      <c r="F63" s="3"/>
      <c r="G63" s="5"/>
      <c r="H63" s="3"/>
      <c r="I63" s="3"/>
      <c r="J63" s="3"/>
      <c r="K63" s="3"/>
      <c r="L63" s="3"/>
    </row>
    <row r="64" spans="1:12" x14ac:dyDescent="0.2">
      <c r="A64" s="1"/>
      <c r="B64" s="1"/>
      <c r="C64" s="1"/>
      <c r="D64" s="1"/>
      <c r="E64" s="1"/>
      <c r="F64" s="3"/>
      <c r="G64" s="5"/>
      <c r="H64" s="3"/>
      <c r="I64" s="3"/>
      <c r="J64" s="3"/>
      <c r="K64" s="3"/>
      <c r="L64" s="3"/>
    </row>
    <row r="65" spans="1:12" x14ac:dyDescent="0.2">
      <c r="A65" s="1"/>
      <c r="B65" s="1"/>
      <c r="C65" s="1"/>
      <c r="D65" s="1"/>
      <c r="E65" s="1"/>
      <c r="F65" s="3"/>
      <c r="G65" s="5"/>
      <c r="H65" s="3"/>
      <c r="I65" s="3"/>
      <c r="J65" s="3"/>
      <c r="K65" s="3"/>
      <c r="L65" s="3"/>
    </row>
    <row r="66" spans="1:12" x14ac:dyDescent="0.2">
      <c r="A66" s="1"/>
      <c r="B66" s="1"/>
      <c r="C66" s="1"/>
      <c r="D66" s="1"/>
      <c r="E66" s="1"/>
      <c r="F66" s="3"/>
      <c r="G66" s="5"/>
      <c r="H66" s="3"/>
      <c r="I66" s="3"/>
      <c r="J66" s="3"/>
      <c r="K66" s="3"/>
      <c r="L66" s="3"/>
    </row>
    <row r="67" spans="1:12" x14ac:dyDescent="0.2">
      <c r="A67" s="1"/>
      <c r="B67" s="1"/>
      <c r="C67" s="1"/>
      <c r="D67" s="1"/>
      <c r="E67" s="1"/>
      <c r="F67" s="3"/>
      <c r="G67" s="5"/>
      <c r="H67" s="3"/>
      <c r="I67" s="3"/>
      <c r="J67" s="3"/>
      <c r="K67" s="3"/>
      <c r="L67" s="3"/>
    </row>
    <row r="68" spans="1:12" x14ac:dyDescent="0.2">
      <c r="A68" s="1"/>
      <c r="B68" s="1"/>
      <c r="C68" s="1"/>
      <c r="D68" s="1"/>
      <c r="E68" s="1"/>
      <c r="F68" s="3"/>
      <c r="G68" s="1"/>
      <c r="H68" s="3"/>
      <c r="I68" s="3"/>
      <c r="J68" s="3"/>
      <c r="K68" s="3"/>
      <c r="L6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workbookViewId="0">
      <selection activeCell="C13" sqref="C13"/>
    </sheetView>
  </sheetViews>
  <sheetFormatPr baseColWidth="10" defaultColWidth="9.1640625" defaultRowHeight="15" x14ac:dyDescent="0.2"/>
  <cols>
    <col min="1" max="1" width="10.83203125" customWidth="1"/>
    <col min="2" max="2" width="13.5" customWidth="1"/>
    <col min="4" max="4" width="22.33203125" customWidth="1"/>
    <col min="5" max="5" width="10.83203125" customWidth="1"/>
    <col min="6" max="6" width="14.83203125" customWidth="1"/>
    <col min="7" max="7" width="10.83203125" customWidth="1"/>
    <col min="8" max="8" width="12" customWidth="1"/>
    <col min="9" max="9" width="12.5" customWidth="1"/>
    <col min="10" max="10" width="16.83203125" customWidth="1"/>
    <col min="11" max="11" width="17.83203125" customWidth="1"/>
    <col min="12" max="12" width="17.6640625" customWidth="1"/>
  </cols>
  <sheetData>
    <row r="1" spans="1:13" x14ac:dyDescent="0.2">
      <c r="A1" t="s">
        <v>13</v>
      </c>
      <c r="F1" s="4"/>
      <c r="H1" s="4"/>
      <c r="I1" s="4"/>
      <c r="J1" s="4"/>
      <c r="K1" s="4"/>
      <c r="L1" s="4"/>
    </row>
    <row r="2" spans="1:13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11</v>
      </c>
      <c r="F2" s="3" t="s">
        <v>8</v>
      </c>
      <c r="G2" s="1" t="s">
        <v>4</v>
      </c>
      <c r="H2" s="3" t="s">
        <v>5</v>
      </c>
      <c r="I2" s="3" t="s">
        <v>30</v>
      </c>
      <c r="J2" s="3" t="s">
        <v>10</v>
      </c>
      <c r="K2" s="3" t="s">
        <v>6</v>
      </c>
      <c r="L2" s="3" t="s">
        <v>12</v>
      </c>
    </row>
    <row r="3" spans="1:13" x14ac:dyDescent="0.2">
      <c r="A3" s="2">
        <v>40940</v>
      </c>
      <c r="B3" s="1" t="s">
        <v>7</v>
      </c>
      <c r="C3" s="1">
        <v>6.28</v>
      </c>
      <c r="D3" s="1">
        <v>400</v>
      </c>
      <c r="E3" s="1">
        <v>22</v>
      </c>
      <c r="F3" s="3">
        <f>D3*E3</f>
        <v>8800</v>
      </c>
      <c r="G3" s="5">
        <f>F3/C3</f>
        <v>1401.2738853503183</v>
      </c>
      <c r="H3" s="3">
        <v>2475</v>
      </c>
      <c r="I3" s="3">
        <f>E3/C3*H3*D3</f>
        <v>3468152.8662420381</v>
      </c>
      <c r="J3" s="3">
        <v>16000</v>
      </c>
      <c r="K3" s="3">
        <f>J3*D3</f>
        <v>6400000</v>
      </c>
      <c r="L3" s="3">
        <f>K3-I3</f>
        <v>2931847.1337579619</v>
      </c>
    </row>
    <row r="4" spans="1:13" x14ac:dyDescent="0.2">
      <c r="A4" s="1"/>
      <c r="B4" s="1" t="s">
        <v>7</v>
      </c>
      <c r="C4" s="1">
        <v>6.28</v>
      </c>
      <c r="D4" s="1">
        <v>500</v>
      </c>
      <c r="E4" s="1">
        <v>23</v>
      </c>
      <c r="F4" s="3">
        <f t="shared" ref="F4:F14" si="0">D4*E4</f>
        <v>11500</v>
      </c>
      <c r="G4" s="5">
        <f t="shared" ref="G4:G14" si="1">F4/C4</f>
        <v>1831.2101910828026</v>
      </c>
      <c r="H4" s="3">
        <v>2475</v>
      </c>
      <c r="I4" s="3">
        <f t="shared" ref="I4:I14" si="2">E4/C4*H4*D4</f>
        <v>4532245.2229299359</v>
      </c>
      <c r="J4" s="3">
        <v>16000</v>
      </c>
      <c r="K4" s="3">
        <f t="shared" ref="K4:K14" si="3">J4*D4</f>
        <v>8000000</v>
      </c>
      <c r="L4" s="3">
        <f t="shared" ref="L4:L14" si="4">K4-I4</f>
        <v>3467754.7770700641</v>
      </c>
    </row>
    <row r="5" spans="1:13" x14ac:dyDescent="0.2">
      <c r="A5" s="1"/>
      <c r="B5" s="1" t="s">
        <v>7</v>
      </c>
      <c r="C5" s="1">
        <v>6.28</v>
      </c>
      <c r="D5" s="1">
        <v>800</v>
      </c>
      <c r="E5" s="1">
        <v>23</v>
      </c>
      <c r="F5" s="3">
        <f t="shared" si="0"/>
        <v>18400</v>
      </c>
      <c r="G5" s="5">
        <f t="shared" si="1"/>
        <v>2929.936305732484</v>
      </c>
      <c r="H5" s="3">
        <v>2475</v>
      </c>
      <c r="I5" s="3">
        <f t="shared" si="2"/>
        <v>7251592.3566878978</v>
      </c>
      <c r="J5" s="3">
        <v>16000</v>
      </c>
      <c r="K5" s="3">
        <f t="shared" si="3"/>
        <v>12800000</v>
      </c>
      <c r="L5" s="3">
        <f t="shared" si="4"/>
        <v>5548407.6433121022</v>
      </c>
    </row>
    <row r="6" spans="1:13" x14ac:dyDescent="0.2">
      <c r="A6" s="1"/>
      <c r="B6" s="1" t="s">
        <v>7</v>
      </c>
      <c r="C6" s="1">
        <v>6.28</v>
      </c>
      <c r="D6" s="1">
        <v>350</v>
      </c>
      <c r="E6" s="1">
        <v>22</v>
      </c>
      <c r="F6" s="3">
        <f t="shared" si="0"/>
        <v>7700</v>
      </c>
      <c r="G6" s="5">
        <f t="shared" si="1"/>
        <v>1226.1146496815286</v>
      </c>
      <c r="H6" s="3">
        <v>2475</v>
      </c>
      <c r="I6" s="3">
        <f t="shared" si="2"/>
        <v>3034633.7579617831</v>
      </c>
      <c r="J6" s="3">
        <v>18000</v>
      </c>
      <c r="K6" s="3">
        <f t="shared" si="3"/>
        <v>6300000</v>
      </c>
      <c r="L6" s="3">
        <f t="shared" si="4"/>
        <v>3265366.2420382169</v>
      </c>
    </row>
    <row r="7" spans="1:13" x14ac:dyDescent="0.2">
      <c r="A7" s="1"/>
      <c r="B7" s="1" t="s">
        <v>7</v>
      </c>
      <c r="C7" s="1">
        <v>6.28</v>
      </c>
      <c r="D7" s="1">
        <v>388</v>
      </c>
      <c r="E7" s="1">
        <v>35</v>
      </c>
      <c r="F7" s="3">
        <f t="shared" si="0"/>
        <v>13580</v>
      </c>
      <c r="G7" s="5">
        <f t="shared" si="1"/>
        <v>2162.4203821656051</v>
      </c>
      <c r="H7" s="3">
        <v>2475</v>
      </c>
      <c r="I7" s="3">
        <f t="shared" si="2"/>
        <v>5351990.4458598718</v>
      </c>
      <c r="J7" s="3">
        <v>16000</v>
      </c>
      <c r="K7" s="3">
        <f t="shared" si="3"/>
        <v>6208000</v>
      </c>
      <c r="L7" s="3">
        <f t="shared" si="4"/>
        <v>856009.5541401282</v>
      </c>
    </row>
    <row r="8" spans="1:13" x14ac:dyDescent="0.2">
      <c r="A8" s="1"/>
      <c r="B8" s="1" t="s">
        <v>21</v>
      </c>
      <c r="C8" s="1">
        <v>6.28</v>
      </c>
      <c r="D8" s="1">
        <v>500</v>
      </c>
      <c r="E8" s="1">
        <v>20.5</v>
      </c>
      <c r="F8" s="3">
        <f t="shared" si="0"/>
        <v>10250</v>
      </c>
      <c r="G8" s="5">
        <f t="shared" si="1"/>
        <v>1632.1656050955414</v>
      </c>
      <c r="H8" s="3">
        <v>2475</v>
      </c>
      <c r="I8" s="3">
        <f t="shared" si="2"/>
        <v>4039609.8726114645</v>
      </c>
      <c r="J8" s="3">
        <v>15000</v>
      </c>
      <c r="K8" s="3">
        <f t="shared" si="3"/>
        <v>7500000</v>
      </c>
      <c r="L8" s="3">
        <f t="shared" si="4"/>
        <v>3460390.1273885355</v>
      </c>
    </row>
    <row r="9" spans="1:13" x14ac:dyDescent="0.2">
      <c r="A9" s="1"/>
      <c r="B9" s="1" t="s">
        <v>21</v>
      </c>
      <c r="C9" s="1">
        <v>6.28</v>
      </c>
      <c r="D9" s="1">
        <v>440</v>
      </c>
      <c r="E9" s="1">
        <v>13</v>
      </c>
      <c r="F9" s="3">
        <f t="shared" si="0"/>
        <v>5720</v>
      </c>
      <c r="G9" s="5">
        <f t="shared" si="1"/>
        <v>910.828025477707</v>
      </c>
      <c r="H9" s="3">
        <v>2475</v>
      </c>
      <c r="I9" s="3">
        <f t="shared" si="2"/>
        <v>2254299.3630573247</v>
      </c>
      <c r="J9" s="3">
        <v>13000</v>
      </c>
      <c r="K9" s="3">
        <f t="shared" si="3"/>
        <v>5720000</v>
      </c>
      <c r="L9" s="3">
        <f t="shared" si="4"/>
        <v>3465700.6369426753</v>
      </c>
    </row>
    <row r="10" spans="1:13" x14ac:dyDescent="0.2">
      <c r="A10" s="1"/>
      <c r="B10" s="1" t="s">
        <v>23</v>
      </c>
      <c r="C10" s="1">
        <v>6.28</v>
      </c>
      <c r="D10" s="1">
        <v>500</v>
      </c>
      <c r="E10" s="1">
        <v>11</v>
      </c>
      <c r="F10" s="3">
        <f t="shared" si="0"/>
        <v>5500</v>
      </c>
      <c r="G10" s="5">
        <f t="shared" si="1"/>
        <v>875.79617834394901</v>
      </c>
      <c r="H10" s="3">
        <v>2475</v>
      </c>
      <c r="I10" s="3">
        <f t="shared" si="2"/>
        <v>2167595.5414012736</v>
      </c>
      <c r="J10" s="3">
        <v>10000</v>
      </c>
      <c r="K10" s="3">
        <f t="shared" si="3"/>
        <v>5000000</v>
      </c>
      <c r="L10" s="3">
        <f t="shared" si="4"/>
        <v>2832404.4585987264</v>
      </c>
    </row>
    <row r="11" spans="1:13" x14ac:dyDescent="0.2">
      <c r="A11" s="1"/>
      <c r="B11" s="1" t="s">
        <v>23</v>
      </c>
      <c r="C11" s="1">
        <v>6.28</v>
      </c>
      <c r="D11" s="1">
        <v>120</v>
      </c>
      <c r="E11" s="1">
        <v>11</v>
      </c>
      <c r="F11" s="3">
        <f t="shared" si="0"/>
        <v>1320</v>
      </c>
      <c r="G11" s="5">
        <f t="shared" si="1"/>
        <v>210.19108280254775</v>
      </c>
      <c r="H11" s="3">
        <v>2475</v>
      </c>
      <c r="I11" s="3">
        <f t="shared" si="2"/>
        <v>520222.92993630568</v>
      </c>
      <c r="J11" s="3">
        <v>10000</v>
      </c>
      <c r="K11" s="3">
        <f t="shared" si="3"/>
        <v>1200000</v>
      </c>
      <c r="L11" s="3">
        <f t="shared" si="4"/>
        <v>679777.07006369438</v>
      </c>
    </row>
    <row r="12" spans="1:13" x14ac:dyDescent="0.2">
      <c r="A12" s="1"/>
      <c r="B12" s="1" t="s">
        <v>23</v>
      </c>
      <c r="C12" s="1">
        <v>6.28</v>
      </c>
      <c r="D12" s="1">
        <v>828</v>
      </c>
      <c r="E12" s="1">
        <v>10.5</v>
      </c>
      <c r="F12" s="3">
        <f t="shared" si="0"/>
        <v>8694</v>
      </c>
      <c r="G12" s="5">
        <f t="shared" si="1"/>
        <v>1384.3949044585986</v>
      </c>
      <c r="H12" s="3">
        <v>2475</v>
      </c>
      <c r="I12" s="3">
        <f t="shared" si="2"/>
        <v>3426377.3885350316</v>
      </c>
      <c r="J12" s="3">
        <v>10000</v>
      </c>
      <c r="K12" s="3">
        <f t="shared" si="3"/>
        <v>8280000</v>
      </c>
      <c r="L12" s="3">
        <f t="shared" si="4"/>
        <v>4853622.611464968</v>
      </c>
    </row>
    <row r="13" spans="1:13" x14ac:dyDescent="0.2">
      <c r="A13" s="1"/>
      <c r="B13" s="1" t="s">
        <v>23</v>
      </c>
      <c r="C13" s="1">
        <v>6.28</v>
      </c>
      <c r="D13" s="1">
        <v>212</v>
      </c>
      <c r="E13" s="1">
        <v>11</v>
      </c>
      <c r="F13" s="3">
        <f t="shared" si="0"/>
        <v>2332</v>
      </c>
      <c r="G13" s="5">
        <f t="shared" si="1"/>
        <v>371.33757961783436</v>
      </c>
      <c r="H13" s="3">
        <v>2475</v>
      </c>
      <c r="I13" s="3">
        <f t="shared" si="2"/>
        <v>919060.50955414004</v>
      </c>
      <c r="J13" s="3">
        <v>10000</v>
      </c>
      <c r="K13" s="3">
        <f t="shared" si="3"/>
        <v>2120000</v>
      </c>
      <c r="L13" s="3">
        <f t="shared" si="4"/>
        <v>1200939.49044586</v>
      </c>
    </row>
    <row r="14" spans="1:13" x14ac:dyDescent="0.2">
      <c r="A14" s="1"/>
      <c r="B14" s="1" t="s">
        <v>23</v>
      </c>
      <c r="C14" s="1">
        <v>6.28</v>
      </c>
      <c r="D14" s="1">
        <v>400</v>
      </c>
      <c r="E14" s="1">
        <v>11.5</v>
      </c>
      <c r="F14" s="3">
        <f t="shared" si="0"/>
        <v>4600</v>
      </c>
      <c r="G14" s="5">
        <f t="shared" si="1"/>
        <v>732.484076433121</v>
      </c>
      <c r="H14" s="3">
        <v>2475</v>
      </c>
      <c r="I14" s="3">
        <f t="shared" si="2"/>
        <v>1812898.0891719745</v>
      </c>
      <c r="J14" s="3">
        <v>10000</v>
      </c>
      <c r="K14" s="3">
        <f t="shared" si="3"/>
        <v>4000000</v>
      </c>
      <c r="L14" s="3">
        <f t="shared" si="4"/>
        <v>2187101.9108280255</v>
      </c>
    </row>
    <row r="15" spans="1:13" x14ac:dyDescent="0.2">
      <c r="A15" s="13" t="s">
        <v>24</v>
      </c>
      <c r="B15" s="1"/>
      <c r="C15" s="1"/>
      <c r="D15" s="12">
        <f>SUM(D3:D14)</f>
        <v>5438</v>
      </c>
      <c r="E15" s="1"/>
      <c r="F15" s="3"/>
      <c r="G15" s="11">
        <f>SUM(G3:G14)</f>
        <v>15668.152866242039</v>
      </c>
      <c r="H15" s="3"/>
      <c r="I15" s="9">
        <f>SUM(I3:I14)</f>
        <v>38778678.343949042</v>
      </c>
      <c r="J15" s="3"/>
      <c r="K15" s="10">
        <f>SUM(K3:K14)</f>
        <v>73528000</v>
      </c>
      <c r="L15" s="6">
        <f>SUM(L3:L14)</f>
        <v>34749321.656050958</v>
      </c>
      <c r="M15" s="7"/>
    </row>
    <row r="16" spans="1:13" x14ac:dyDescent="0.2">
      <c r="A16" s="1"/>
      <c r="B16" s="1"/>
      <c r="C16" s="1"/>
      <c r="D16" s="1"/>
      <c r="E16" s="1"/>
      <c r="F16" s="3"/>
      <c r="G16" s="5"/>
      <c r="H16" s="3"/>
      <c r="I16" s="3"/>
      <c r="J16" s="3"/>
      <c r="K16" s="3"/>
      <c r="L16" s="3"/>
    </row>
    <row r="17" spans="1:12" x14ac:dyDescent="0.2">
      <c r="A17" s="1"/>
      <c r="B17" s="1"/>
      <c r="C17" s="1"/>
      <c r="D17" s="5" t="s">
        <v>40</v>
      </c>
      <c r="E17" s="3" t="s">
        <v>27</v>
      </c>
      <c r="F17" s="18">
        <v>1105000</v>
      </c>
      <c r="G17" s="5"/>
      <c r="H17" s="3" t="s">
        <v>25</v>
      </c>
      <c r="I17" s="9">
        <v>38778678</v>
      </c>
      <c r="J17" s="3"/>
      <c r="K17" s="3"/>
      <c r="L17" s="3"/>
    </row>
    <row r="18" spans="1:12" x14ac:dyDescent="0.2">
      <c r="A18" s="1"/>
      <c r="B18" s="1"/>
      <c r="C18" s="1"/>
      <c r="D18" s="5"/>
      <c r="E18" s="3" t="s">
        <v>33</v>
      </c>
      <c r="F18" s="5"/>
      <c r="G18" s="5"/>
      <c r="H18" s="3" t="s">
        <v>26</v>
      </c>
      <c r="I18" s="3">
        <v>2574000</v>
      </c>
      <c r="J18" s="3"/>
      <c r="K18" s="3"/>
      <c r="L18" s="3"/>
    </row>
    <row r="19" spans="1:12" x14ac:dyDescent="0.2">
      <c r="A19" s="1"/>
      <c r="B19" s="1"/>
      <c r="C19" s="1"/>
      <c r="D19" s="5"/>
      <c r="E19" s="3" t="s">
        <v>29</v>
      </c>
      <c r="F19" s="22">
        <v>1855000</v>
      </c>
      <c r="G19" s="5"/>
      <c r="H19" s="3" t="s">
        <v>27</v>
      </c>
      <c r="I19" s="19">
        <f>F22+F17</f>
        <v>1719200</v>
      </c>
      <c r="J19" s="3"/>
      <c r="K19" s="3"/>
      <c r="L19" s="3"/>
    </row>
    <row r="20" spans="1:12" x14ac:dyDescent="0.2">
      <c r="A20" s="1"/>
      <c r="B20" s="1"/>
      <c r="C20" s="1"/>
      <c r="D20" s="5"/>
      <c r="E20" s="3" t="s">
        <v>34</v>
      </c>
      <c r="F20" s="20">
        <f>F17+F19</f>
        <v>2960000</v>
      </c>
      <c r="G20" s="5"/>
      <c r="H20" s="3" t="s">
        <v>28</v>
      </c>
      <c r="I20" s="3">
        <f>F23</f>
        <v>135000</v>
      </c>
      <c r="J20" s="3"/>
      <c r="K20" s="3"/>
      <c r="L20" s="3"/>
    </row>
    <row r="21" spans="1:12" x14ac:dyDescent="0.2">
      <c r="A21" s="1"/>
      <c r="B21" s="1"/>
      <c r="C21" s="1"/>
      <c r="D21" s="1"/>
      <c r="E21" s="1"/>
      <c r="F21" s="3"/>
      <c r="G21" s="5"/>
      <c r="H21" s="3" t="s">
        <v>31</v>
      </c>
      <c r="I21" s="3">
        <v>3000000</v>
      </c>
      <c r="J21" s="3"/>
      <c r="K21" s="3"/>
      <c r="L21" s="3"/>
    </row>
    <row r="22" spans="1:12" x14ac:dyDescent="0.2">
      <c r="A22" s="1"/>
      <c r="B22" s="1"/>
      <c r="C22" s="1"/>
      <c r="D22" s="5" t="s">
        <v>45</v>
      </c>
      <c r="E22" s="3" t="s">
        <v>27</v>
      </c>
      <c r="F22" s="18">
        <v>614200</v>
      </c>
      <c r="G22" s="5"/>
      <c r="H22" s="3" t="s">
        <v>32</v>
      </c>
      <c r="I22" s="3">
        <v>2000000</v>
      </c>
      <c r="J22" s="3"/>
      <c r="K22" s="3"/>
      <c r="L22" s="3"/>
    </row>
    <row r="23" spans="1:12" x14ac:dyDescent="0.2">
      <c r="A23" s="1"/>
      <c r="B23" s="1"/>
      <c r="C23" s="1"/>
      <c r="D23" s="5"/>
      <c r="E23" s="3" t="s">
        <v>33</v>
      </c>
      <c r="F23" s="17">
        <v>135000</v>
      </c>
      <c r="G23" s="5"/>
      <c r="H23" s="3" t="s">
        <v>29</v>
      </c>
      <c r="I23" s="24">
        <f>F19+F24</f>
        <v>2749000</v>
      </c>
      <c r="J23" s="3"/>
      <c r="K23" s="3"/>
      <c r="L23" s="3"/>
    </row>
    <row r="24" spans="1:12" x14ac:dyDescent="0.2">
      <c r="A24" s="1"/>
      <c r="B24" s="1"/>
      <c r="C24" s="1"/>
      <c r="D24" s="5"/>
      <c r="E24" s="3" t="s">
        <v>29</v>
      </c>
      <c r="F24" s="22">
        <v>894000</v>
      </c>
      <c r="G24" s="5"/>
      <c r="H24" s="3" t="s">
        <v>46</v>
      </c>
      <c r="I24" s="3">
        <f>I17+I18+I19+I20+I21+I22+I23</f>
        <v>50955878</v>
      </c>
      <c r="J24" s="3"/>
      <c r="K24" s="3"/>
      <c r="L24" s="3"/>
    </row>
    <row r="25" spans="1:12" x14ac:dyDescent="0.2">
      <c r="A25" s="1"/>
      <c r="B25" s="1"/>
      <c r="C25" s="1"/>
      <c r="D25" s="5"/>
      <c r="E25" s="3" t="s">
        <v>34</v>
      </c>
      <c r="F25" s="20">
        <f>F22+F23+F24</f>
        <v>1643200</v>
      </c>
      <c r="G25" s="5"/>
      <c r="H25" s="3" t="s">
        <v>6</v>
      </c>
      <c r="I25" s="10">
        <v>73528000</v>
      </c>
      <c r="J25" s="3"/>
      <c r="K25" s="3"/>
      <c r="L25" s="3"/>
    </row>
    <row r="26" spans="1:12" x14ac:dyDescent="0.2">
      <c r="A26" s="1"/>
      <c r="B26" s="1"/>
      <c r="C26" s="1"/>
      <c r="D26" s="1"/>
      <c r="E26" s="1"/>
      <c r="F26" s="3"/>
      <c r="G26" s="5"/>
      <c r="H26" s="3" t="s">
        <v>35</v>
      </c>
      <c r="I26" s="6">
        <f>I25-I24</f>
        <v>22572122</v>
      </c>
      <c r="J26" s="3"/>
      <c r="K26" s="3"/>
      <c r="L26" s="3"/>
    </row>
    <row r="27" spans="1:12" x14ac:dyDescent="0.2">
      <c r="A27" s="1"/>
      <c r="B27" s="1"/>
      <c r="C27" s="1"/>
      <c r="D27" s="1"/>
      <c r="E27" s="1"/>
      <c r="F27" s="3"/>
      <c r="G27" s="5"/>
      <c r="H27" s="3"/>
      <c r="I27" s="3"/>
      <c r="J27" s="3"/>
      <c r="K27" s="3"/>
      <c r="L27" s="3"/>
    </row>
    <row r="28" spans="1:12" x14ac:dyDescent="0.2">
      <c r="A28" s="1"/>
      <c r="B28" s="1"/>
      <c r="C28" s="1"/>
      <c r="D28" s="1"/>
      <c r="E28" s="1"/>
      <c r="F28" s="3"/>
      <c r="G28" s="5"/>
      <c r="H28" s="3"/>
      <c r="I28" s="3"/>
      <c r="J28" s="3"/>
      <c r="K28" s="3"/>
      <c r="L28" s="3"/>
    </row>
    <row r="29" spans="1:12" x14ac:dyDescent="0.2">
      <c r="A29" s="1"/>
      <c r="B29" s="1"/>
      <c r="C29" s="1"/>
      <c r="D29" s="1"/>
      <c r="E29" s="1"/>
      <c r="F29" s="3"/>
      <c r="G29" s="5"/>
      <c r="H29" s="3"/>
      <c r="I29" s="3"/>
      <c r="J29" s="3"/>
      <c r="K29" s="3"/>
      <c r="L29" s="3"/>
    </row>
    <row r="30" spans="1:12" x14ac:dyDescent="0.2">
      <c r="A30" s="1"/>
      <c r="B30" s="1"/>
      <c r="C30" s="1"/>
      <c r="D30" s="1"/>
      <c r="E30" s="1"/>
      <c r="F30" s="3"/>
      <c r="G30" s="5"/>
      <c r="H30" s="3"/>
      <c r="I30" s="3"/>
      <c r="J30" s="3"/>
      <c r="K30" s="3"/>
      <c r="L30" s="3"/>
    </row>
    <row r="31" spans="1:12" x14ac:dyDescent="0.2">
      <c r="A31" s="1"/>
      <c r="B31" s="1"/>
      <c r="C31" s="1"/>
      <c r="D31" s="1"/>
      <c r="E31" s="1"/>
      <c r="F31" s="3"/>
      <c r="G31" s="5"/>
      <c r="H31" s="3"/>
      <c r="I31" s="3"/>
      <c r="J31" s="3"/>
      <c r="K31" s="3"/>
      <c r="L31" s="3"/>
    </row>
    <row r="32" spans="1:12" x14ac:dyDescent="0.2">
      <c r="A32" s="1"/>
      <c r="B32" s="1"/>
      <c r="C32" s="1"/>
      <c r="D32" s="1"/>
      <c r="E32" s="1"/>
      <c r="F32" s="3"/>
      <c r="G32" s="5"/>
      <c r="H32" s="3"/>
      <c r="I32" s="3"/>
      <c r="J32" s="3"/>
      <c r="K32" s="3"/>
      <c r="L32" s="3"/>
    </row>
    <row r="33" spans="1:12" x14ac:dyDescent="0.2">
      <c r="A33" s="1"/>
      <c r="B33" s="1"/>
      <c r="C33" s="1"/>
      <c r="D33" s="1"/>
      <c r="E33" s="1"/>
      <c r="F33" s="3"/>
      <c r="G33" s="5"/>
      <c r="H33" s="3"/>
      <c r="I33" s="3"/>
      <c r="J33" s="3"/>
      <c r="K33" s="3"/>
      <c r="L33" s="3"/>
    </row>
    <row r="34" spans="1:12" x14ac:dyDescent="0.2">
      <c r="A34" s="1"/>
      <c r="B34" s="1"/>
      <c r="C34" s="1"/>
      <c r="D34" s="1"/>
      <c r="E34" s="1"/>
      <c r="F34" s="3"/>
      <c r="G34" s="5"/>
      <c r="H34" s="3"/>
      <c r="I34" s="3"/>
      <c r="J34" s="3"/>
      <c r="K34" s="3"/>
      <c r="L34" s="3"/>
    </row>
    <row r="35" spans="1:12" x14ac:dyDescent="0.2">
      <c r="A35" s="1"/>
      <c r="B35" s="1"/>
      <c r="C35" s="1"/>
      <c r="D35" s="1"/>
      <c r="E35" s="1"/>
      <c r="F35" s="3"/>
      <c r="G35" s="5"/>
      <c r="H35" s="3"/>
      <c r="I35" s="3"/>
      <c r="J35" s="3"/>
      <c r="K35" s="3"/>
      <c r="L35" s="3"/>
    </row>
    <row r="36" spans="1:12" x14ac:dyDescent="0.2">
      <c r="A36" s="1"/>
      <c r="B36" s="1"/>
      <c r="C36" s="1"/>
      <c r="D36" s="1"/>
      <c r="E36" s="1"/>
      <c r="F36" s="3"/>
      <c r="G36" s="5"/>
      <c r="H36" s="3"/>
      <c r="I36" s="3"/>
      <c r="J36" s="3"/>
      <c r="K36" s="3"/>
      <c r="L36" s="3"/>
    </row>
    <row r="37" spans="1:12" x14ac:dyDescent="0.2">
      <c r="A37" s="1"/>
      <c r="B37" s="1"/>
      <c r="C37" s="1"/>
      <c r="D37" s="1"/>
      <c r="E37" s="1"/>
      <c r="F37" s="3"/>
      <c r="G37" s="5"/>
      <c r="H37" s="3"/>
      <c r="I37" s="3"/>
      <c r="J37" s="3"/>
      <c r="K37" s="3"/>
      <c r="L37" s="3"/>
    </row>
    <row r="38" spans="1:12" x14ac:dyDescent="0.2">
      <c r="A38" s="1"/>
      <c r="B38" s="1"/>
      <c r="C38" s="1"/>
      <c r="D38" s="1"/>
      <c r="E38" s="1"/>
      <c r="F38" s="3"/>
      <c r="G38" s="5"/>
      <c r="H38" s="3"/>
      <c r="I38" s="3"/>
      <c r="J38" s="3"/>
      <c r="K38" s="3"/>
      <c r="L38" s="3"/>
    </row>
    <row r="39" spans="1:12" x14ac:dyDescent="0.2">
      <c r="A39" s="1"/>
      <c r="B39" s="1"/>
      <c r="C39" s="1"/>
      <c r="D39" s="1"/>
      <c r="E39" s="1"/>
      <c r="F39" s="3"/>
      <c r="G39" s="5"/>
      <c r="H39" s="3"/>
      <c r="I39" s="3"/>
      <c r="J39" s="3"/>
      <c r="K39" s="3"/>
      <c r="L39" s="3"/>
    </row>
    <row r="40" spans="1:12" x14ac:dyDescent="0.2">
      <c r="A40" s="1"/>
      <c r="B40" s="1"/>
      <c r="C40" s="1"/>
      <c r="D40" s="1"/>
      <c r="E40" s="1"/>
      <c r="F40" s="3"/>
      <c r="G40" s="5"/>
      <c r="H40" s="3"/>
      <c r="I40" s="3"/>
      <c r="J40" s="3"/>
      <c r="K40" s="3"/>
      <c r="L40" s="3"/>
    </row>
    <row r="41" spans="1:12" x14ac:dyDescent="0.2">
      <c r="A41" s="1"/>
      <c r="B41" s="1"/>
      <c r="C41" s="1"/>
      <c r="D41" s="1"/>
      <c r="E41" s="1"/>
      <c r="F41" s="3"/>
      <c r="G41" s="5"/>
      <c r="H41" s="3"/>
      <c r="I41" s="3"/>
      <c r="J41" s="3"/>
      <c r="K41" s="3"/>
      <c r="L41" s="3"/>
    </row>
    <row r="42" spans="1:12" x14ac:dyDescent="0.2">
      <c r="A42" s="1"/>
      <c r="B42" s="1"/>
      <c r="C42" s="1"/>
      <c r="D42" s="1"/>
      <c r="E42" s="1"/>
      <c r="F42" s="3"/>
      <c r="G42" s="5"/>
      <c r="H42" s="3"/>
      <c r="I42" s="3"/>
      <c r="J42" s="3"/>
      <c r="K42" s="3"/>
      <c r="L42" s="3"/>
    </row>
    <row r="43" spans="1:12" x14ac:dyDescent="0.2">
      <c r="A43" s="1"/>
      <c r="B43" s="1"/>
      <c r="C43" s="1"/>
      <c r="D43" s="1"/>
      <c r="E43" s="1"/>
      <c r="F43" s="3"/>
      <c r="G43" s="5"/>
      <c r="H43" s="3"/>
      <c r="I43" s="3"/>
      <c r="J43" s="3"/>
      <c r="K43" s="3"/>
      <c r="L43" s="3"/>
    </row>
    <row r="44" spans="1:12" x14ac:dyDescent="0.2">
      <c r="A44" s="1"/>
      <c r="B44" s="1"/>
      <c r="C44" s="1"/>
      <c r="D44" s="1"/>
      <c r="E44" s="1"/>
      <c r="F44" s="3"/>
      <c r="G44" s="5"/>
      <c r="H44" s="3"/>
      <c r="I44" s="3"/>
      <c r="J44" s="3"/>
      <c r="K44" s="3"/>
      <c r="L44" s="3"/>
    </row>
    <row r="45" spans="1:12" x14ac:dyDescent="0.2">
      <c r="A45" s="1"/>
      <c r="B45" s="1"/>
      <c r="C45" s="1"/>
      <c r="D45" s="1"/>
      <c r="E45" s="1"/>
      <c r="F45" s="3"/>
      <c r="G45" s="5"/>
      <c r="H45" s="3"/>
      <c r="I45" s="3"/>
      <c r="J45" s="3"/>
      <c r="K45" s="3"/>
      <c r="L45" s="3"/>
    </row>
    <row r="46" spans="1:12" x14ac:dyDescent="0.2">
      <c r="A46" s="1"/>
      <c r="B46" s="1"/>
      <c r="C46" s="1"/>
      <c r="D46" s="1"/>
      <c r="E46" s="1"/>
      <c r="F46" s="3"/>
      <c r="G46" s="5"/>
      <c r="H46" s="3"/>
      <c r="I46" s="3"/>
      <c r="J46" s="3"/>
      <c r="K46" s="3"/>
      <c r="L46" s="3"/>
    </row>
    <row r="47" spans="1:12" x14ac:dyDescent="0.2">
      <c r="A47" s="1"/>
      <c r="B47" s="1"/>
      <c r="C47" s="1"/>
      <c r="D47" s="1"/>
      <c r="E47" s="1"/>
      <c r="F47" s="3"/>
      <c r="G47" s="5"/>
      <c r="H47" s="3"/>
      <c r="I47" s="3"/>
      <c r="J47" s="3"/>
      <c r="K47" s="3"/>
      <c r="L47" s="3"/>
    </row>
    <row r="48" spans="1:12" x14ac:dyDescent="0.2">
      <c r="A48" s="1"/>
      <c r="B48" s="1"/>
      <c r="C48" s="1"/>
      <c r="D48" s="1"/>
      <c r="E48" s="1"/>
      <c r="F48" s="3"/>
      <c r="G48" s="5"/>
      <c r="H48" s="3"/>
      <c r="I48" s="3"/>
      <c r="J48" s="3"/>
      <c r="K48" s="3"/>
      <c r="L48" s="3"/>
    </row>
    <row r="49" spans="1:12" x14ac:dyDescent="0.2">
      <c r="A49" s="1"/>
      <c r="B49" s="1"/>
      <c r="C49" s="1"/>
      <c r="D49" s="1"/>
      <c r="E49" s="1"/>
      <c r="F49" s="3"/>
      <c r="G49" s="5"/>
      <c r="H49" s="3"/>
      <c r="I49" s="3"/>
      <c r="J49" s="3"/>
      <c r="K49" s="3"/>
      <c r="L49" s="3"/>
    </row>
    <row r="50" spans="1:12" x14ac:dyDescent="0.2">
      <c r="A50" s="1"/>
      <c r="B50" s="1"/>
      <c r="C50" s="1"/>
      <c r="D50" s="1"/>
      <c r="E50" s="1"/>
      <c r="F50" s="3"/>
      <c r="G50" s="5"/>
      <c r="H50" s="3"/>
      <c r="I50" s="3"/>
      <c r="J50" s="3"/>
      <c r="K50" s="3"/>
      <c r="L50" s="3"/>
    </row>
    <row r="51" spans="1:12" x14ac:dyDescent="0.2">
      <c r="A51" s="1"/>
      <c r="B51" s="1"/>
      <c r="C51" s="1"/>
      <c r="D51" s="1"/>
      <c r="E51" s="1"/>
      <c r="F51" s="3"/>
      <c r="G51" s="5"/>
      <c r="H51" s="3"/>
      <c r="I51" s="3"/>
      <c r="J51" s="3"/>
      <c r="K51" s="3"/>
      <c r="L51" s="3"/>
    </row>
    <row r="52" spans="1:12" x14ac:dyDescent="0.2">
      <c r="A52" s="1"/>
      <c r="B52" s="1"/>
      <c r="C52" s="1"/>
      <c r="D52" s="1"/>
      <c r="E52" s="1"/>
      <c r="F52" s="3"/>
      <c r="G52" s="5"/>
      <c r="H52" s="3"/>
      <c r="I52" s="3"/>
      <c r="J52" s="3"/>
      <c r="K52" s="3"/>
      <c r="L52" s="3"/>
    </row>
    <row r="53" spans="1:12" x14ac:dyDescent="0.2">
      <c r="A53" s="1"/>
      <c r="B53" s="1"/>
      <c r="C53" s="1"/>
      <c r="D53" s="1"/>
      <c r="E53" s="1"/>
      <c r="F53" s="3"/>
      <c r="G53" s="5"/>
      <c r="H53" s="3"/>
      <c r="I53" s="3"/>
      <c r="J53" s="3"/>
      <c r="K53" s="3"/>
      <c r="L53" s="3"/>
    </row>
    <row r="54" spans="1:12" x14ac:dyDescent="0.2">
      <c r="A54" s="1"/>
      <c r="B54" s="1"/>
      <c r="C54" s="1"/>
      <c r="D54" s="1"/>
      <c r="E54" s="1"/>
      <c r="F54" s="3"/>
      <c r="G54" s="5"/>
      <c r="H54" s="3"/>
      <c r="I54" s="3"/>
      <c r="J54" s="3"/>
      <c r="K54" s="3"/>
      <c r="L54" s="3"/>
    </row>
    <row r="55" spans="1:12" x14ac:dyDescent="0.2">
      <c r="A55" s="1"/>
      <c r="B55" s="1"/>
      <c r="C55" s="1"/>
      <c r="D55" s="1"/>
      <c r="E55" s="1"/>
      <c r="F55" s="3"/>
      <c r="G55" s="5"/>
      <c r="H55" s="3"/>
      <c r="I55" s="3"/>
      <c r="J55" s="3"/>
      <c r="K55" s="3"/>
      <c r="L55" s="3"/>
    </row>
    <row r="56" spans="1:12" x14ac:dyDescent="0.2">
      <c r="A56" s="1"/>
      <c r="B56" s="1"/>
      <c r="C56" s="1"/>
      <c r="D56" s="1"/>
      <c r="E56" s="1"/>
      <c r="F56" s="3"/>
      <c r="G56" s="5"/>
      <c r="H56" s="3"/>
      <c r="I56" s="3"/>
      <c r="J56" s="3"/>
      <c r="K56" s="3"/>
      <c r="L56" s="3"/>
    </row>
    <row r="57" spans="1:12" x14ac:dyDescent="0.2">
      <c r="A57" s="1"/>
      <c r="B57" s="1"/>
      <c r="C57" s="1"/>
      <c r="D57" s="1"/>
      <c r="E57" s="1"/>
      <c r="F57" s="3"/>
      <c r="G57" s="5"/>
      <c r="H57" s="3"/>
      <c r="I57" s="3"/>
      <c r="J57" s="3"/>
      <c r="K57" s="3"/>
      <c r="L57" s="3"/>
    </row>
    <row r="58" spans="1:12" x14ac:dyDescent="0.2">
      <c r="A58" s="1"/>
      <c r="B58" s="1"/>
      <c r="C58" s="1"/>
      <c r="D58" s="1"/>
      <c r="E58" s="1"/>
      <c r="F58" s="3"/>
      <c r="G58" s="5"/>
      <c r="H58" s="3"/>
      <c r="I58" s="3"/>
      <c r="J58" s="3"/>
      <c r="K58" s="3"/>
      <c r="L58" s="3"/>
    </row>
    <row r="59" spans="1:12" x14ac:dyDescent="0.2">
      <c r="A59" s="1"/>
      <c r="B59" s="1"/>
      <c r="C59" s="1"/>
      <c r="D59" s="1"/>
      <c r="E59" s="1"/>
      <c r="F59" s="3"/>
      <c r="G59" s="5"/>
      <c r="H59" s="3"/>
      <c r="I59" s="3"/>
      <c r="J59" s="3"/>
      <c r="K59" s="3"/>
      <c r="L59" s="3"/>
    </row>
    <row r="60" spans="1:12" x14ac:dyDescent="0.2">
      <c r="A60" s="1"/>
      <c r="B60" s="1"/>
      <c r="C60" s="1"/>
      <c r="D60" s="1"/>
      <c r="E60" s="1"/>
      <c r="F60" s="3"/>
      <c r="G60" s="5"/>
      <c r="H60" s="3"/>
      <c r="I60" s="3"/>
      <c r="J60" s="3"/>
      <c r="K60" s="3"/>
      <c r="L60" s="3"/>
    </row>
    <row r="61" spans="1:12" x14ac:dyDescent="0.2">
      <c r="A61" s="1"/>
      <c r="B61" s="1"/>
      <c r="C61" s="1"/>
      <c r="D61" s="1"/>
      <c r="E61" s="1"/>
      <c r="F61" s="3"/>
      <c r="G61" s="5"/>
      <c r="H61" s="3"/>
      <c r="I61" s="3"/>
      <c r="J61" s="3"/>
      <c r="K61" s="3"/>
      <c r="L61" s="3"/>
    </row>
    <row r="62" spans="1:12" x14ac:dyDescent="0.2">
      <c r="A62" s="1"/>
      <c r="B62" s="1"/>
      <c r="C62" s="1"/>
      <c r="D62" s="1"/>
      <c r="E62" s="1"/>
      <c r="F62" s="3"/>
      <c r="G62" s="5"/>
      <c r="H62" s="3"/>
      <c r="I62" s="3"/>
      <c r="J62" s="3"/>
      <c r="K62" s="3"/>
      <c r="L62" s="3"/>
    </row>
    <row r="63" spans="1:12" x14ac:dyDescent="0.2">
      <c r="A63" s="1"/>
      <c r="B63" s="1"/>
      <c r="C63" s="1"/>
      <c r="D63" s="1"/>
      <c r="E63" s="1"/>
      <c r="F63" s="3"/>
      <c r="G63" s="5"/>
      <c r="H63" s="3"/>
      <c r="I63" s="3"/>
      <c r="J63" s="3"/>
      <c r="K63" s="3"/>
      <c r="L63" s="3"/>
    </row>
    <row r="64" spans="1:12" x14ac:dyDescent="0.2">
      <c r="A64" s="1"/>
      <c r="B64" s="1"/>
      <c r="C64" s="1"/>
      <c r="D64" s="1"/>
      <c r="E64" s="1"/>
      <c r="F64" s="3"/>
      <c r="G64" s="5"/>
      <c r="H64" s="3"/>
      <c r="I64" s="3"/>
      <c r="J64" s="3"/>
      <c r="K64" s="3"/>
      <c r="L64" s="3"/>
    </row>
    <row r="65" spans="1:12" x14ac:dyDescent="0.2">
      <c r="A65" s="1"/>
      <c r="B65" s="1"/>
      <c r="C65" s="1"/>
      <c r="D65" s="1"/>
      <c r="E65" s="1"/>
      <c r="F65" s="3"/>
      <c r="G65" s="5"/>
      <c r="H65" s="3"/>
      <c r="I65" s="3"/>
      <c r="J65" s="3"/>
      <c r="K65" s="3"/>
      <c r="L65" s="3"/>
    </row>
    <row r="66" spans="1:12" x14ac:dyDescent="0.2">
      <c r="A66" s="1"/>
      <c r="B66" s="1"/>
      <c r="C66" s="1"/>
      <c r="D66" s="1"/>
      <c r="E66" s="1"/>
      <c r="F66" s="3"/>
      <c r="G66" s="5"/>
      <c r="H66" s="3"/>
      <c r="I66" s="3"/>
      <c r="J66" s="3"/>
      <c r="K66" s="3"/>
      <c r="L66" s="3"/>
    </row>
    <row r="67" spans="1:12" x14ac:dyDescent="0.2">
      <c r="A67" s="1"/>
      <c r="B67" s="1"/>
      <c r="C67" s="1"/>
      <c r="D67" s="1"/>
      <c r="E67" s="1"/>
      <c r="F67" s="3"/>
      <c r="G67" s="5"/>
      <c r="H67" s="3"/>
      <c r="I67" s="3"/>
      <c r="J67" s="3"/>
      <c r="K67" s="3"/>
      <c r="L67" s="3"/>
    </row>
    <row r="68" spans="1:12" x14ac:dyDescent="0.2">
      <c r="A68" s="1"/>
      <c r="B68" s="1"/>
      <c r="C68" s="1"/>
      <c r="D68" s="1"/>
      <c r="E68" s="1"/>
      <c r="F68" s="3"/>
      <c r="G68" s="1"/>
      <c r="H68" s="3"/>
      <c r="I68" s="3"/>
      <c r="J68" s="3"/>
      <c r="K68" s="3"/>
      <c r="L68" s="3"/>
    </row>
    <row r="69" spans="1:12" x14ac:dyDescent="0.2">
      <c r="L6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6"/>
  <sheetViews>
    <sheetView workbookViewId="0">
      <selection activeCell="C41" sqref="C41"/>
    </sheetView>
  </sheetViews>
  <sheetFormatPr baseColWidth="10" defaultColWidth="9.1640625" defaultRowHeight="15" x14ac:dyDescent="0.2"/>
  <cols>
    <col min="1" max="1" width="10.5" customWidth="1"/>
    <col min="2" max="2" width="13" customWidth="1"/>
    <col min="3" max="3" width="9.6640625" customWidth="1"/>
    <col min="5" max="5" width="10.5" customWidth="1"/>
    <col min="6" max="6" width="14.5" customWidth="1"/>
    <col min="7" max="7" width="13.5" customWidth="1"/>
    <col min="8" max="9" width="12.5" customWidth="1"/>
    <col min="10" max="10" width="11.1640625" customWidth="1"/>
    <col min="11" max="11" width="12.33203125" customWidth="1"/>
    <col min="12" max="12" width="11.6640625" customWidth="1"/>
  </cols>
  <sheetData>
    <row r="1" spans="1:19" ht="31" x14ac:dyDescent="0.35">
      <c r="A1" s="34" t="s">
        <v>44</v>
      </c>
      <c r="B1" s="34"/>
      <c r="C1" s="34"/>
      <c r="D1" s="34"/>
    </row>
    <row r="2" spans="1:1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11</v>
      </c>
      <c r="F2" s="3" t="s">
        <v>8</v>
      </c>
      <c r="G2" s="1" t="s">
        <v>4</v>
      </c>
      <c r="H2" s="3" t="s">
        <v>41</v>
      </c>
      <c r="I2" s="3" t="s">
        <v>9</v>
      </c>
      <c r="J2" s="3" t="s">
        <v>10</v>
      </c>
      <c r="K2" s="3" t="s">
        <v>6</v>
      </c>
      <c r="L2" s="3" t="s">
        <v>12</v>
      </c>
    </row>
    <row r="3" spans="1:19" x14ac:dyDescent="0.2">
      <c r="A3" s="2">
        <v>41245</v>
      </c>
      <c r="B3" s="1" t="s">
        <v>7</v>
      </c>
      <c r="C3" s="1">
        <v>6.29</v>
      </c>
      <c r="D3" s="1">
        <v>312</v>
      </c>
      <c r="E3" s="1">
        <v>18</v>
      </c>
      <c r="F3" s="3">
        <f t="shared" ref="F3:F33" si="0">D3*E3</f>
        <v>5616</v>
      </c>
      <c r="G3" s="5">
        <f t="shared" ref="G3:G33" si="1">F3/C3</f>
        <v>892.84578696343397</v>
      </c>
      <c r="H3" s="3">
        <v>2320</v>
      </c>
      <c r="I3" s="3">
        <f t="shared" ref="I3:I33" si="2">E3/C3*H3*D3</f>
        <v>2071402.2257551667</v>
      </c>
      <c r="J3" s="3">
        <v>16000</v>
      </c>
      <c r="K3" s="3">
        <f t="shared" ref="K3:K33" si="3">J3*D3</f>
        <v>4992000</v>
      </c>
      <c r="L3" s="3">
        <f t="shared" ref="L3:L33" si="4">K3-I3</f>
        <v>2920597.7742448333</v>
      </c>
    </row>
    <row r="4" spans="1:19" x14ac:dyDescent="0.2">
      <c r="A4" s="1"/>
      <c r="B4" s="1" t="s">
        <v>7</v>
      </c>
      <c r="C4" s="1">
        <v>6.29</v>
      </c>
      <c r="D4" s="1">
        <v>148</v>
      </c>
      <c r="E4" s="1">
        <v>22</v>
      </c>
      <c r="F4" s="3">
        <f t="shared" si="0"/>
        <v>3256</v>
      </c>
      <c r="G4" s="17">
        <f t="shared" si="1"/>
        <v>517.64705882352939</v>
      </c>
      <c r="H4" s="3">
        <v>2320</v>
      </c>
      <c r="I4" s="3">
        <f t="shared" si="2"/>
        <v>1200941.1764705882</v>
      </c>
      <c r="J4" s="1">
        <v>18000</v>
      </c>
      <c r="K4" s="3">
        <f t="shared" si="3"/>
        <v>2664000</v>
      </c>
      <c r="L4" s="3">
        <f t="shared" si="4"/>
        <v>1463058.8235294118</v>
      </c>
    </row>
    <row r="5" spans="1:19" x14ac:dyDescent="0.2">
      <c r="A5" s="1"/>
      <c r="B5" s="1" t="s">
        <v>7</v>
      </c>
      <c r="C5" s="1">
        <v>6.29</v>
      </c>
      <c r="D5" s="1">
        <v>200</v>
      </c>
      <c r="E5" s="1">
        <v>22</v>
      </c>
      <c r="F5" s="3">
        <f t="shared" si="0"/>
        <v>4400</v>
      </c>
      <c r="G5" s="17">
        <f t="shared" si="1"/>
        <v>699.52305246422895</v>
      </c>
      <c r="H5" s="3">
        <v>2320</v>
      </c>
      <c r="I5" s="3">
        <f t="shared" si="2"/>
        <v>1622893.4817170112</v>
      </c>
      <c r="J5" s="1">
        <v>16000</v>
      </c>
      <c r="K5" s="3">
        <f t="shared" si="3"/>
        <v>3200000</v>
      </c>
      <c r="L5" s="3">
        <f t="shared" si="4"/>
        <v>1577106.5182829888</v>
      </c>
    </row>
    <row r="6" spans="1:19" x14ac:dyDescent="0.2">
      <c r="A6" s="1"/>
      <c r="B6" s="1" t="s">
        <v>7</v>
      </c>
      <c r="C6" s="1">
        <v>6.29</v>
      </c>
      <c r="D6" s="1">
        <v>200</v>
      </c>
      <c r="E6" s="1">
        <v>23</v>
      </c>
      <c r="F6" s="3">
        <f t="shared" si="0"/>
        <v>4600</v>
      </c>
      <c r="G6" s="17">
        <f t="shared" si="1"/>
        <v>731.31955484896662</v>
      </c>
      <c r="H6" s="3">
        <v>2320</v>
      </c>
      <c r="I6" s="3">
        <f t="shared" si="2"/>
        <v>1696661.3672496027</v>
      </c>
      <c r="J6" s="29">
        <v>16000</v>
      </c>
      <c r="K6" s="3">
        <f t="shared" si="3"/>
        <v>3200000</v>
      </c>
      <c r="L6" s="3">
        <f t="shared" si="4"/>
        <v>1503338.6327503973</v>
      </c>
    </row>
    <row r="7" spans="1:19" x14ac:dyDescent="0.2">
      <c r="A7" s="1"/>
      <c r="B7" s="1" t="s">
        <v>42</v>
      </c>
      <c r="C7" s="1">
        <v>6.29</v>
      </c>
      <c r="D7" s="1">
        <v>300</v>
      </c>
      <c r="E7" s="1">
        <v>24</v>
      </c>
      <c r="F7" s="29">
        <f t="shared" si="0"/>
        <v>7200</v>
      </c>
      <c r="G7" s="17">
        <f t="shared" si="1"/>
        <v>1144.6740858505564</v>
      </c>
      <c r="H7" s="3">
        <v>2320</v>
      </c>
      <c r="I7" s="29">
        <f t="shared" si="2"/>
        <v>2655643.8791732909</v>
      </c>
      <c r="J7" s="29">
        <v>16000</v>
      </c>
      <c r="K7" s="29">
        <f t="shared" si="3"/>
        <v>4800000</v>
      </c>
      <c r="L7" s="29">
        <f t="shared" si="4"/>
        <v>2144356.1208267091</v>
      </c>
    </row>
    <row r="8" spans="1:19" x14ac:dyDescent="0.2">
      <c r="A8" s="1"/>
      <c r="B8" s="1" t="s">
        <v>42</v>
      </c>
      <c r="C8" s="1">
        <v>6.29</v>
      </c>
      <c r="D8" s="1">
        <v>200</v>
      </c>
      <c r="E8" s="1">
        <v>24</v>
      </c>
      <c r="F8" s="29">
        <f t="shared" si="0"/>
        <v>4800</v>
      </c>
      <c r="G8" s="17">
        <f t="shared" si="1"/>
        <v>763.11605723370428</v>
      </c>
      <c r="H8" s="3">
        <v>2320</v>
      </c>
      <c r="I8" s="29">
        <f t="shared" si="2"/>
        <v>1770429.2527821942</v>
      </c>
      <c r="J8" s="29">
        <v>16000</v>
      </c>
      <c r="K8" s="29">
        <f t="shared" si="3"/>
        <v>3200000</v>
      </c>
      <c r="L8" s="29">
        <f t="shared" si="4"/>
        <v>1429570.7472178058</v>
      </c>
    </row>
    <row r="9" spans="1:19" x14ac:dyDescent="0.2">
      <c r="A9" s="1"/>
      <c r="B9" s="1" t="s">
        <v>7</v>
      </c>
      <c r="C9" s="1">
        <v>6.29</v>
      </c>
      <c r="D9" s="1">
        <v>400</v>
      </c>
      <c r="E9" s="1">
        <v>22.5</v>
      </c>
      <c r="F9" s="29">
        <f t="shared" si="0"/>
        <v>9000</v>
      </c>
      <c r="G9" s="17">
        <f t="shared" si="1"/>
        <v>1430.8426073131955</v>
      </c>
      <c r="H9" s="3">
        <v>2320</v>
      </c>
      <c r="I9" s="29">
        <f t="shared" si="2"/>
        <v>3319554.8489666134</v>
      </c>
      <c r="J9" s="29">
        <v>16000</v>
      </c>
      <c r="K9" s="29">
        <f t="shared" si="3"/>
        <v>6400000</v>
      </c>
      <c r="L9" s="29">
        <f t="shared" si="4"/>
        <v>3080445.1510333866</v>
      </c>
    </row>
    <row r="10" spans="1:19" x14ac:dyDescent="0.2">
      <c r="A10" s="1"/>
      <c r="B10" s="1" t="s">
        <v>7</v>
      </c>
      <c r="C10" s="1">
        <v>6.29</v>
      </c>
      <c r="D10" s="1">
        <v>1000</v>
      </c>
      <c r="E10" s="1">
        <v>23.5</v>
      </c>
      <c r="F10" s="29">
        <f t="shared" si="0"/>
        <v>23500</v>
      </c>
      <c r="G10" s="17">
        <f t="shared" si="1"/>
        <v>3736.0890302066773</v>
      </c>
      <c r="H10" s="3">
        <v>2320</v>
      </c>
      <c r="I10" s="29">
        <f t="shared" si="2"/>
        <v>8667726.550079491</v>
      </c>
      <c r="J10" s="29">
        <v>16000</v>
      </c>
      <c r="K10" s="29">
        <f t="shared" si="3"/>
        <v>16000000</v>
      </c>
      <c r="L10" s="29">
        <f t="shared" si="4"/>
        <v>7332273.449920509</v>
      </c>
    </row>
    <row r="11" spans="1:19" x14ac:dyDescent="0.2">
      <c r="A11" s="1"/>
      <c r="B11" s="1" t="s">
        <v>7</v>
      </c>
      <c r="C11" s="1">
        <v>6.29</v>
      </c>
      <c r="D11" s="1">
        <v>200</v>
      </c>
      <c r="E11" s="1">
        <v>23</v>
      </c>
      <c r="F11" s="29">
        <f t="shared" si="0"/>
        <v>4600</v>
      </c>
      <c r="G11" s="17">
        <f t="shared" si="1"/>
        <v>731.31955484896662</v>
      </c>
      <c r="H11" s="3">
        <v>2320</v>
      </c>
      <c r="I11" s="29">
        <f t="shared" si="2"/>
        <v>1696661.3672496027</v>
      </c>
      <c r="J11" s="29">
        <v>16000</v>
      </c>
      <c r="K11" s="29">
        <f t="shared" si="3"/>
        <v>3200000</v>
      </c>
      <c r="L11" s="29">
        <f t="shared" si="4"/>
        <v>1503338.6327503973</v>
      </c>
      <c r="S11" s="35"/>
    </row>
    <row r="12" spans="1:19" x14ac:dyDescent="0.2">
      <c r="A12" s="1"/>
      <c r="B12" s="1" t="s">
        <v>7</v>
      </c>
      <c r="C12" s="1">
        <v>6.29</v>
      </c>
      <c r="D12" s="1">
        <v>200</v>
      </c>
      <c r="E12" s="1">
        <v>25</v>
      </c>
      <c r="F12" s="29">
        <f t="shared" si="0"/>
        <v>5000</v>
      </c>
      <c r="G12" s="17">
        <f t="shared" si="1"/>
        <v>794.91255961844195</v>
      </c>
      <c r="H12" s="3">
        <v>2320</v>
      </c>
      <c r="I12" s="29">
        <f t="shared" si="2"/>
        <v>1844197.1383147854</v>
      </c>
      <c r="J12" s="29">
        <v>16000</v>
      </c>
      <c r="K12" s="29">
        <f t="shared" si="3"/>
        <v>3200000</v>
      </c>
      <c r="L12" s="29">
        <f t="shared" si="4"/>
        <v>1355802.8616852146</v>
      </c>
    </row>
    <row r="13" spans="1:19" x14ac:dyDescent="0.2">
      <c r="A13" s="1"/>
      <c r="B13" s="1" t="s">
        <v>7</v>
      </c>
      <c r="C13" s="1">
        <v>6.29</v>
      </c>
      <c r="D13" s="1">
        <v>300</v>
      </c>
      <c r="E13" s="1">
        <v>23</v>
      </c>
      <c r="F13" s="29">
        <f t="shared" si="0"/>
        <v>6900</v>
      </c>
      <c r="G13" s="17">
        <f t="shared" si="1"/>
        <v>1096.9793322734499</v>
      </c>
      <c r="H13" s="3">
        <v>2320</v>
      </c>
      <c r="I13" s="29">
        <f t="shared" si="2"/>
        <v>2544992.0508744041</v>
      </c>
      <c r="J13" s="29">
        <v>16000</v>
      </c>
      <c r="K13" s="29">
        <f t="shared" si="3"/>
        <v>4800000</v>
      </c>
      <c r="L13" s="29">
        <f t="shared" si="4"/>
        <v>2255007.9491255959</v>
      </c>
    </row>
    <row r="14" spans="1:19" x14ac:dyDescent="0.2">
      <c r="A14" s="1"/>
      <c r="B14" s="1" t="s">
        <v>7</v>
      </c>
      <c r="C14" s="1">
        <v>6.29</v>
      </c>
      <c r="D14" s="1">
        <v>200</v>
      </c>
      <c r="E14" s="1">
        <v>22</v>
      </c>
      <c r="F14" s="29">
        <f t="shared" si="0"/>
        <v>4400</v>
      </c>
      <c r="G14" s="17">
        <f t="shared" si="1"/>
        <v>699.52305246422895</v>
      </c>
      <c r="H14" s="3">
        <v>2320</v>
      </c>
      <c r="I14" s="29">
        <f t="shared" si="2"/>
        <v>1622893.4817170112</v>
      </c>
      <c r="J14" s="29">
        <v>16000</v>
      </c>
      <c r="K14" s="29">
        <f t="shared" si="3"/>
        <v>3200000</v>
      </c>
      <c r="L14" s="29">
        <f t="shared" si="4"/>
        <v>1577106.5182829888</v>
      </c>
    </row>
    <row r="15" spans="1:19" x14ac:dyDescent="0.2">
      <c r="A15" s="1"/>
      <c r="B15" s="1" t="s">
        <v>7</v>
      </c>
      <c r="C15" s="1">
        <v>6.29</v>
      </c>
      <c r="D15" s="1">
        <v>200</v>
      </c>
      <c r="E15" s="1">
        <v>25.5</v>
      </c>
      <c r="F15" s="29">
        <f t="shared" si="0"/>
        <v>5100</v>
      </c>
      <c r="G15" s="17">
        <f t="shared" si="1"/>
        <v>810.81081081081084</v>
      </c>
      <c r="H15" s="3">
        <v>2320</v>
      </c>
      <c r="I15" s="29">
        <f t="shared" si="2"/>
        <v>1881081.0810810814</v>
      </c>
      <c r="J15" s="29">
        <v>17000</v>
      </c>
      <c r="K15" s="29">
        <f t="shared" si="3"/>
        <v>3400000</v>
      </c>
      <c r="L15" s="29">
        <f t="shared" si="4"/>
        <v>1518918.9189189186</v>
      </c>
    </row>
    <row r="16" spans="1:19" x14ac:dyDescent="0.2">
      <c r="A16" s="1"/>
      <c r="B16" s="1" t="s">
        <v>7</v>
      </c>
      <c r="C16" s="1">
        <v>6.29</v>
      </c>
      <c r="D16" s="1">
        <v>200</v>
      </c>
      <c r="E16" s="1">
        <v>25</v>
      </c>
      <c r="F16" s="29">
        <f t="shared" si="0"/>
        <v>5000</v>
      </c>
      <c r="G16" s="17">
        <f t="shared" si="1"/>
        <v>794.91255961844195</v>
      </c>
      <c r="H16" s="3">
        <v>2320</v>
      </c>
      <c r="I16" s="29">
        <f t="shared" si="2"/>
        <v>1844197.1383147854</v>
      </c>
      <c r="J16" s="29">
        <v>17000</v>
      </c>
      <c r="K16" s="29">
        <f t="shared" si="3"/>
        <v>3400000</v>
      </c>
      <c r="L16" s="29">
        <f t="shared" si="4"/>
        <v>1555802.8616852146</v>
      </c>
    </row>
    <row r="17" spans="1:12" x14ac:dyDescent="0.2">
      <c r="A17" s="1"/>
      <c r="B17" s="1" t="s">
        <v>21</v>
      </c>
      <c r="C17" s="1">
        <v>6.29</v>
      </c>
      <c r="D17" s="1">
        <v>700</v>
      </c>
      <c r="E17" s="1">
        <v>20</v>
      </c>
      <c r="F17" s="29">
        <f t="shared" si="0"/>
        <v>14000</v>
      </c>
      <c r="G17" s="17">
        <f t="shared" si="1"/>
        <v>2225.7551669316376</v>
      </c>
      <c r="H17" s="3">
        <v>2320</v>
      </c>
      <c r="I17" s="29">
        <f t="shared" si="2"/>
        <v>5163751.9872813988</v>
      </c>
      <c r="J17" s="29">
        <v>15000</v>
      </c>
      <c r="K17" s="29">
        <f t="shared" si="3"/>
        <v>10500000</v>
      </c>
      <c r="L17" s="29">
        <f t="shared" si="4"/>
        <v>5336248.0127186012</v>
      </c>
    </row>
    <row r="18" spans="1:12" x14ac:dyDescent="0.2">
      <c r="A18" s="1"/>
      <c r="B18" s="1" t="s">
        <v>21</v>
      </c>
      <c r="C18" s="1">
        <v>6.29</v>
      </c>
      <c r="D18" s="1">
        <v>800</v>
      </c>
      <c r="E18" s="1">
        <v>21</v>
      </c>
      <c r="F18" s="29">
        <f t="shared" si="0"/>
        <v>16800</v>
      </c>
      <c r="G18" s="17">
        <f t="shared" si="1"/>
        <v>2670.9062003179652</v>
      </c>
      <c r="H18" s="3">
        <v>2320</v>
      </c>
      <c r="I18" s="29">
        <f t="shared" si="2"/>
        <v>6196502.3847376788</v>
      </c>
      <c r="J18" s="29">
        <v>15000</v>
      </c>
      <c r="K18" s="29">
        <f t="shared" si="3"/>
        <v>12000000</v>
      </c>
      <c r="L18" s="29">
        <f t="shared" si="4"/>
        <v>5803497.6152623212</v>
      </c>
    </row>
    <row r="19" spans="1:12" x14ac:dyDescent="0.2">
      <c r="A19" s="1"/>
      <c r="B19" s="1" t="s">
        <v>7</v>
      </c>
      <c r="C19" s="1">
        <v>6.29</v>
      </c>
      <c r="D19" s="1">
        <v>200</v>
      </c>
      <c r="E19" s="1">
        <v>22.5</v>
      </c>
      <c r="F19" s="29">
        <f t="shared" si="0"/>
        <v>4500</v>
      </c>
      <c r="G19" s="17">
        <f t="shared" si="1"/>
        <v>715.42130365659773</v>
      </c>
      <c r="H19" s="3">
        <v>2320</v>
      </c>
      <c r="I19" s="29">
        <f t="shared" si="2"/>
        <v>1659777.4244833067</v>
      </c>
      <c r="J19" s="29">
        <v>16000</v>
      </c>
      <c r="K19" s="29">
        <f t="shared" si="3"/>
        <v>3200000</v>
      </c>
      <c r="L19" s="29">
        <f t="shared" si="4"/>
        <v>1540222.5755166933</v>
      </c>
    </row>
    <row r="20" spans="1:12" x14ac:dyDescent="0.2">
      <c r="A20" s="1"/>
      <c r="B20" s="1" t="s">
        <v>7</v>
      </c>
      <c r="C20" s="1">
        <v>6.29</v>
      </c>
      <c r="D20" s="1">
        <v>400</v>
      </c>
      <c r="E20" s="1">
        <v>23.5</v>
      </c>
      <c r="F20" s="29">
        <f t="shared" si="0"/>
        <v>9400</v>
      </c>
      <c r="G20" s="17">
        <f t="shared" si="1"/>
        <v>1494.4356120826708</v>
      </c>
      <c r="H20" s="3">
        <v>2320</v>
      </c>
      <c r="I20" s="29">
        <f t="shared" si="2"/>
        <v>3467090.6200317964</v>
      </c>
      <c r="J20" s="29">
        <v>16000</v>
      </c>
      <c r="K20" s="29">
        <f t="shared" si="3"/>
        <v>6400000</v>
      </c>
      <c r="L20" s="29">
        <f t="shared" si="4"/>
        <v>2932909.3799682036</v>
      </c>
    </row>
    <row r="21" spans="1:12" x14ac:dyDescent="0.2">
      <c r="A21" s="1"/>
      <c r="B21" s="1" t="s">
        <v>7</v>
      </c>
      <c r="C21" s="1">
        <v>6.29</v>
      </c>
      <c r="D21" s="1">
        <v>200</v>
      </c>
      <c r="E21" s="1">
        <v>25</v>
      </c>
      <c r="F21" s="29">
        <f t="shared" si="0"/>
        <v>5000</v>
      </c>
      <c r="G21" s="17">
        <f t="shared" si="1"/>
        <v>794.91255961844195</v>
      </c>
      <c r="H21" s="3">
        <v>2320</v>
      </c>
      <c r="I21" s="29">
        <f t="shared" si="2"/>
        <v>1844197.1383147854</v>
      </c>
      <c r="J21" s="29">
        <v>16000</v>
      </c>
      <c r="K21" s="29">
        <f t="shared" si="3"/>
        <v>3200000</v>
      </c>
      <c r="L21" s="29">
        <f t="shared" si="4"/>
        <v>1355802.8616852146</v>
      </c>
    </row>
    <row r="22" spans="1:12" x14ac:dyDescent="0.2">
      <c r="A22" s="1"/>
      <c r="B22" s="1" t="s">
        <v>7</v>
      </c>
      <c r="C22" s="1">
        <v>6.29</v>
      </c>
      <c r="D22" s="1">
        <v>150</v>
      </c>
      <c r="E22" s="1">
        <v>22.5</v>
      </c>
      <c r="F22" s="29">
        <f t="shared" si="0"/>
        <v>3375</v>
      </c>
      <c r="G22" s="17">
        <f t="shared" si="1"/>
        <v>536.56597774244835</v>
      </c>
      <c r="H22" s="3">
        <v>2320</v>
      </c>
      <c r="I22" s="29">
        <f t="shared" si="2"/>
        <v>1244833.06836248</v>
      </c>
      <c r="J22" s="29">
        <v>16000</v>
      </c>
      <c r="K22" s="29">
        <f t="shared" si="3"/>
        <v>2400000</v>
      </c>
      <c r="L22" s="29">
        <f t="shared" si="4"/>
        <v>1155166.93163752</v>
      </c>
    </row>
    <row r="23" spans="1:12" x14ac:dyDescent="0.2">
      <c r="A23" s="1"/>
      <c r="B23" s="1" t="s">
        <v>7</v>
      </c>
      <c r="C23" s="1">
        <v>6.29</v>
      </c>
      <c r="D23" s="1">
        <v>45</v>
      </c>
      <c r="E23" s="1">
        <v>15</v>
      </c>
      <c r="F23" s="29">
        <f t="shared" si="0"/>
        <v>675</v>
      </c>
      <c r="G23" s="17">
        <f t="shared" si="1"/>
        <v>107.31319554848966</v>
      </c>
      <c r="H23" s="3">
        <v>2320</v>
      </c>
      <c r="I23" s="29">
        <f t="shared" si="2"/>
        <v>248966.61367249602</v>
      </c>
      <c r="J23" s="29">
        <v>18000</v>
      </c>
      <c r="K23" s="29">
        <f t="shared" si="3"/>
        <v>810000</v>
      </c>
      <c r="L23" s="29">
        <f t="shared" si="4"/>
        <v>561033.38632750395</v>
      </c>
    </row>
    <row r="24" spans="1:12" x14ac:dyDescent="0.2">
      <c r="A24" s="1"/>
      <c r="B24" s="1" t="s">
        <v>7</v>
      </c>
      <c r="C24" s="1">
        <v>6.29</v>
      </c>
      <c r="D24" s="1">
        <v>200</v>
      </c>
      <c r="E24" s="1">
        <v>21.5</v>
      </c>
      <c r="F24" s="29">
        <f t="shared" si="0"/>
        <v>4300</v>
      </c>
      <c r="G24" s="17">
        <f t="shared" si="1"/>
        <v>683.62480127186006</v>
      </c>
      <c r="H24" s="3">
        <v>2320</v>
      </c>
      <c r="I24" s="29">
        <f t="shared" si="2"/>
        <v>1586009.5389507154</v>
      </c>
      <c r="J24" s="29">
        <v>16000</v>
      </c>
      <c r="K24" s="29">
        <f t="shared" si="3"/>
        <v>3200000</v>
      </c>
      <c r="L24" s="29">
        <f t="shared" si="4"/>
        <v>1613990.4610492846</v>
      </c>
    </row>
    <row r="25" spans="1:12" x14ac:dyDescent="0.2">
      <c r="A25" s="1"/>
      <c r="B25" s="1" t="s">
        <v>16</v>
      </c>
      <c r="C25" s="1">
        <v>6.29</v>
      </c>
      <c r="D25" s="1">
        <v>300</v>
      </c>
      <c r="E25" s="1">
        <v>26</v>
      </c>
      <c r="F25" s="29">
        <f t="shared" si="0"/>
        <v>7800</v>
      </c>
      <c r="G25" s="17">
        <f t="shared" si="1"/>
        <v>1240.0635930047695</v>
      </c>
      <c r="H25" s="3">
        <v>2320</v>
      </c>
      <c r="I25" s="29">
        <f t="shared" si="2"/>
        <v>2876947.5357710654</v>
      </c>
      <c r="J25" s="29">
        <v>25000</v>
      </c>
      <c r="K25" s="29">
        <f t="shared" si="3"/>
        <v>7500000</v>
      </c>
      <c r="L25" s="29">
        <f t="shared" si="4"/>
        <v>4623052.4642289346</v>
      </c>
    </row>
    <row r="26" spans="1:12" x14ac:dyDescent="0.2">
      <c r="A26" s="1"/>
      <c r="B26" s="1" t="s">
        <v>42</v>
      </c>
      <c r="C26" s="1">
        <v>6.29</v>
      </c>
      <c r="D26" s="1">
        <v>200</v>
      </c>
      <c r="E26" s="1">
        <v>22</v>
      </c>
      <c r="F26" s="29">
        <f t="shared" si="0"/>
        <v>4400</v>
      </c>
      <c r="G26" s="17">
        <f t="shared" si="1"/>
        <v>699.52305246422895</v>
      </c>
      <c r="H26" s="3">
        <v>2320</v>
      </c>
      <c r="I26" s="29">
        <f t="shared" si="2"/>
        <v>1622893.4817170112</v>
      </c>
      <c r="J26" s="29">
        <v>15000</v>
      </c>
      <c r="K26" s="29">
        <f t="shared" si="3"/>
        <v>3000000</v>
      </c>
      <c r="L26" s="29">
        <f t="shared" si="4"/>
        <v>1377106.5182829888</v>
      </c>
    </row>
    <row r="27" spans="1:12" x14ac:dyDescent="0.2">
      <c r="A27" s="1"/>
      <c r="B27" s="1" t="s">
        <v>23</v>
      </c>
      <c r="C27" s="1">
        <v>6.29</v>
      </c>
      <c r="D27" s="1">
        <v>192</v>
      </c>
      <c r="E27" s="1">
        <v>10</v>
      </c>
      <c r="F27" s="29">
        <f t="shared" si="0"/>
        <v>1920</v>
      </c>
      <c r="G27" s="17">
        <f t="shared" si="1"/>
        <v>305.24642289348174</v>
      </c>
      <c r="H27" s="3">
        <v>2320</v>
      </c>
      <c r="I27" s="29">
        <f t="shared" si="2"/>
        <v>708171.70111287758</v>
      </c>
      <c r="J27" s="29">
        <v>10000</v>
      </c>
      <c r="K27" s="29">
        <f t="shared" si="3"/>
        <v>1920000</v>
      </c>
      <c r="L27" s="29">
        <f t="shared" si="4"/>
        <v>1211828.2988871224</v>
      </c>
    </row>
    <row r="28" spans="1:12" x14ac:dyDescent="0.2">
      <c r="A28" s="1"/>
      <c r="B28" s="1" t="s">
        <v>43</v>
      </c>
      <c r="C28" s="1">
        <v>6.29</v>
      </c>
      <c r="D28" s="1">
        <v>500</v>
      </c>
      <c r="E28" s="1">
        <v>17</v>
      </c>
      <c r="F28" s="29">
        <f t="shared" si="0"/>
        <v>8500</v>
      </c>
      <c r="G28" s="17">
        <f t="shared" si="1"/>
        <v>1351.3513513513512</v>
      </c>
      <c r="H28" s="3">
        <v>2320</v>
      </c>
      <c r="I28" s="29">
        <f t="shared" si="2"/>
        <v>3135135.1351351351</v>
      </c>
      <c r="J28" s="29">
        <v>11000</v>
      </c>
      <c r="K28" s="29">
        <f t="shared" si="3"/>
        <v>5500000</v>
      </c>
      <c r="L28" s="29">
        <f t="shared" si="4"/>
        <v>2364864.8648648649</v>
      </c>
    </row>
    <row r="29" spans="1:12" x14ac:dyDescent="0.2">
      <c r="A29" s="1"/>
      <c r="B29" s="1" t="s">
        <v>23</v>
      </c>
      <c r="C29" s="1">
        <v>6.29</v>
      </c>
      <c r="D29" s="1">
        <v>400</v>
      </c>
      <c r="E29" s="1">
        <v>14</v>
      </c>
      <c r="F29" s="29">
        <f t="shared" si="0"/>
        <v>5600</v>
      </c>
      <c r="G29" s="17">
        <f t="shared" si="1"/>
        <v>890.30206677265505</v>
      </c>
      <c r="H29" s="3">
        <v>2320</v>
      </c>
      <c r="I29" s="29">
        <f t="shared" si="2"/>
        <v>2065500.7949125592</v>
      </c>
      <c r="J29" s="29">
        <v>10000</v>
      </c>
      <c r="K29" s="29">
        <f t="shared" si="3"/>
        <v>4000000</v>
      </c>
      <c r="L29" s="29">
        <f t="shared" si="4"/>
        <v>1934499.2050874408</v>
      </c>
    </row>
    <row r="30" spans="1:12" x14ac:dyDescent="0.2">
      <c r="A30" s="1"/>
      <c r="B30" s="1" t="s">
        <v>23</v>
      </c>
      <c r="C30" s="1">
        <v>6.29</v>
      </c>
      <c r="D30" s="1">
        <v>200</v>
      </c>
      <c r="E30" s="1">
        <v>10</v>
      </c>
      <c r="F30" s="29">
        <f t="shared" si="0"/>
        <v>2000</v>
      </c>
      <c r="G30" s="17">
        <f t="shared" si="1"/>
        <v>317.96502384737681</v>
      </c>
      <c r="H30" s="3">
        <v>2320</v>
      </c>
      <c r="I30" s="29">
        <f t="shared" si="2"/>
        <v>737678.85532591422</v>
      </c>
      <c r="J30" s="29">
        <v>10000</v>
      </c>
      <c r="K30" s="29">
        <f t="shared" si="3"/>
        <v>2000000</v>
      </c>
      <c r="L30" s="29">
        <f t="shared" si="4"/>
        <v>1262321.1446740858</v>
      </c>
    </row>
    <row r="31" spans="1:12" x14ac:dyDescent="0.2">
      <c r="A31" s="1"/>
      <c r="B31" s="1" t="s">
        <v>23</v>
      </c>
      <c r="C31" s="1">
        <v>6.29</v>
      </c>
      <c r="D31" s="1">
        <v>500</v>
      </c>
      <c r="E31" s="1">
        <v>11.5</v>
      </c>
      <c r="F31" s="29">
        <f t="shared" si="0"/>
        <v>5750</v>
      </c>
      <c r="G31" s="17">
        <f t="shared" si="1"/>
        <v>914.14944356120827</v>
      </c>
      <c r="H31" s="3">
        <v>2320</v>
      </c>
      <c r="I31" s="29">
        <f t="shared" si="2"/>
        <v>2120826.7090620035</v>
      </c>
      <c r="J31" s="29">
        <v>10000</v>
      </c>
      <c r="K31" s="29">
        <f t="shared" si="3"/>
        <v>5000000</v>
      </c>
      <c r="L31" s="29">
        <f t="shared" si="4"/>
        <v>2879173.2909379965</v>
      </c>
    </row>
    <row r="32" spans="1:12" x14ac:dyDescent="0.2">
      <c r="A32" s="1"/>
      <c r="B32" s="1" t="s">
        <v>23</v>
      </c>
      <c r="C32" s="1">
        <v>6.29</v>
      </c>
      <c r="D32" s="1">
        <v>100</v>
      </c>
      <c r="E32" s="1">
        <v>18</v>
      </c>
      <c r="F32" s="29">
        <f t="shared" si="0"/>
        <v>1800</v>
      </c>
      <c r="G32" s="17">
        <f t="shared" si="1"/>
        <v>286.16852146263909</v>
      </c>
      <c r="H32" s="3">
        <v>2320</v>
      </c>
      <c r="I32" s="29">
        <f t="shared" si="2"/>
        <v>663910.96979332273</v>
      </c>
      <c r="J32" s="29">
        <v>11000</v>
      </c>
      <c r="K32" s="29">
        <f t="shared" si="3"/>
        <v>1100000</v>
      </c>
      <c r="L32" s="29">
        <f t="shared" si="4"/>
        <v>436089.03020667727</v>
      </c>
    </row>
    <row r="33" spans="1:12" x14ac:dyDescent="0.2">
      <c r="A33" s="1"/>
      <c r="B33" s="1" t="s">
        <v>23</v>
      </c>
      <c r="C33" s="1">
        <v>6.29</v>
      </c>
      <c r="D33" s="1">
        <v>150</v>
      </c>
      <c r="E33" s="1">
        <v>12</v>
      </c>
      <c r="F33" s="29">
        <f t="shared" si="0"/>
        <v>1800</v>
      </c>
      <c r="G33" s="17">
        <f t="shared" si="1"/>
        <v>286.16852146263909</v>
      </c>
      <c r="H33" s="3">
        <v>2320</v>
      </c>
      <c r="I33" s="29">
        <f t="shared" si="2"/>
        <v>663910.96979332273</v>
      </c>
      <c r="J33" s="29">
        <v>10000</v>
      </c>
      <c r="K33" s="29">
        <f t="shared" si="3"/>
        <v>1500000</v>
      </c>
      <c r="L33" s="29">
        <f t="shared" si="4"/>
        <v>836089.03020667727</v>
      </c>
    </row>
    <row r="34" spans="1:12" x14ac:dyDescent="0.2">
      <c r="A34" s="1"/>
      <c r="B34" s="1"/>
      <c r="C34" s="1"/>
      <c r="D34" s="33">
        <f>SUM(D3:D33)</f>
        <v>9297</v>
      </c>
      <c r="E34" s="1"/>
      <c r="F34" s="30">
        <f>SUM(F3:F33)</f>
        <v>190992</v>
      </c>
      <c r="G34" s="11">
        <f>SUM(G3:G33)</f>
        <v>30364.387917329084</v>
      </c>
      <c r="H34" s="1"/>
      <c r="I34" s="31">
        <f>SUM(I3:I33)</f>
        <v>70445379.968203515</v>
      </c>
      <c r="J34" s="1"/>
      <c r="K34" s="32">
        <f>SUM(K3:K33)</f>
        <v>138886000</v>
      </c>
      <c r="L34" s="20">
        <f>SUM(L3:L33)</f>
        <v>68440620.031796485</v>
      </c>
    </row>
    <row r="37" spans="1:12" x14ac:dyDescent="0.2">
      <c r="H37" s="3" t="s">
        <v>25</v>
      </c>
      <c r="I37" s="15">
        <v>70445380</v>
      </c>
    </row>
    <row r="38" spans="1:12" x14ac:dyDescent="0.2">
      <c r="H38" s="3" t="s">
        <v>27</v>
      </c>
      <c r="I38" s="9">
        <v>3339600</v>
      </c>
    </row>
    <row r="39" spans="1:12" x14ac:dyDescent="0.2">
      <c r="H39" s="3" t="s">
        <v>26</v>
      </c>
      <c r="I39" s="3">
        <v>2308400</v>
      </c>
    </row>
    <row r="40" spans="1:12" x14ac:dyDescent="0.2">
      <c r="H40" s="3" t="s">
        <v>33</v>
      </c>
      <c r="I40" s="3">
        <v>200000</v>
      </c>
    </row>
    <row r="41" spans="1:12" x14ac:dyDescent="0.2">
      <c r="H41" s="3" t="s">
        <v>31</v>
      </c>
      <c r="I41" s="3">
        <v>4500000</v>
      </c>
    </row>
    <row r="42" spans="1:12" x14ac:dyDescent="0.2">
      <c r="H42" s="3" t="s">
        <v>36</v>
      </c>
      <c r="I42" s="3">
        <v>3500000</v>
      </c>
    </row>
    <row r="43" spans="1:12" x14ac:dyDescent="0.2">
      <c r="G43" s="41" t="s">
        <v>72</v>
      </c>
      <c r="H43" s="3" t="s">
        <v>29</v>
      </c>
      <c r="I43" s="23">
        <v>6220400</v>
      </c>
    </row>
    <row r="44" spans="1:12" x14ac:dyDescent="0.2">
      <c r="H44" s="3" t="s">
        <v>34</v>
      </c>
      <c r="I44" s="26">
        <f>SUM(I37:I43)</f>
        <v>90513780</v>
      </c>
    </row>
    <row r="45" spans="1:12" x14ac:dyDescent="0.2">
      <c r="H45" s="3" t="s">
        <v>6</v>
      </c>
      <c r="I45" s="25">
        <v>138076000</v>
      </c>
    </row>
    <row r="46" spans="1:12" ht="18" x14ac:dyDescent="0.35">
      <c r="H46" s="3" t="s">
        <v>35</v>
      </c>
      <c r="I46" s="21">
        <f>I45-I44</f>
        <v>47562220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6"/>
  <sheetViews>
    <sheetView workbookViewId="0">
      <selection activeCell="I31" sqref="I31"/>
    </sheetView>
  </sheetViews>
  <sheetFormatPr baseColWidth="10" defaultColWidth="9.1640625" defaultRowHeight="15" x14ac:dyDescent="0.2"/>
  <cols>
    <col min="1" max="1" width="10.33203125" customWidth="1"/>
    <col min="2" max="2" width="15.1640625" customWidth="1"/>
    <col min="5" max="5" width="9.83203125" customWidth="1"/>
    <col min="6" max="6" width="13.83203125" customWidth="1"/>
    <col min="7" max="7" width="11.83203125" customWidth="1"/>
    <col min="8" max="8" width="14.6640625" customWidth="1"/>
    <col min="9" max="9" width="13.6640625" customWidth="1"/>
    <col min="10" max="10" width="10.83203125" customWidth="1"/>
    <col min="11" max="11" width="12.5" customWidth="1"/>
    <col min="12" max="12" width="12" customWidth="1"/>
  </cols>
  <sheetData>
    <row r="1" spans="1:12" ht="31" x14ac:dyDescent="0.35">
      <c r="A1" s="34" t="s">
        <v>47</v>
      </c>
      <c r="B1" s="34"/>
      <c r="C1" s="34"/>
      <c r="D1" s="34"/>
    </row>
    <row r="2" spans="1:12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11</v>
      </c>
      <c r="F2" s="3" t="s">
        <v>8</v>
      </c>
      <c r="G2" s="1" t="s">
        <v>4</v>
      </c>
      <c r="H2" s="3" t="s">
        <v>41</v>
      </c>
      <c r="I2" s="3" t="s">
        <v>9</v>
      </c>
      <c r="J2" s="3" t="s">
        <v>10</v>
      </c>
      <c r="K2" s="3" t="s">
        <v>6</v>
      </c>
      <c r="L2" s="3" t="s">
        <v>12</v>
      </c>
    </row>
    <row r="3" spans="1:12" x14ac:dyDescent="0.2">
      <c r="A3" s="2" t="s">
        <v>48</v>
      </c>
      <c r="B3" s="1" t="s">
        <v>7</v>
      </c>
      <c r="C3" s="1">
        <v>6.29</v>
      </c>
      <c r="D3" s="1">
        <v>230</v>
      </c>
      <c r="E3" s="1">
        <v>17</v>
      </c>
      <c r="F3" s="3">
        <f t="shared" ref="F3" si="0">D3*E3</f>
        <v>3910</v>
      </c>
      <c r="G3" s="5">
        <f t="shared" ref="G3" si="1">F3/C3</f>
        <v>621.62162162162167</v>
      </c>
      <c r="H3" s="3">
        <v>2520</v>
      </c>
      <c r="I3" s="3">
        <f t="shared" ref="I3" si="2">E3/C3*H3*D3</f>
        <v>1566486.4864864864</v>
      </c>
      <c r="J3" s="36">
        <v>16000</v>
      </c>
      <c r="K3" s="3">
        <f t="shared" ref="K3" si="3">J3*D3</f>
        <v>3680000</v>
      </c>
      <c r="L3" s="3">
        <f>K3-I3</f>
        <v>2113513.5135135138</v>
      </c>
    </row>
    <row r="4" spans="1:12" x14ac:dyDescent="0.2">
      <c r="A4" s="2" t="s">
        <v>49</v>
      </c>
      <c r="B4" s="1" t="s">
        <v>7</v>
      </c>
      <c r="C4" s="1">
        <v>6.29</v>
      </c>
      <c r="D4" s="1">
        <v>201</v>
      </c>
      <c r="E4" s="1">
        <v>17</v>
      </c>
      <c r="F4" s="1">
        <f>D4*E3</f>
        <v>3417</v>
      </c>
      <c r="G4" s="1">
        <f>F4/C4</f>
        <v>543.24324324324323</v>
      </c>
      <c r="H4" s="3">
        <v>2520</v>
      </c>
      <c r="I4" s="37">
        <f t="shared" ref="I4:I23" si="4">E4/C4*H4*D4</f>
        <v>1368972.972972973</v>
      </c>
      <c r="J4" s="38">
        <v>16000</v>
      </c>
      <c r="K4" s="38">
        <f>J4*D4</f>
        <v>3216000</v>
      </c>
      <c r="L4" s="3">
        <f>K4-I4</f>
        <v>1847027.027027027</v>
      </c>
    </row>
    <row r="5" spans="1:12" x14ac:dyDescent="0.2">
      <c r="A5" s="2" t="s">
        <v>50</v>
      </c>
      <c r="B5" s="1" t="s">
        <v>42</v>
      </c>
      <c r="C5" s="1">
        <v>6.29</v>
      </c>
      <c r="D5" s="1">
        <v>220</v>
      </c>
      <c r="E5" s="1">
        <v>20</v>
      </c>
      <c r="F5" s="1">
        <f>D5*E5</f>
        <v>4400</v>
      </c>
      <c r="G5" s="1">
        <f>F5/C5</f>
        <v>699.52305246422895</v>
      </c>
      <c r="H5" s="3">
        <v>2520</v>
      </c>
      <c r="I5" s="37">
        <f t="shared" si="4"/>
        <v>1762798.092209857</v>
      </c>
      <c r="J5" s="1">
        <v>15000</v>
      </c>
      <c r="K5" s="38">
        <f>J5*D5</f>
        <v>3300000</v>
      </c>
      <c r="L5" s="3">
        <f t="shared" ref="L5:L23" si="5">K5-I5</f>
        <v>1537201.907790143</v>
      </c>
    </row>
    <row r="6" spans="1:12" x14ac:dyDescent="0.2">
      <c r="A6" s="2" t="s">
        <v>51</v>
      </c>
      <c r="B6" s="1" t="s">
        <v>7</v>
      </c>
      <c r="C6" s="1">
        <v>6.29</v>
      </c>
      <c r="D6" s="1">
        <v>70</v>
      </c>
      <c r="E6" s="1">
        <v>20</v>
      </c>
      <c r="F6" s="1">
        <f>D6*E6</f>
        <v>1400</v>
      </c>
      <c r="G6" s="1">
        <f>F6/C6</f>
        <v>222.57551669316376</v>
      </c>
      <c r="H6" s="3">
        <v>2520</v>
      </c>
      <c r="I6" s="37">
        <f t="shared" si="4"/>
        <v>560890.30206677271</v>
      </c>
      <c r="J6" s="1">
        <v>16000</v>
      </c>
      <c r="K6" s="38">
        <f>J6*D6</f>
        <v>1120000</v>
      </c>
      <c r="L6" s="3">
        <f t="shared" si="5"/>
        <v>559109.69793322729</v>
      </c>
    </row>
    <row r="7" spans="1:12" x14ac:dyDescent="0.2">
      <c r="A7" s="2" t="s">
        <v>52</v>
      </c>
      <c r="B7" s="1" t="s">
        <v>7</v>
      </c>
      <c r="C7" s="1">
        <v>6.29</v>
      </c>
      <c r="D7" s="1">
        <v>150</v>
      </c>
      <c r="E7" s="1">
        <v>20</v>
      </c>
      <c r="F7" s="1">
        <f t="shared" ref="F7:F23" si="6">D7*E7</f>
        <v>3000</v>
      </c>
      <c r="G7" s="1">
        <f t="shared" ref="G7:G23" si="7">F7/C7</f>
        <v>476.94753577106519</v>
      </c>
      <c r="H7" s="3">
        <v>2520</v>
      </c>
      <c r="I7" s="37">
        <f t="shared" si="4"/>
        <v>1201907.7901430842</v>
      </c>
      <c r="J7" s="1">
        <v>16000</v>
      </c>
      <c r="K7" s="38">
        <f t="shared" ref="K7:K23" si="8">J7*D7</f>
        <v>2400000</v>
      </c>
      <c r="L7" s="3">
        <f t="shared" si="5"/>
        <v>1198092.2098569158</v>
      </c>
    </row>
    <row r="8" spans="1:12" x14ac:dyDescent="0.2">
      <c r="A8" s="2" t="s">
        <v>53</v>
      </c>
      <c r="B8" s="1" t="s">
        <v>7</v>
      </c>
      <c r="C8" s="1">
        <v>6.29</v>
      </c>
      <c r="D8" s="1">
        <v>312</v>
      </c>
      <c r="E8" s="1">
        <v>22</v>
      </c>
      <c r="F8" s="1">
        <f t="shared" si="6"/>
        <v>6864</v>
      </c>
      <c r="G8" s="1">
        <f t="shared" si="7"/>
        <v>1091.2559618441971</v>
      </c>
      <c r="H8" s="3">
        <v>2520</v>
      </c>
      <c r="I8" s="37">
        <f t="shared" si="4"/>
        <v>2749965.0238473769</v>
      </c>
      <c r="J8" s="1">
        <v>16000</v>
      </c>
      <c r="K8" s="38">
        <f t="shared" si="8"/>
        <v>4992000</v>
      </c>
      <c r="L8" s="3">
        <f t="shared" si="5"/>
        <v>2242034.9761526231</v>
      </c>
    </row>
    <row r="9" spans="1:12" x14ac:dyDescent="0.2">
      <c r="A9" s="2" t="s">
        <v>54</v>
      </c>
      <c r="B9" s="1" t="s">
        <v>23</v>
      </c>
      <c r="C9" s="1">
        <v>6.29</v>
      </c>
      <c r="D9" s="1">
        <v>313</v>
      </c>
      <c r="E9" s="1">
        <v>14.5</v>
      </c>
      <c r="F9" s="1">
        <f t="shared" si="6"/>
        <v>4538.5</v>
      </c>
      <c r="G9" s="1">
        <f t="shared" si="7"/>
        <v>721.54213036565977</v>
      </c>
      <c r="H9" s="3">
        <v>2520</v>
      </c>
      <c r="I9" s="37">
        <f t="shared" si="4"/>
        <v>1818286.1685214627</v>
      </c>
      <c r="J9" s="1">
        <v>10000</v>
      </c>
      <c r="K9" s="38">
        <f t="shared" si="8"/>
        <v>3130000</v>
      </c>
      <c r="L9" s="3">
        <f t="shared" si="5"/>
        <v>1311713.8314785373</v>
      </c>
    </row>
    <row r="10" spans="1:12" x14ac:dyDescent="0.2">
      <c r="A10" s="2" t="s">
        <v>55</v>
      </c>
      <c r="B10" s="1" t="s">
        <v>23</v>
      </c>
      <c r="C10" s="1">
        <v>6.29</v>
      </c>
      <c r="D10" s="1">
        <v>312</v>
      </c>
      <c r="E10" s="1">
        <v>10</v>
      </c>
      <c r="F10" s="1">
        <f t="shared" si="6"/>
        <v>3120</v>
      </c>
      <c r="G10" s="1">
        <f t="shared" si="7"/>
        <v>496.02543720190778</v>
      </c>
      <c r="H10" s="3">
        <v>2520</v>
      </c>
      <c r="I10" s="37">
        <f t="shared" si="4"/>
        <v>1249984.1017488076</v>
      </c>
      <c r="J10" s="1">
        <v>10000</v>
      </c>
      <c r="K10" s="38">
        <f t="shared" si="8"/>
        <v>3120000</v>
      </c>
      <c r="L10" s="3">
        <f t="shared" si="5"/>
        <v>1870015.8982511924</v>
      </c>
    </row>
    <row r="11" spans="1:12" x14ac:dyDescent="0.2">
      <c r="A11" s="2" t="s">
        <v>56</v>
      </c>
      <c r="B11" s="1" t="s">
        <v>7</v>
      </c>
      <c r="C11" s="1">
        <v>6.29</v>
      </c>
      <c r="D11" s="1">
        <v>229</v>
      </c>
      <c r="E11" s="1">
        <v>22.5</v>
      </c>
      <c r="F11" s="1">
        <f t="shared" si="6"/>
        <v>5152.5</v>
      </c>
      <c r="G11" s="1">
        <f t="shared" si="7"/>
        <v>819.15739268680443</v>
      </c>
      <c r="H11" s="3">
        <v>2520</v>
      </c>
      <c r="I11" s="37">
        <f t="shared" si="4"/>
        <v>2064276.6295707473</v>
      </c>
      <c r="J11" s="1">
        <v>16000</v>
      </c>
      <c r="K11" s="38">
        <f t="shared" si="8"/>
        <v>3664000</v>
      </c>
      <c r="L11" s="29">
        <f t="shared" si="5"/>
        <v>1599723.3704292527</v>
      </c>
    </row>
    <row r="12" spans="1:12" x14ac:dyDescent="0.2">
      <c r="A12" s="2" t="s">
        <v>57</v>
      </c>
      <c r="B12" s="1" t="s">
        <v>42</v>
      </c>
      <c r="C12" s="1">
        <v>6.29</v>
      </c>
      <c r="D12" s="1">
        <v>115</v>
      </c>
      <c r="E12" s="1">
        <v>16</v>
      </c>
      <c r="F12" s="1">
        <f t="shared" si="6"/>
        <v>1840</v>
      </c>
      <c r="G12" s="1">
        <f t="shared" si="7"/>
        <v>292.52782193958666</v>
      </c>
      <c r="H12" s="3">
        <v>2520</v>
      </c>
      <c r="I12" s="37">
        <f t="shared" si="4"/>
        <v>737170.11128775845</v>
      </c>
      <c r="J12" s="1">
        <v>15000</v>
      </c>
      <c r="K12" s="38">
        <f t="shared" si="8"/>
        <v>1725000</v>
      </c>
      <c r="L12" s="29">
        <f t="shared" si="5"/>
        <v>987829.88871224155</v>
      </c>
    </row>
    <row r="13" spans="1:12" x14ac:dyDescent="0.2">
      <c r="A13" s="2" t="s">
        <v>58</v>
      </c>
      <c r="B13" s="1" t="s">
        <v>66</v>
      </c>
      <c r="C13" s="1">
        <v>6.29</v>
      </c>
      <c r="D13" s="1">
        <v>250</v>
      </c>
      <c r="E13" s="1">
        <v>15</v>
      </c>
      <c r="F13" s="1">
        <f t="shared" si="6"/>
        <v>3750</v>
      </c>
      <c r="G13" s="1">
        <f t="shared" si="7"/>
        <v>596.18441971383152</v>
      </c>
      <c r="H13" s="3">
        <v>2520</v>
      </c>
      <c r="I13" s="37">
        <f t="shared" si="4"/>
        <v>1502384.7376788554</v>
      </c>
      <c r="J13" s="1">
        <v>15000</v>
      </c>
      <c r="K13" s="38">
        <f t="shared" si="8"/>
        <v>3750000</v>
      </c>
      <c r="L13" s="29">
        <f t="shared" si="5"/>
        <v>2247615.2623211443</v>
      </c>
    </row>
    <row r="14" spans="1:12" x14ac:dyDescent="0.2">
      <c r="A14" s="2" t="s">
        <v>59</v>
      </c>
      <c r="B14" s="1" t="s">
        <v>66</v>
      </c>
      <c r="C14" s="1">
        <v>6.29</v>
      </c>
      <c r="D14" s="1">
        <v>120</v>
      </c>
      <c r="E14" s="1">
        <v>22</v>
      </c>
      <c r="F14" s="1">
        <f t="shared" si="6"/>
        <v>2640</v>
      </c>
      <c r="G14" s="1">
        <f t="shared" si="7"/>
        <v>419.71383147853737</v>
      </c>
      <c r="H14" s="3">
        <v>2520</v>
      </c>
      <c r="I14" s="37">
        <f t="shared" si="4"/>
        <v>1057678.8553259142</v>
      </c>
      <c r="J14" s="1">
        <v>20000</v>
      </c>
      <c r="K14" s="38">
        <f t="shared" si="8"/>
        <v>2400000</v>
      </c>
      <c r="L14" s="29">
        <f t="shared" si="5"/>
        <v>1342321.1446740858</v>
      </c>
    </row>
    <row r="15" spans="1:12" x14ac:dyDescent="0.2">
      <c r="A15" s="2" t="s">
        <v>60</v>
      </c>
      <c r="B15" s="1" t="s">
        <v>23</v>
      </c>
      <c r="C15" s="1">
        <v>6.29</v>
      </c>
      <c r="D15" s="1">
        <v>180</v>
      </c>
      <c r="E15" s="1">
        <v>10</v>
      </c>
      <c r="F15" s="1">
        <f t="shared" si="6"/>
        <v>1800</v>
      </c>
      <c r="G15" s="1">
        <f t="shared" si="7"/>
        <v>286.16852146263909</v>
      </c>
      <c r="H15" s="3">
        <v>2520</v>
      </c>
      <c r="I15" s="37">
        <f t="shared" si="4"/>
        <v>721144.67408585059</v>
      </c>
      <c r="J15" s="1">
        <v>10000</v>
      </c>
      <c r="K15" s="38">
        <f t="shared" si="8"/>
        <v>1800000</v>
      </c>
      <c r="L15" s="29">
        <f t="shared" si="5"/>
        <v>1078855.3259141494</v>
      </c>
    </row>
    <row r="16" spans="1:12" x14ac:dyDescent="0.2">
      <c r="A16" s="2" t="s">
        <v>61</v>
      </c>
      <c r="B16" s="1" t="s">
        <v>23</v>
      </c>
      <c r="C16" s="1">
        <v>6.29</v>
      </c>
      <c r="D16" s="1">
        <v>200</v>
      </c>
      <c r="E16" s="1">
        <v>19</v>
      </c>
      <c r="F16" s="1">
        <f t="shared" si="6"/>
        <v>3800</v>
      </c>
      <c r="G16" s="1">
        <f t="shared" si="7"/>
        <v>604.13354531001585</v>
      </c>
      <c r="H16" s="3">
        <v>2520</v>
      </c>
      <c r="I16" s="37">
        <f t="shared" si="4"/>
        <v>1522416.53418124</v>
      </c>
      <c r="J16" s="1">
        <v>12000</v>
      </c>
      <c r="K16" s="38">
        <f t="shared" si="8"/>
        <v>2400000</v>
      </c>
      <c r="L16" s="29">
        <f t="shared" si="5"/>
        <v>877583.46581875999</v>
      </c>
    </row>
    <row r="17" spans="1:12" x14ac:dyDescent="0.2">
      <c r="A17" s="2" t="s">
        <v>62</v>
      </c>
      <c r="B17" s="1" t="s">
        <v>67</v>
      </c>
      <c r="C17" s="1">
        <v>6.29</v>
      </c>
      <c r="D17" s="1">
        <v>780</v>
      </c>
      <c r="E17" s="1">
        <v>14</v>
      </c>
      <c r="F17" s="1">
        <f t="shared" si="6"/>
        <v>10920</v>
      </c>
      <c r="G17" s="1">
        <f t="shared" si="7"/>
        <v>1736.0890302066773</v>
      </c>
      <c r="H17" s="3">
        <v>2520</v>
      </c>
      <c r="I17" s="37">
        <f t="shared" si="4"/>
        <v>4374944.3561208267</v>
      </c>
      <c r="J17" s="1">
        <v>15000</v>
      </c>
      <c r="K17" s="38">
        <f t="shared" si="8"/>
        <v>11700000</v>
      </c>
      <c r="L17" s="29">
        <f t="shared" si="5"/>
        <v>7325055.6438791733</v>
      </c>
    </row>
    <row r="18" spans="1:12" x14ac:dyDescent="0.2">
      <c r="A18" s="2" t="s">
        <v>63</v>
      </c>
      <c r="B18" s="1" t="s">
        <v>23</v>
      </c>
      <c r="C18" s="1">
        <v>6.29</v>
      </c>
      <c r="D18" s="1">
        <v>400</v>
      </c>
      <c r="E18" s="1">
        <v>14.5</v>
      </c>
      <c r="F18" s="1">
        <f t="shared" si="6"/>
        <v>5800</v>
      </c>
      <c r="G18" s="1">
        <f t="shared" si="7"/>
        <v>922.09856915739272</v>
      </c>
      <c r="H18" s="3">
        <v>2520</v>
      </c>
      <c r="I18" s="37">
        <f t="shared" si="4"/>
        <v>2323688.3942766297</v>
      </c>
      <c r="J18" s="1">
        <v>10000</v>
      </c>
      <c r="K18" s="38">
        <f t="shared" si="8"/>
        <v>4000000</v>
      </c>
      <c r="L18" s="29">
        <f t="shared" si="5"/>
        <v>1676311.6057233703</v>
      </c>
    </row>
    <row r="19" spans="1:12" x14ac:dyDescent="0.2">
      <c r="A19" s="2" t="s">
        <v>64</v>
      </c>
      <c r="B19" s="1" t="s">
        <v>68</v>
      </c>
      <c r="C19" s="1">
        <v>6.29</v>
      </c>
      <c r="D19" s="1">
        <v>386</v>
      </c>
      <c r="E19" s="1">
        <v>24</v>
      </c>
      <c r="F19" s="1">
        <f t="shared" si="6"/>
        <v>9264</v>
      </c>
      <c r="G19" s="1">
        <f t="shared" si="7"/>
        <v>1472.8139904610493</v>
      </c>
      <c r="H19" s="3">
        <v>2520</v>
      </c>
      <c r="I19" s="37">
        <f t="shared" si="4"/>
        <v>3711491.2559618438</v>
      </c>
      <c r="J19" s="1">
        <v>15000</v>
      </c>
      <c r="K19" s="38">
        <f t="shared" si="8"/>
        <v>5790000</v>
      </c>
      <c r="L19" s="29">
        <f t="shared" si="5"/>
        <v>2078508.7440381562</v>
      </c>
    </row>
    <row r="20" spans="1:12" x14ac:dyDescent="0.2">
      <c r="A20" s="2" t="s">
        <v>65</v>
      </c>
      <c r="B20" s="1" t="s">
        <v>23</v>
      </c>
      <c r="C20" s="1">
        <v>6.29</v>
      </c>
      <c r="D20" s="1">
        <v>178</v>
      </c>
      <c r="E20" s="1">
        <v>13.5</v>
      </c>
      <c r="F20" s="1">
        <f t="shared" si="6"/>
        <v>2403</v>
      </c>
      <c r="G20" s="1">
        <f t="shared" si="7"/>
        <v>382.03497615262319</v>
      </c>
      <c r="H20" s="3">
        <v>2520</v>
      </c>
      <c r="I20" s="37">
        <f t="shared" si="4"/>
        <v>962728.13990461046</v>
      </c>
      <c r="J20" s="1">
        <v>10000</v>
      </c>
      <c r="K20" s="38">
        <f t="shared" si="8"/>
        <v>1780000</v>
      </c>
      <c r="L20" s="29">
        <f t="shared" si="5"/>
        <v>817271.86009538954</v>
      </c>
    </row>
    <row r="21" spans="1:12" x14ac:dyDescent="0.2">
      <c r="A21" s="2" t="s">
        <v>69</v>
      </c>
      <c r="B21" s="1" t="s">
        <v>23</v>
      </c>
      <c r="C21" s="1">
        <v>6.29</v>
      </c>
      <c r="D21" s="1">
        <v>186</v>
      </c>
      <c r="E21" s="1">
        <v>16</v>
      </c>
      <c r="F21" s="1">
        <f t="shared" si="6"/>
        <v>2976</v>
      </c>
      <c r="G21" s="1">
        <f t="shared" si="7"/>
        <v>473.13195548489665</v>
      </c>
      <c r="H21" s="3">
        <v>2520</v>
      </c>
      <c r="I21" s="37">
        <f t="shared" si="4"/>
        <v>1192292.5278219397</v>
      </c>
      <c r="J21" s="1">
        <v>10000</v>
      </c>
      <c r="K21" s="38">
        <f t="shared" si="8"/>
        <v>1860000</v>
      </c>
      <c r="L21" s="29">
        <f t="shared" si="5"/>
        <v>667707.47217806033</v>
      </c>
    </row>
    <row r="22" spans="1:12" x14ac:dyDescent="0.2">
      <c r="A22" s="2" t="s">
        <v>70</v>
      </c>
      <c r="B22" s="1" t="s">
        <v>23</v>
      </c>
      <c r="C22" s="1">
        <v>6.29</v>
      </c>
      <c r="D22" s="1">
        <v>200</v>
      </c>
      <c r="E22" s="1">
        <v>11</v>
      </c>
      <c r="F22" s="1">
        <f t="shared" si="6"/>
        <v>2200</v>
      </c>
      <c r="G22" s="1">
        <f t="shared" si="7"/>
        <v>349.76152623211448</v>
      </c>
      <c r="H22" s="3">
        <v>2520</v>
      </c>
      <c r="I22" s="37">
        <f t="shared" si="4"/>
        <v>881399.04610492848</v>
      </c>
      <c r="J22" s="1">
        <v>10000</v>
      </c>
      <c r="K22" s="38">
        <f t="shared" si="8"/>
        <v>2000000</v>
      </c>
      <c r="L22" s="29">
        <f t="shared" si="5"/>
        <v>1118600.9538950715</v>
      </c>
    </row>
    <row r="23" spans="1:12" x14ac:dyDescent="0.2">
      <c r="A23" s="2" t="s">
        <v>71</v>
      </c>
      <c r="B23" s="1" t="s">
        <v>7</v>
      </c>
      <c r="C23" s="1">
        <v>6.29</v>
      </c>
      <c r="D23" s="1">
        <v>280</v>
      </c>
      <c r="E23" s="1">
        <v>21.5</v>
      </c>
      <c r="F23" s="1">
        <f t="shared" si="6"/>
        <v>6020</v>
      </c>
      <c r="G23" s="1">
        <f t="shared" si="7"/>
        <v>957.07472178060414</v>
      </c>
      <c r="H23" s="3">
        <v>2520</v>
      </c>
      <c r="I23" s="37">
        <f t="shared" si="4"/>
        <v>2411828.2988871224</v>
      </c>
      <c r="J23" s="1">
        <v>16000</v>
      </c>
      <c r="K23" s="38">
        <f t="shared" si="8"/>
        <v>4480000</v>
      </c>
      <c r="L23" s="29">
        <f t="shared" si="5"/>
        <v>2068171.7011128776</v>
      </c>
    </row>
    <row r="24" spans="1:12" x14ac:dyDescent="0.2">
      <c r="A24" s="1"/>
      <c r="B24" s="1"/>
      <c r="C24" s="1"/>
      <c r="D24" s="39">
        <f>SUM(D3:D23)</f>
        <v>5312</v>
      </c>
      <c r="E24" s="1"/>
      <c r="F24" s="30">
        <f>SUM(F3:F23)</f>
        <v>89215</v>
      </c>
      <c r="G24" s="42">
        <f>SUM(G3:G23)</f>
        <v>14183.624801271859</v>
      </c>
      <c r="H24" s="1"/>
      <c r="I24" s="40">
        <f>SUM(I3:I23)</f>
        <v>35742734.499205083</v>
      </c>
      <c r="J24" s="1"/>
      <c r="K24" s="40">
        <f>SUM(K3:K23)</f>
        <v>72307000</v>
      </c>
      <c r="L24" s="20">
        <f>SUM(L3:L23)</f>
        <v>36564265.500794917</v>
      </c>
    </row>
    <row r="27" spans="1:12" x14ac:dyDescent="0.2">
      <c r="H27" s="3" t="s">
        <v>25</v>
      </c>
      <c r="I27" s="15">
        <v>35742734</v>
      </c>
    </row>
    <row r="28" spans="1:12" x14ac:dyDescent="0.2">
      <c r="H28" s="3" t="s">
        <v>27</v>
      </c>
      <c r="I28" s="9">
        <v>1596000</v>
      </c>
    </row>
    <row r="29" spans="1:12" x14ac:dyDescent="0.2">
      <c r="H29" s="3" t="s">
        <v>26</v>
      </c>
      <c r="I29" s="3">
        <v>3087000</v>
      </c>
    </row>
    <row r="30" spans="1:12" x14ac:dyDescent="0.2">
      <c r="H30" s="3" t="s">
        <v>33</v>
      </c>
      <c r="I30" s="3">
        <v>200000</v>
      </c>
    </row>
    <row r="31" spans="1:12" x14ac:dyDescent="0.2">
      <c r="H31" s="3" t="s">
        <v>31</v>
      </c>
      <c r="I31" s="3">
        <v>4500000</v>
      </c>
    </row>
    <row r="32" spans="1:12" x14ac:dyDescent="0.2">
      <c r="H32" s="3" t="s">
        <v>36</v>
      </c>
      <c r="I32" s="3">
        <v>3500000</v>
      </c>
    </row>
    <row r="33" spans="8:9" x14ac:dyDescent="0.2">
      <c r="H33" s="3" t="s">
        <v>29</v>
      </c>
      <c r="I33" s="23">
        <v>2540000</v>
      </c>
    </row>
    <row r="34" spans="8:9" x14ac:dyDescent="0.2">
      <c r="H34" s="3" t="s">
        <v>34</v>
      </c>
      <c r="I34" s="26">
        <f>SUM(I27:I33)</f>
        <v>51165734</v>
      </c>
    </row>
    <row r="35" spans="8:9" x14ac:dyDescent="0.2">
      <c r="H35" s="3" t="s">
        <v>6</v>
      </c>
      <c r="I35" s="25">
        <v>72307000</v>
      </c>
    </row>
    <row r="36" spans="8:9" ht="18" x14ac:dyDescent="0.35">
      <c r="H36" s="3" t="s">
        <v>35</v>
      </c>
      <c r="I36" s="21">
        <f>I35-I34</f>
        <v>21141266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0"/>
  <sheetViews>
    <sheetView workbookViewId="0">
      <selection activeCell="J32" sqref="J32"/>
    </sheetView>
  </sheetViews>
  <sheetFormatPr baseColWidth="10" defaultColWidth="9.1640625" defaultRowHeight="15" x14ac:dyDescent="0.2"/>
  <cols>
    <col min="1" max="1" width="10.83203125" customWidth="1"/>
    <col min="2" max="2" width="13.1640625" customWidth="1"/>
    <col min="6" max="6" width="14.6640625" customWidth="1"/>
    <col min="7" max="7" width="11.5" customWidth="1"/>
    <col min="8" max="8" width="14.5" customWidth="1"/>
    <col min="9" max="9" width="13" customWidth="1"/>
    <col min="10" max="10" width="10.5" bestFit="1" customWidth="1"/>
    <col min="11" max="11" width="15.6640625" customWidth="1"/>
    <col min="12" max="12" width="13.83203125" customWidth="1"/>
  </cols>
  <sheetData>
    <row r="1" spans="1:12" ht="31" x14ac:dyDescent="0.35">
      <c r="A1" s="43" t="s">
        <v>73</v>
      </c>
      <c r="B1" s="43"/>
      <c r="C1" s="43"/>
      <c r="D1" s="43"/>
      <c r="E1" s="1"/>
      <c r="F1" s="1"/>
      <c r="G1" s="1"/>
      <c r="H1" s="1"/>
      <c r="I1" s="1"/>
      <c r="J1" s="1"/>
      <c r="K1" s="1"/>
      <c r="L1" s="1"/>
    </row>
    <row r="2" spans="1:12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11</v>
      </c>
      <c r="F2" s="3" t="s">
        <v>8</v>
      </c>
      <c r="G2" s="1" t="s">
        <v>77</v>
      </c>
      <c r="H2" s="3" t="s">
        <v>41</v>
      </c>
      <c r="I2" s="3" t="s">
        <v>9</v>
      </c>
      <c r="J2" s="3" t="s">
        <v>10</v>
      </c>
      <c r="K2" s="3" t="s">
        <v>6</v>
      </c>
      <c r="L2" s="3" t="s">
        <v>12</v>
      </c>
    </row>
    <row r="3" spans="1:12" x14ac:dyDescent="0.2">
      <c r="A3" s="2" t="s">
        <v>74</v>
      </c>
      <c r="B3" s="1" t="s">
        <v>7</v>
      </c>
      <c r="C3" s="1">
        <v>6.31</v>
      </c>
      <c r="D3" s="1">
        <v>210</v>
      </c>
      <c r="E3" s="1">
        <v>23</v>
      </c>
      <c r="F3" s="44">
        <f t="shared" ref="F3" si="0">D3*E3</f>
        <v>4830</v>
      </c>
      <c r="G3" s="5">
        <f t="shared" ref="G3" si="1">F3/C3</f>
        <v>765.45166402535665</v>
      </c>
      <c r="H3" s="3">
        <v>2480</v>
      </c>
      <c r="I3" s="3">
        <f t="shared" ref="I3:I5" si="2">E3/C3*H3*D3</f>
        <v>1898320.1267828846</v>
      </c>
      <c r="J3" s="3">
        <v>16000</v>
      </c>
      <c r="K3" s="3">
        <f t="shared" ref="K3" si="3">J3*D3</f>
        <v>3360000</v>
      </c>
      <c r="L3" s="3">
        <f>K3-I3</f>
        <v>1461679.8732171154</v>
      </c>
    </row>
    <row r="4" spans="1:12" x14ac:dyDescent="0.2">
      <c r="A4" s="2" t="s">
        <v>74</v>
      </c>
      <c r="B4" s="1" t="s">
        <v>7</v>
      </c>
      <c r="C4" s="1">
        <v>6.31</v>
      </c>
      <c r="D4" s="1">
        <v>101</v>
      </c>
      <c r="E4" s="1">
        <v>22</v>
      </c>
      <c r="F4" s="1">
        <f>D4*E3</f>
        <v>2323</v>
      </c>
      <c r="G4" s="1">
        <f t="shared" ref="G4:G27" si="4">F4/C4</f>
        <v>368.14580031695721</v>
      </c>
      <c r="H4" s="3">
        <v>2480</v>
      </c>
      <c r="I4" s="37">
        <f t="shared" si="2"/>
        <v>873305.86370839959</v>
      </c>
      <c r="J4" s="3">
        <v>16000</v>
      </c>
      <c r="K4" s="3">
        <f t="shared" ref="K4:K27" si="5">J4*D4</f>
        <v>1616000</v>
      </c>
      <c r="L4" s="3">
        <f>K4-I4</f>
        <v>742694.13629160041</v>
      </c>
    </row>
    <row r="5" spans="1:12" x14ac:dyDescent="0.2">
      <c r="A5" s="2" t="s">
        <v>74</v>
      </c>
      <c r="B5" s="1" t="s">
        <v>7</v>
      </c>
      <c r="C5" s="1">
        <v>6.31</v>
      </c>
      <c r="D5" s="1">
        <v>71</v>
      </c>
      <c r="E5" s="1">
        <v>20</v>
      </c>
      <c r="F5" s="1">
        <f>D5*E5</f>
        <v>1420</v>
      </c>
      <c r="G5" s="1">
        <f t="shared" si="4"/>
        <v>225.0396196513471</v>
      </c>
      <c r="H5" s="3">
        <v>2480</v>
      </c>
      <c r="I5" s="37">
        <f t="shared" si="2"/>
        <v>558098.25673534081</v>
      </c>
      <c r="J5" s="3">
        <v>16000</v>
      </c>
      <c r="K5" s="3">
        <f t="shared" si="5"/>
        <v>1136000</v>
      </c>
      <c r="L5" s="3">
        <f t="shared" ref="L5" si="6">K5-I5</f>
        <v>577901.74326465919</v>
      </c>
    </row>
    <row r="6" spans="1:12" x14ac:dyDescent="0.2">
      <c r="A6" s="2" t="s">
        <v>74</v>
      </c>
      <c r="B6" s="1" t="s">
        <v>42</v>
      </c>
      <c r="C6" s="1">
        <v>6.31</v>
      </c>
      <c r="D6" s="1">
        <v>150</v>
      </c>
      <c r="E6" s="1">
        <v>20</v>
      </c>
      <c r="F6" s="1">
        <f>D6*E6</f>
        <v>3000</v>
      </c>
      <c r="G6" s="1">
        <f t="shared" si="4"/>
        <v>475.43581616481777</v>
      </c>
      <c r="H6" s="3">
        <v>2480</v>
      </c>
      <c r="I6" s="37">
        <f t="shared" ref="I6:I27" si="7">E6/C6*H6*D6</f>
        <v>1179080.8240887481</v>
      </c>
      <c r="J6" s="3">
        <v>16000</v>
      </c>
      <c r="K6" s="3">
        <f t="shared" si="5"/>
        <v>2400000</v>
      </c>
      <c r="L6" s="37">
        <f t="shared" ref="L6:L27" si="8">K6-I6</f>
        <v>1220919.1759112519</v>
      </c>
    </row>
    <row r="7" spans="1:12" x14ac:dyDescent="0.2">
      <c r="A7" s="2" t="s">
        <v>74</v>
      </c>
      <c r="B7" s="1" t="s">
        <v>75</v>
      </c>
      <c r="C7" s="1">
        <v>6.31</v>
      </c>
      <c r="D7" s="1">
        <v>350</v>
      </c>
      <c r="E7" s="1">
        <v>24</v>
      </c>
      <c r="F7" s="1">
        <f t="shared" ref="F7:F27" si="9">E7*D7</f>
        <v>8400</v>
      </c>
      <c r="G7" s="1">
        <f t="shared" si="4"/>
        <v>1331.2202852614898</v>
      </c>
      <c r="H7" s="3">
        <v>2480</v>
      </c>
      <c r="I7" s="37">
        <f t="shared" si="7"/>
        <v>3301426.3074484947</v>
      </c>
      <c r="J7" s="3">
        <v>15000</v>
      </c>
      <c r="K7" s="29">
        <f t="shared" si="5"/>
        <v>5250000</v>
      </c>
      <c r="L7" s="29">
        <f t="shared" si="8"/>
        <v>1948573.6925515053</v>
      </c>
    </row>
    <row r="8" spans="1:12" x14ac:dyDescent="0.2">
      <c r="A8" s="2" t="s">
        <v>74</v>
      </c>
      <c r="B8" s="1" t="s">
        <v>7</v>
      </c>
      <c r="C8" s="1">
        <v>6.31</v>
      </c>
      <c r="D8" s="1">
        <v>240</v>
      </c>
      <c r="E8" s="1">
        <v>20</v>
      </c>
      <c r="F8" s="1">
        <f t="shared" si="9"/>
        <v>4800</v>
      </c>
      <c r="G8" s="1">
        <f t="shared" si="4"/>
        <v>760.69730586370849</v>
      </c>
      <c r="H8" s="3">
        <v>2480</v>
      </c>
      <c r="I8" s="37">
        <f t="shared" si="7"/>
        <v>1886529.3185419969</v>
      </c>
      <c r="J8" s="3">
        <v>16000</v>
      </c>
      <c r="K8" s="29">
        <f t="shared" si="5"/>
        <v>3840000</v>
      </c>
      <c r="L8" s="29">
        <f t="shared" si="8"/>
        <v>1953470.6814580031</v>
      </c>
    </row>
    <row r="9" spans="1:12" x14ac:dyDescent="0.2">
      <c r="A9" s="2" t="s">
        <v>74</v>
      </c>
      <c r="B9" s="1" t="s">
        <v>7</v>
      </c>
      <c r="C9" s="1">
        <v>6.31</v>
      </c>
      <c r="D9" s="1">
        <v>107</v>
      </c>
      <c r="E9" s="1">
        <v>21</v>
      </c>
      <c r="F9" s="1">
        <f t="shared" si="9"/>
        <v>2247</v>
      </c>
      <c r="G9" s="1">
        <f t="shared" si="4"/>
        <v>356.10142630744849</v>
      </c>
      <c r="H9" s="3">
        <v>2480</v>
      </c>
      <c r="I9" s="37">
        <f t="shared" si="7"/>
        <v>883131.53724247229</v>
      </c>
      <c r="J9" s="3">
        <v>16000</v>
      </c>
      <c r="K9" s="29">
        <f t="shared" si="5"/>
        <v>1712000</v>
      </c>
      <c r="L9" s="29">
        <f t="shared" si="8"/>
        <v>828868.46275752771</v>
      </c>
    </row>
    <row r="10" spans="1:12" x14ac:dyDescent="0.2">
      <c r="A10" s="2" t="s">
        <v>74</v>
      </c>
      <c r="B10" s="1" t="s">
        <v>7</v>
      </c>
      <c r="C10" s="1">
        <v>6.31</v>
      </c>
      <c r="D10" s="1">
        <v>150</v>
      </c>
      <c r="E10" s="1">
        <v>20</v>
      </c>
      <c r="F10" s="1">
        <f t="shared" si="9"/>
        <v>3000</v>
      </c>
      <c r="G10" s="1">
        <f t="shared" si="4"/>
        <v>475.43581616481777</v>
      </c>
      <c r="H10" s="3">
        <v>2480</v>
      </c>
      <c r="I10" s="37">
        <f t="shared" si="7"/>
        <v>1179080.8240887481</v>
      </c>
      <c r="J10" s="3">
        <v>16000</v>
      </c>
      <c r="K10" s="29">
        <f t="shared" si="5"/>
        <v>2400000</v>
      </c>
      <c r="L10" s="29">
        <f t="shared" si="8"/>
        <v>1220919.1759112519</v>
      </c>
    </row>
    <row r="11" spans="1:12" x14ac:dyDescent="0.2">
      <c r="A11" s="2" t="s">
        <v>74</v>
      </c>
      <c r="B11" s="1" t="s">
        <v>7</v>
      </c>
      <c r="C11" s="1">
        <v>6.31</v>
      </c>
      <c r="D11" s="1">
        <v>100</v>
      </c>
      <c r="E11" s="1">
        <v>20</v>
      </c>
      <c r="F11" s="1">
        <f t="shared" si="9"/>
        <v>2000</v>
      </c>
      <c r="G11" s="1">
        <f t="shared" si="4"/>
        <v>316.9572107765452</v>
      </c>
      <c r="H11" s="3">
        <v>2480</v>
      </c>
      <c r="I11" s="37">
        <f t="shared" si="7"/>
        <v>786053.88272583205</v>
      </c>
      <c r="J11" s="3">
        <v>16000</v>
      </c>
      <c r="K11" s="29">
        <f t="shared" si="5"/>
        <v>1600000</v>
      </c>
      <c r="L11" s="29">
        <f t="shared" si="8"/>
        <v>813946.11727416795</v>
      </c>
    </row>
    <row r="12" spans="1:12" x14ac:dyDescent="0.2">
      <c r="A12" s="2" t="s">
        <v>74</v>
      </c>
      <c r="B12" s="1" t="s">
        <v>7</v>
      </c>
      <c r="C12" s="1">
        <v>6.31</v>
      </c>
      <c r="D12" s="1">
        <v>300</v>
      </c>
      <c r="E12" s="1">
        <v>22</v>
      </c>
      <c r="F12" s="1">
        <f t="shared" si="9"/>
        <v>6600</v>
      </c>
      <c r="G12" s="1">
        <f t="shared" si="4"/>
        <v>1045.9587955625991</v>
      </c>
      <c r="H12" s="3">
        <v>2480</v>
      </c>
      <c r="I12" s="37">
        <f t="shared" si="7"/>
        <v>2593977.8129952461</v>
      </c>
      <c r="J12" s="3">
        <v>16000</v>
      </c>
      <c r="K12" s="29">
        <f t="shared" si="5"/>
        <v>4800000</v>
      </c>
      <c r="L12" s="29">
        <f t="shared" si="8"/>
        <v>2206022.1870047539</v>
      </c>
    </row>
    <row r="13" spans="1:12" x14ac:dyDescent="0.2">
      <c r="A13" s="2" t="s">
        <v>74</v>
      </c>
      <c r="B13" s="1" t="s">
        <v>7</v>
      </c>
      <c r="C13" s="1">
        <v>6.31</v>
      </c>
      <c r="D13" s="1">
        <v>110</v>
      </c>
      <c r="E13" s="1">
        <v>15</v>
      </c>
      <c r="F13" s="1">
        <f t="shared" si="9"/>
        <v>1650</v>
      </c>
      <c r="G13" s="1">
        <f t="shared" si="4"/>
        <v>261.48969889064978</v>
      </c>
      <c r="H13" s="3">
        <v>2480</v>
      </c>
      <c r="I13" s="37">
        <f t="shared" si="7"/>
        <v>648494.45324881142</v>
      </c>
      <c r="J13" s="3">
        <v>15000</v>
      </c>
      <c r="K13" s="29">
        <f t="shared" si="5"/>
        <v>1650000</v>
      </c>
      <c r="L13" s="29">
        <f t="shared" si="8"/>
        <v>1001505.5467511886</v>
      </c>
    </row>
    <row r="14" spans="1:12" x14ac:dyDescent="0.2">
      <c r="A14" s="2" t="s">
        <v>74</v>
      </c>
      <c r="B14" s="1" t="s">
        <v>42</v>
      </c>
      <c r="C14" s="1">
        <v>6.31</v>
      </c>
      <c r="D14" s="1">
        <v>190</v>
      </c>
      <c r="E14" s="1">
        <v>19</v>
      </c>
      <c r="F14" s="1">
        <f t="shared" si="9"/>
        <v>3610</v>
      </c>
      <c r="G14" s="1">
        <f t="shared" si="4"/>
        <v>572.10776545166402</v>
      </c>
      <c r="H14" s="3">
        <v>2480</v>
      </c>
      <c r="I14" s="37">
        <f t="shared" si="7"/>
        <v>1418827.2583201269</v>
      </c>
      <c r="J14" s="3">
        <v>15000</v>
      </c>
      <c r="K14" s="29">
        <f t="shared" si="5"/>
        <v>2850000</v>
      </c>
      <c r="L14" s="29">
        <f t="shared" si="8"/>
        <v>1431172.7416798731</v>
      </c>
    </row>
    <row r="15" spans="1:12" x14ac:dyDescent="0.2">
      <c r="A15" s="2" t="s">
        <v>74</v>
      </c>
      <c r="B15" s="1" t="s">
        <v>42</v>
      </c>
      <c r="C15" s="1">
        <v>6.31</v>
      </c>
      <c r="D15" s="1">
        <v>110</v>
      </c>
      <c r="E15" s="1">
        <v>21</v>
      </c>
      <c r="F15" s="1">
        <f t="shared" si="9"/>
        <v>2310</v>
      </c>
      <c r="G15" s="1">
        <f t="shared" si="4"/>
        <v>366.08557844690966</v>
      </c>
      <c r="H15" s="3">
        <v>2480</v>
      </c>
      <c r="I15" s="37">
        <f t="shared" si="7"/>
        <v>907892.23454833601</v>
      </c>
      <c r="J15" s="3">
        <v>15000</v>
      </c>
      <c r="K15" s="29">
        <f t="shared" si="5"/>
        <v>1650000</v>
      </c>
      <c r="L15" s="29">
        <f t="shared" si="8"/>
        <v>742107.76545166399</v>
      </c>
    </row>
    <row r="16" spans="1:12" x14ac:dyDescent="0.2">
      <c r="A16" s="2" t="s">
        <v>74</v>
      </c>
      <c r="B16" s="1" t="s">
        <v>76</v>
      </c>
      <c r="C16" s="1">
        <v>6.31</v>
      </c>
      <c r="D16" s="1">
        <v>848</v>
      </c>
      <c r="E16" s="1">
        <v>14</v>
      </c>
      <c r="F16" s="1">
        <f t="shared" si="9"/>
        <v>11872</v>
      </c>
      <c r="G16" s="1">
        <f t="shared" si="4"/>
        <v>1881.4580031695723</v>
      </c>
      <c r="H16" s="3">
        <v>2480</v>
      </c>
      <c r="I16" s="37">
        <f t="shared" si="7"/>
        <v>4666015.8478605393</v>
      </c>
      <c r="J16" s="3">
        <v>10000</v>
      </c>
      <c r="K16" s="29">
        <f t="shared" si="5"/>
        <v>8480000</v>
      </c>
      <c r="L16" s="29">
        <f t="shared" si="8"/>
        <v>3813984.1521394607</v>
      </c>
    </row>
    <row r="17" spans="1:12" x14ac:dyDescent="0.2">
      <c r="A17" s="2" t="s">
        <v>74</v>
      </c>
      <c r="B17" s="1" t="s">
        <v>76</v>
      </c>
      <c r="C17" s="1">
        <v>6.31</v>
      </c>
      <c r="D17" s="1">
        <v>690</v>
      </c>
      <c r="E17" s="1">
        <v>14</v>
      </c>
      <c r="F17" s="1">
        <f t="shared" si="9"/>
        <v>9660</v>
      </c>
      <c r="G17" s="1">
        <f t="shared" si="4"/>
        <v>1530.9033280507133</v>
      </c>
      <c r="H17" s="3">
        <v>2480</v>
      </c>
      <c r="I17" s="37">
        <f t="shared" si="7"/>
        <v>3796640.2535657687</v>
      </c>
      <c r="J17" s="3">
        <v>10000</v>
      </c>
      <c r="K17" s="29">
        <f t="shared" si="5"/>
        <v>6900000</v>
      </c>
      <c r="L17" s="29">
        <f t="shared" si="8"/>
        <v>3103359.7464342313</v>
      </c>
    </row>
    <row r="18" spans="1:12" x14ac:dyDescent="0.2">
      <c r="A18" s="2" t="s">
        <v>74</v>
      </c>
      <c r="B18" s="1" t="s">
        <v>42</v>
      </c>
      <c r="C18" s="1">
        <v>6.31</v>
      </c>
      <c r="D18" s="1">
        <v>230</v>
      </c>
      <c r="E18" s="1">
        <v>15</v>
      </c>
      <c r="F18" s="1">
        <f t="shared" si="9"/>
        <v>3450</v>
      </c>
      <c r="G18" s="1">
        <f t="shared" si="4"/>
        <v>546.75118858954045</v>
      </c>
      <c r="H18" s="3">
        <v>2480</v>
      </c>
      <c r="I18" s="37">
        <f t="shared" si="7"/>
        <v>1355942.9477020602</v>
      </c>
      <c r="J18" s="3">
        <v>15000</v>
      </c>
      <c r="K18" s="29">
        <f t="shared" si="5"/>
        <v>3450000</v>
      </c>
      <c r="L18" s="29">
        <f t="shared" si="8"/>
        <v>2094057.0522979398</v>
      </c>
    </row>
    <row r="19" spans="1:12" x14ac:dyDescent="0.2">
      <c r="A19" s="2" t="s">
        <v>74</v>
      </c>
      <c r="B19" s="1" t="s">
        <v>42</v>
      </c>
      <c r="C19" s="1">
        <v>6.31</v>
      </c>
      <c r="D19" s="1">
        <v>153</v>
      </c>
      <c r="E19" s="1">
        <v>20</v>
      </c>
      <c r="F19" s="1">
        <f t="shared" si="9"/>
        <v>3060</v>
      </c>
      <c r="G19" s="1">
        <f t="shared" si="4"/>
        <v>484.94453248811413</v>
      </c>
      <c r="H19" s="3">
        <v>2480</v>
      </c>
      <c r="I19" s="37">
        <f t="shared" si="7"/>
        <v>1202662.440570523</v>
      </c>
      <c r="J19" s="3">
        <v>15000</v>
      </c>
      <c r="K19" s="29">
        <f t="shared" si="5"/>
        <v>2295000</v>
      </c>
      <c r="L19" s="29">
        <f t="shared" si="8"/>
        <v>1092337.559429477</v>
      </c>
    </row>
    <row r="20" spans="1:12" x14ac:dyDescent="0.2">
      <c r="A20" s="2" t="s">
        <v>74</v>
      </c>
      <c r="B20" s="1" t="s">
        <v>7</v>
      </c>
      <c r="C20" s="1">
        <v>6.31</v>
      </c>
      <c r="D20" s="1">
        <v>58</v>
      </c>
      <c r="E20" s="1">
        <v>15</v>
      </c>
      <c r="F20" s="1">
        <f t="shared" si="9"/>
        <v>870</v>
      </c>
      <c r="G20" s="1">
        <f t="shared" si="4"/>
        <v>137.87638668779715</v>
      </c>
      <c r="H20" s="3">
        <v>2480</v>
      </c>
      <c r="I20" s="37">
        <f t="shared" si="7"/>
        <v>341933.43898573692</v>
      </c>
      <c r="J20" s="3">
        <v>16000</v>
      </c>
      <c r="K20" s="29">
        <f t="shared" si="5"/>
        <v>928000</v>
      </c>
      <c r="L20" s="29">
        <f t="shared" si="8"/>
        <v>586066.56101426308</v>
      </c>
    </row>
    <row r="21" spans="1:12" x14ac:dyDescent="0.2">
      <c r="A21" s="2" t="s">
        <v>74</v>
      </c>
      <c r="B21" s="1" t="s">
        <v>7</v>
      </c>
      <c r="C21" s="1">
        <v>6.31</v>
      </c>
      <c r="D21" s="1">
        <v>77</v>
      </c>
      <c r="E21" s="1">
        <v>19</v>
      </c>
      <c r="F21" s="1">
        <f t="shared" si="9"/>
        <v>1463</v>
      </c>
      <c r="G21" s="1">
        <f t="shared" si="4"/>
        <v>231.85419968304279</v>
      </c>
      <c r="H21" s="3">
        <v>2480</v>
      </c>
      <c r="I21" s="37">
        <f t="shared" si="7"/>
        <v>574998.41521394614</v>
      </c>
      <c r="J21" s="3">
        <v>16000</v>
      </c>
      <c r="K21" s="29">
        <f t="shared" si="5"/>
        <v>1232000</v>
      </c>
      <c r="L21" s="29">
        <f t="shared" si="8"/>
        <v>657001.58478605386</v>
      </c>
    </row>
    <row r="22" spans="1:12" x14ac:dyDescent="0.2">
      <c r="A22" s="2" t="s">
        <v>74</v>
      </c>
      <c r="B22" s="1" t="s">
        <v>7</v>
      </c>
      <c r="C22" s="1">
        <v>6.31</v>
      </c>
      <c r="D22" s="1">
        <v>220</v>
      </c>
      <c r="E22" s="1">
        <v>19</v>
      </c>
      <c r="F22" s="1">
        <f t="shared" si="9"/>
        <v>4180</v>
      </c>
      <c r="G22" s="1">
        <f t="shared" si="4"/>
        <v>662.44057052297944</v>
      </c>
      <c r="H22" s="3">
        <v>2480</v>
      </c>
      <c r="I22" s="37">
        <f t="shared" si="7"/>
        <v>1642852.614896989</v>
      </c>
      <c r="J22" s="3">
        <v>16000</v>
      </c>
      <c r="K22" s="29">
        <f t="shared" si="5"/>
        <v>3520000</v>
      </c>
      <c r="L22" s="29">
        <f t="shared" si="8"/>
        <v>1877147.385103011</v>
      </c>
    </row>
    <row r="23" spans="1:12" x14ac:dyDescent="0.2">
      <c r="A23" s="2" t="s">
        <v>74</v>
      </c>
      <c r="B23" s="1" t="s">
        <v>7</v>
      </c>
      <c r="C23" s="1">
        <v>6.31</v>
      </c>
      <c r="D23" s="1">
        <v>200</v>
      </c>
      <c r="E23" s="1">
        <v>20</v>
      </c>
      <c r="F23" s="1">
        <f t="shared" si="9"/>
        <v>4000</v>
      </c>
      <c r="G23" s="1">
        <f t="shared" si="4"/>
        <v>633.91442155309039</v>
      </c>
      <c r="H23" s="3">
        <v>2480</v>
      </c>
      <c r="I23" s="37">
        <f t="shared" si="7"/>
        <v>1572107.7654516641</v>
      </c>
      <c r="J23" s="3">
        <v>16000</v>
      </c>
      <c r="K23" s="29">
        <f t="shared" si="5"/>
        <v>3200000</v>
      </c>
      <c r="L23" s="29">
        <f t="shared" si="8"/>
        <v>1627892.2345483359</v>
      </c>
    </row>
    <row r="24" spans="1:12" x14ac:dyDescent="0.2">
      <c r="A24" s="2" t="s">
        <v>74</v>
      </c>
      <c r="B24" s="1" t="s">
        <v>7</v>
      </c>
      <c r="C24" s="1">
        <v>6.31</v>
      </c>
      <c r="D24" s="1">
        <v>210</v>
      </c>
      <c r="E24" s="1">
        <v>21</v>
      </c>
      <c r="F24" s="1">
        <f t="shared" si="9"/>
        <v>4410</v>
      </c>
      <c r="G24" s="1">
        <f t="shared" si="4"/>
        <v>698.89064976228212</v>
      </c>
      <c r="H24" s="3">
        <v>2480</v>
      </c>
      <c r="I24" s="37">
        <f t="shared" si="7"/>
        <v>1733248.8114104597</v>
      </c>
      <c r="J24" s="3">
        <v>16000</v>
      </c>
      <c r="K24" s="29">
        <f t="shared" si="5"/>
        <v>3360000</v>
      </c>
      <c r="L24" s="29">
        <f t="shared" si="8"/>
        <v>1626751.1885895403</v>
      </c>
    </row>
    <row r="25" spans="1:12" x14ac:dyDescent="0.2">
      <c r="A25" s="2" t="s">
        <v>74</v>
      </c>
      <c r="B25" s="1" t="s">
        <v>7</v>
      </c>
      <c r="C25" s="1">
        <v>6.31</v>
      </c>
      <c r="D25" s="1">
        <v>131</v>
      </c>
      <c r="E25" s="1">
        <v>19</v>
      </c>
      <c r="F25" s="1">
        <f t="shared" si="9"/>
        <v>2489</v>
      </c>
      <c r="G25" s="1">
        <f t="shared" si="4"/>
        <v>394.4532488114105</v>
      </c>
      <c r="H25" s="3">
        <v>2480</v>
      </c>
      <c r="I25" s="37">
        <f t="shared" si="7"/>
        <v>978244.05705229798</v>
      </c>
      <c r="J25" s="3">
        <v>16000</v>
      </c>
      <c r="K25" s="29">
        <f t="shared" si="5"/>
        <v>2096000</v>
      </c>
      <c r="L25" s="29">
        <f t="shared" si="8"/>
        <v>1117755.942947702</v>
      </c>
    </row>
    <row r="26" spans="1:12" x14ac:dyDescent="0.2">
      <c r="A26" s="2" t="s">
        <v>74</v>
      </c>
      <c r="B26" s="1" t="s">
        <v>7</v>
      </c>
      <c r="C26" s="1">
        <v>6.31</v>
      </c>
      <c r="D26" s="1">
        <v>81</v>
      </c>
      <c r="E26" s="1">
        <v>21</v>
      </c>
      <c r="F26" s="1">
        <f t="shared" si="9"/>
        <v>1701</v>
      </c>
      <c r="G26" s="1">
        <f t="shared" si="4"/>
        <v>269.57210776545168</v>
      </c>
      <c r="H26" s="3">
        <v>2480</v>
      </c>
      <c r="I26" s="37">
        <f t="shared" si="7"/>
        <v>668538.82725832018</v>
      </c>
      <c r="J26" s="3">
        <v>16000</v>
      </c>
      <c r="K26" s="29">
        <f t="shared" si="5"/>
        <v>1296000</v>
      </c>
      <c r="L26" s="29">
        <f t="shared" si="8"/>
        <v>627461.17274167982</v>
      </c>
    </row>
    <row r="27" spans="1:12" x14ac:dyDescent="0.2">
      <c r="A27" s="2" t="s">
        <v>74</v>
      </c>
      <c r="B27" s="1" t="s">
        <v>76</v>
      </c>
      <c r="C27" s="1">
        <v>6.31</v>
      </c>
      <c r="D27" s="1">
        <v>360</v>
      </c>
      <c r="E27" s="1">
        <v>10</v>
      </c>
      <c r="F27" s="1">
        <f t="shared" si="9"/>
        <v>3600</v>
      </c>
      <c r="G27" s="1">
        <f t="shared" si="4"/>
        <v>570.52297939778134</v>
      </c>
      <c r="H27" s="3">
        <v>2480</v>
      </c>
      <c r="I27" s="37">
        <f t="shared" si="7"/>
        <v>1414896.9889064976</v>
      </c>
      <c r="J27" s="3">
        <v>10000</v>
      </c>
      <c r="K27" s="29">
        <f t="shared" si="5"/>
        <v>3600000</v>
      </c>
      <c r="L27" s="29">
        <f t="shared" si="8"/>
        <v>2185103.0110935024</v>
      </c>
    </row>
    <row r="28" spans="1:12" x14ac:dyDescent="0.2">
      <c r="A28" s="1"/>
      <c r="B28" s="1"/>
      <c r="C28" s="1"/>
      <c r="D28" s="39">
        <f>SUM(D3:D27)</f>
        <v>5447</v>
      </c>
      <c r="E28" s="1"/>
      <c r="F28" s="30">
        <f>SUM(F3:F27)</f>
        <v>96945</v>
      </c>
      <c r="G28" s="42">
        <f>SUM(G3:G27)</f>
        <v>15363.708399366091</v>
      </c>
      <c r="H28" s="1"/>
      <c r="I28" s="30">
        <f>SUM(I3:I27)</f>
        <v>38062301.109350234</v>
      </c>
      <c r="J28" s="1"/>
      <c r="K28" s="30">
        <f>SUM(K3:K27)</f>
        <v>74621000</v>
      </c>
      <c r="L28" s="30">
        <f>SUM(L3:L27)</f>
        <v>36558698.890649766</v>
      </c>
    </row>
    <row r="30" spans="1:12" x14ac:dyDescent="0.2">
      <c r="H30" t="s">
        <v>78</v>
      </c>
    </row>
    <row r="31" spans="1:12" x14ac:dyDescent="0.2">
      <c r="H31" s="3" t="s">
        <v>25</v>
      </c>
      <c r="I31" s="15">
        <v>38062301</v>
      </c>
    </row>
    <row r="32" spans="1:12" x14ac:dyDescent="0.2">
      <c r="H32" s="3" t="s">
        <v>27</v>
      </c>
      <c r="I32" s="9">
        <v>1563000</v>
      </c>
    </row>
    <row r="33" spans="8:9" x14ac:dyDescent="0.2">
      <c r="H33" s="3" t="s">
        <v>26</v>
      </c>
      <c r="I33" s="3">
        <v>3087000</v>
      </c>
    </row>
    <row r="34" spans="8:9" x14ac:dyDescent="0.2">
      <c r="H34" s="3" t="s">
        <v>33</v>
      </c>
      <c r="I34" s="3">
        <v>200000</v>
      </c>
    </row>
    <row r="35" spans="8:9" x14ac:dyDescent="0.2">
      <c r="H35" s="3" t="s">
        <v>31</v>
      </c>
      <c r="I35" s="3">
        <v>4500000</v>
      </c>
    </row>
    <row r="36" spans="8:9" x14ac:dyDescent="0.2">
      <c r="H36" s="3" t="s">
        <v>36</v>
      </c>
      <c r="I36" s="3">
        <v>3500000</v>
      </c>
    </row>
    <row r="37" spans="8:9" x14ac:dyDescent="0.2">
      <c r="H37" s="3" t="s">
        <v>29</v>
      </c>
      <c r="I37" s="23">
        <v>2540000</v>
      </c>
    </row>
    <row r="38" spans="8:9" x14ac:dyDescent="0.2">
      <c r="H38" s="3" t="s">
        <v>34</v>
      </c>
      <c r="I38" s="26">
        <f>SUM(I31:I37)</f>
        <v>53452301</v>
      </c>
    </row>
    <row r="39" spans="8:9" x14ac:dyDescent="0.2">
      <c r="H39" s="3" t="s">
        <v>6</v>
      </c>
      <c r="I39" s="25">
        <v>72307000</v>
      </c>
    </row>
    <row r="40" spans="8:9" ht="18" x14ac:dyDescent="0.35">
      <c r="H40" s="3" t="s">
        <v>35</v>
      </c>
      <c r="I40" s="21">
        <f>I39-I38</f>
        <v>18854699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0"/>
  <sheetViews>
    <sheetView workbookViewId="0">
      <selection activeCell="I34" sqref="I34"/>
    </sheetView>
  </sheetViews>
  <sheetFormatPr baseColWidth="10" defaultColWidth="9.1640625" defaultRowHeight="15" x14ac:dyDescent="0.2"/>
  <cols>
    <col min="2" max="2" width="12.83203125" customWidth="1"/>
    <col min="6" max="6" width="15.1640625" customWidth="1"/>
    <col min="7" max="7" width="20.5" customWidth="1"/>
    <col min="8" max="8" width="11.5" customWidth="1"/>
    <col min="9" max="9" width="13.6640625" customWidth="1"/>
    <col min="10" max="10" width="10.5" bestFit="1" customWidth="1"/>
    <col min="11" max="11" width="11.5" customWidth="1"/>
    <col min="12" max="12" width="16" customWidth="1"/>
  </cols>
  <sheetData>
    <row r="1" spans="1:12" ht="31" x14ac:dyDescent="0.35">
      <c r="A1" s="56" t="s">
        <v>87</v>
      </c>
      <c r="B1" s="56"/>
      <c r="C1" s="56"/>
      <c r="D1" s="56"/>
      <c r="E1" s="57"/>
      <c r="F1" s="57"/>
      <c r="G1" s="57"/>
      <c r="H1" s="57"/>
      <c r="I1" s="57"/>
      <c r="J1" s="57"/>
      <c r="K1" s="57"/>
      <c r="L1" s="57"/>
    </row>
    <row r="2" spans="1:12" x14ac:dyDescent="0.2">
      <c r="A2" s="58" t="s">
        <v>0</v>
      </c>
      <c r="B2" s="58" t="s">
        <v>1</v>
      </c>
      <c r="C2" s="58" t="s">
        <v>2</v>
      </c>
      <c r="D2" s="58" t="s">
        <v>3</v>
      </c>
      <c r="E2" s="58" t="s">
        <v>11</v>
      </c>
      <c r="F2" s="59" t="s">
        <v>8</v>
      </c>
      <c r="G2" s="58" t="s">
        <v>77</v>
      </c>
      <c r="H2" s="59" t="s">
        <v>41</v>
      </c>
      <c r="I2" s="59" t="s">
        <v>9</v>
      </c>
      <c r="J2" s="59" t="s">
        <v>10</v>
      </c>
      <c r="K2" s="59" t="s">
        <v>6</v>
      </c>
      <c r="L2" s="59" t="s">
        <v>12</v>
      </c>
    </row>
    <row r="3" spans="1:12" x14ac:dyDescent="0.2">
      <c r="A3" s="2" t="s">
        <v>91</v>
      </c>
      <c r="B3" s="1" t="s">
        <v>16</v>
      </c>
      <c r="C3" s="1">
        <v>6.32</v>
      </c>
      <c r="D3" s="1">
        <v>250</v>
      </c>
      <c r="E3" s="1">
        <v>26</v>
      </c>
      <c r="F3" s="44">
        <f t="shared" ref="F3" si="0">D3*E3</f>
        <v>6500</v>
      </c>
      <c r="G3" s="5">
        <f t="shared" ref="G3:G26" si="1">F3/C3</f>
        <v>1028.4810126582279</v>
      </c>
      <c r="H3" s="3">
        <v>2480</v>
      </c>
      <c r="I3" s="3">
        <f t="shared" ref="I3:I26" si="2">E3/C3*H3*D3</f>
        <v>2550632.9113924047</v>
      </c>
      <c r="J3" s="3">
        <v>20000</v>
      </c>
      <c r="K3" s="3">
        <f t="shared" ref="K3:K26" si="3">J3*D3</f>
        <v>5000000</v>
      </c>
      <c r="L3" s="3">
        <f>K3-I3</f>
        <v>2449367.0886075953</v>
      </c>
    </row>
    <row r="4" spans="1:12" x14ac:dyDescent="0.2">
      <c r="A4" s="2" t="s">
        <v>91</v>
      </c>
      <c r="B4" s="1" t="s">
        <v>16</v>
      </c>
      <c r="C4" s="1">
        <v>6.32</v>
      </c>
      <c r="D4" s="1">
        <v>250</v>
      </c>
      <c r="E4" s="1">
        <v>26</v>
      </c>
      <c r="F4" s="1">
        <f>D4*E3</f>
        <v>6500</v>
      </c>
      <c r="G4" s="1">
        <f t="shared" si="1"/>
        <v>1028.4810126582279</v>
      </c>
      <c r="H4" s="3">
        <v>2480</v>
      </c>
      <c r="I4" s="37">
        <f t="shared" si="2"/>
        <v>2550632.9113924047</v>
      </c>
      <c r="J4" s="3">
        <v>20000</v>
      </c>
      <c r="K4" s="3">
        <f t="shared" si="3"/>
        <v>5000000</v>
      </c>
      <c r="L4" s="3">
        <f>K4-I4</f>
        <v>2449367.0886075953</v>
      </c>
    </row>
    <row r="5" spans="1:12" x14ac:dyDescent="0.2">
      <c r="A5" s="2" t="s">
        <v>91</v>
      </c>
      <c r="B5" s="1" t="s">
        <v>16</v>
      </c>
      <c r="C5" s="1">
        <v>6.32</v>
      </c>
      <c r="D5" s="1">
        <v>150</v>
      </c>
      <c r="E5" s="1">
        <v>25</v>
      </c>
      <c r="F5" s="1">
        <f t="shared" ref="F5:F26" si="4">D5*E5</f>
        <v>3750</v>
      </c>
      <c r="G5" s="1">
        <f t="shared" si="1"/>
        <v>593.35443037974676</v>
      </c>
      <c r="H5" s="3">
        <v>2480</v>
      </c>
      <c r="I5" s="37">
        <f t="shared" si="2"/>
        <v>1471518.9873417721</v>
      </c>
      <c r="J5" s="3">
        <v>20000</v>
      </c>
      <c r="K5" s="3">
        <f t="shared" si="3"/>
        <v>3000000</v>
      </c>
      <c r="L5" s="3">
        <f t="shared" ref="L5:L26" si="5">K5-I5</f>
        <v>1528481.0126582279</v>
      </c>
    </row>
    <row r="6" spans="1:12" x14ac:dyDescent="0.2">
      <c r="A6" s="2" t="s">
        <v>91</v>
      </c>
      <c r="B6" s="1" t="s">
        <v>16</v>
      </c>
      <c r="C6" s="1">
        <v>6.32</v>
      </c>
      <c r="D6" s="1">
        <v>150</v>
      </c>
      <c r="E6" s="1">
        <v>25</v>
      </c>
      <c r="F6" s="1">
        <f t="shared" si="4"/>
        <v>3750</v>
      </c>
      <c r="G6" s="1">
        <f t="shared" si="1"/>
        <v>593.35443037974676</v>
      </c>
      <c r="H6" s="3">
        <v>2480</v>
      </c>
      <c r="I6" s="37">
        <f t="shared" si="2"/>
        <v>1471518.9873417721</v>
      </c>
      <c r="J6" s="3">
        <v>20000</v>
      </c>
      <c r="K6" s="3">
        <f t="shared" si="3"/>
        <v>3000000</v>
      </c>
      <c r="L6" s="37">
        <f t="shared" si="5"/>
        <v>1528481.0126582279</v>
      </c>
    </row>
    <row r="7" spans="1:12" x14ac:dyDescent="0.2">
      <c r="A7" s="2" t="s">
        <v>91</v>
      </c>
      <c r="B7" s="1" t="s">
        <v>42</v>
      </c>
      <c r="C7" s="1">
        <v>6.32</v>
      </c>
      <c r="D7" s="1">
        <v>100</v>
      </c>
      <c r="E7" s="1">
        <v>23</v>
      </c>
      <c r="F7" s="1">
        <f t="shared" si="4"/>
        <v>2300</v>
      </c>
      <c r="G7" s="1">
        <f t="shared" si="1"/>
        <v>363.92405063291136</v>
      </c>
      <c r="H7" s="3">
        <v>2480</v>
      </c>
      <c r="I7" s="37">
        <f t="shared" si="2"/>
        <v>902531.64556962019</v>
      </c>
      <c r="J7" s="29">
        <v>16000</v>
      </c>
      <c r="K7" s="29">
        <f t="shared" si="3"/>
        <v>1600000</v>
      </c>
      <c r="L7" s="29">
        <f t="shared" si="5"/>
        <v>697468.35443037981</v>
      </c>
    </row>
    <row r="8" spans="1:12" x14ac:dyDescent="0.2">
      <c r="A8" s="2" t="s">
        <v>91</v>
      </c>
      <c r="B8" s="1" t="s">
        <v>42</v>
      </c>
      <c r="C8" s="1">
        <v>6.32</v>
      </c>
      <c r="D8" s="1">
        <v>100</v>
      </c>
      <c r="E8" s="1">
        <v>23</v>
      </c>
      <c r="F8" s="1">
        <f t="shared" si="4"/>
        <v>2300</v>
      </c>
      <c r="G8" s="1">
        <f t="shared" si="1"/>
        <v>363.92405063291136</v>
      </c>
      <c r="H8" s="3">
        <v>2480</v>
      </c>
      <c r="I8" s="37">
        <f t="shared" si="2"/>
        <v>902531.64556962019</v>
      </c>
      <c r="J8" s="29">
        <v>16000</v>
      </c>
      <c r="K8" s="29">
        <f t="shared" si="3"/>
        <v>1600000</v>
      </c>
      <c r="L8" s="29">
        <f t="shared" si="5"/>
        <v>697468.35443037981</v>
      </c>
    </row>
    <row r="9" spans="1:12" x14ac:dyDescent="0.2">
      <c r="A9" s="2" t="s">
        <v>91</v>
      </c>
      <c r="B9" s="1" t="s">
        <v>42</v>
      </c>
      <c r="C9" s="1">
        <v>6.32</v>
      </c>
      <c r="D9" s="1">
        <v>200</v>
      </c>
      <c r="E9" s="1">
        <v>23</v>
      </c>
      <c r="F9" s="1">
        <f t="shared" si="4"/>
        <v>4600</v>
      </c>
      <c r="G9" s="1">
        <f t="shared" si="1"/>
        <v>727.84810126582272</v>
      </c>
      <c r="H9" s="3">
        <v>2480</v>
      </c>
      <c r="I9" s="44">
        <f t="shared" si="2"/>
        <v>1805063.2911392404</v>
      </c>
      <c r="J9" s="29">
        <v>15000</v>
      </c>
      <c r="K9" s="29">
        <f t="shared" si="3"/>
        <v>3000000</v>
      </c>
      <c r="L9" s="29">
        <f t="shared" si="5"/>
        <v>1194936.7088607596</v>
      </c>
    </row>
    <row r="10" spans="1:12" x14ac:dyDescent="0.2">
      <c r="A10" s="2" t="s">
        <v>91</v>
      </c>
      <c r="B10" s="1" t="s">
        <v>42</v>
      </c>
      <c r="C10" s="1">
        <v>6.32</v>
      </c>
      <c r="D10" s="1">
        <v>100</v>
      </c>
      <c r="E10" s="1">
        <v>23</v>
      </c>
      <c r="F10" s="1">
        <f t="shared" si="4"/>
        <v>2300</v>
      </c>
      <c r="G10" s="1">
        <f t="shared" si="1"/>
        <v>363.92405063291136</v>
      </c>
      <c r="H10" s="3">
        <v>2480</v>
      </c>
      <c r="I10" s="44">
        <f t="shared" si="2"/>
        <v>902531.64556962019</v>
      </c>
      <c r="J10" s="29">
        <v>15000</v>
      </c>
      <c r="K10" s="29">
        <f t="shared" si="3"/>
        <v>1500000</v>
      </c>
      <c r="L10" s="29">
        <f t="shared" si="5"/>
        <v>597468.35443037981</v>
      </c>
    </row>
    <row r="11" spans="1:12" x14ac:dyDescent="0.2">
      <c r="A11" s="2" t="s">
        <v>91</v>
      </c>
      <c r="B11" s="1" t="s">
        <v>42</v>
      </c>
      <c r="C11" s="1">
        <v>6.32</v>
      </c>
      <c r="D11" s="1">
        <v>150</v>
      </c>
      <c r="E11" s="1">
        <v>24</v>
      </c>
      <c r="F11" s="1">
        <f t="shared" si="4"/>
        <v>3600</v>
      </c>
      <c r="G11" s="1">
        <f t="shared" si="1"/>
        <v>569.62025316455697</v>
      </c>
      <c r="H11" s="3">
        <v>2480</v>
      </c>
      <c r="I11" s="37">
        <f t="shared" si="2"/>
        <v>1412658.2278481012</v>
      </c>
      <c r="J11" s="29">
        <v>16000</v>
      </c>
      <c r="K11" s="29">
        <f t="shared" si="3"/>
        <v>2400000</v>
      </c>
      <c r="L11" s="29">
        <f t="shared" si="5"/>
        <v>987341.77215189883</v>
      </c>
    </row>
    <row r="12" spans="1:12" x14ac:dyDescent="0.2">
      <c r="A12" s="2" t="s">
        <v>91</v>
      </c>
      <c r="B12" s="1" t="s">
        <v>42</v>
      </c>
      <c r="C12" s="1">
        <v>6.32</v>
      </c>
      <c r="D12" s="1">
        <v>150</v>
      </c>
      <c r="E12" s="1">
        <v>24</v>
      </c>
      <c r="F12" s="1">
        <f t="shared" si="4"/>
        <v>3600</v>
      </c>
      <c r="G12" s="1">
        <f t="shared" si="1"/>
        <v>569.62025316455697</v>
      </c>
      <c r="H12" s="3">
        <v>2480</v>
      </c>
      <c r="I12" s="37">
        <f t="shared" si="2"/>
        <v>1412658.2278481012</v>
      </c>
      <c r="J12" s="29">
        <v>16000</v>
      </c>
      <c r="K12" s="29">
        <f t="shared" si="3"/>
        <v>2400000</v>
      </c>
      <c r="L12" s="29">
        <f t="shared" si="5"/>
        <v>987341.77215189883</v>
      </c>
    </row>
    <row r="13" spans="1:12" x14ac:dyDescent="0.2">
      <c r="A13" s="2" t="s">
        <v>91</v>
      </c>
      <c r="B13" s="1" t="s">
        <v>42</v>
      </c>
      <c r="C13" s="1">
        <v>6.32</v>
      </c>
      <c r="D13" s="1">
        <v>100</v>
      </c>
      <c r="E13" s="1">
        <v>25</v>
      </c>
      <c r="F13" s="1">
        <f t="shared" si="4"/>
        <v>2500</v>
      </c>
      <c r="G13" s="1">
        <f t="shared" si="1"/>
        <v>395.56962025316454</v>
      </c>
      <c r="H13" s="3">
        <v>2480</v>
      </c>
      <c r="I13" s="37">
        <f t="shared" si="2"/>
        <v>981012.65822784812</v>
      </c>
      <c r="J13" s="29">
        <v>20000</v>
      </c>
      <c r="K13" s="29">
        <f t="shared" si="3"/>
        <v>2000000</v>
      </c>
      <c r="L13" s="29">
        <f t="shared" si="5"/>
        <v>1018987.3417721519</v>
      </c>
    </row>
    <row r="14" spans="1:12" x14ac:dyDescent="0.2">
      <c r="A14" s="2" t="s">
        <v>91</v>
      </c>
      <c r="B14" s="1" t="s">
        <v>42</v>
      </c>
      <c r="C14" s="1">
        <v>6.32</v>
      </c>
      <c r="D14" s="1">
        <v>100</v>
      </c>
      <c r="E14" s="1">
        <v>25</v>
      </c>
      <c r="F14" s="1">
        <f t="shared" si="4"/>
        <v>2500</v>
      </c>
      <c r="G14" s="1">
        <f t="shared" si="1"/>
        <v>395.56962025316454</v>
      </c>
      <c r="H14" s="3">
        <v>2480</v>
      </c>
      <c r="I14" s="37">
        <f t="shared" si="2"/>
        <v>981012.65822784812</v>
      </c>
      <c r="J14" s="29">
        <v>20000</v>
      </c>
      <c r="K14" s="29">
        <f t="shared" si="3"/>
        <v>2000000</v>
      </c>
      <c r="L14" s="29">
        <f t="shared" si="5"/>
        <v>1018987.3417721519</v>
      </c>
    </row>
    <row r="15" spans="1:12" x14ac:dyDescent="0.2">
      <c r="A15" s="2" t="s">
        <v>91</v>
      </c>
      <c r="B15" s="1" t="s">
        <v>88</v>
      </c>
      <c r="C15" s="1">
        <v>6.32</v>
      </c>
      <c r="D15" s="1">
        <v>200</v>
      </c>
      <c r="E15" s="1">
        <v>22.5</v>
      </c>
      <c r="F15" s="1">
        <f t="shared" si="4"/>
        <v>4500</v>
      </c>
      <c r="G15" s="1">
        <f t="shared" si="1"/>
        <v>712.02531645569616</v>
      </c>
      <c r="H15" s="3">
        <v>2480</v>
      </c>
      <c r="I15" s="37">
        <f t="shared" si="2"/>
        <v>1765822.7848101265</v>
      </c>
      <c r="J15" s="29">
        <v>15000</v>
      </c>
      <c r="K15" s="29">
        <f t="shared" si="3"/>
        <v>3000000</v>
      </c>
      <c r="L15" s="29">
        <f t="shared" si="5"/>
        <v>1234177.2151898735</v>
      </c>
    </row>
    <row r="16" spans="1:12" x14ac:dyDescent="0.2">
      <c r="A16" s="2" t="s">
        <v>91</v>
      </c>
      <c r="B16" s="1" t="s">
        <v>88</v>
      </c>
      <c r="C16" s="1">
        <v>6.32</v>
      </c>
      <c r="D16" s="1">
        <v>200</v>
      </c>
      <c r="E16" s="1">
        <v>24</v>
      </c>
      <c r="F16" s="1">
        <f t="shared" si="4"/>
        <v>4800</v>
      </c>
      <c r="G16" s="1">
        <f t="shared" si="1"/>
        <v>759.49367088607596</v>
      </c>
      <c r="H16" s="3">
        <v>2480</v>
      </c>
      <c r="I16" s="37">
        <f t="shared" si="2"/>
        <v>1883544.3037974681</v>
      </c>
      <c r="J16" s="29">
        <v>16000</v>
      </c>
      <c r="K16" s="29">
        <f t="shared" si="3"/>
        <v>3200000</v>
      </c>
      <c r="L16" s="29">
        <f t="shared" si="5"/>
        <v>1316455.6962025319</v>
      </c>
    </row>
    <row r="17" spans="1:12" x14ac:dyDescent="0.2">
      <c r="A17" s="2" t="s">
        <v>91</v>
      </c>
      <c r="B17" s="1" t="s">
        <v>88</v>
      </c>
      <c r="C17" s="1">
        <v>6.32</v>
      </c>
      <c r="D17" s="1">
        <v>200</v>
      </c>
      <c r="E17" s="1">
        <v>24</v>
      </c>
      <c r="F17" s="1">
        <f t="shared" si="4"/>
        <v>4800</v>
      </c>
      <c r="G17" s="1">
        <f t="shared" si="1"/>
        <v>759.49367088607596</v>
      </c>
      <c r="H17" s="3">
        <v>2480</v>
      </c>
      <c r="I17" s="37">
        <f t="shared" si="2"/>
        <v>1883544.3037974681</v>
      </c>
      <c r="J17" s="29">
        <v>16000</v>
      </c>
      <c r="K17" s="29">
        <f t="shared" si="3"/>
        <v>3200000</v>
      </c>
      <c r="L17" s="29">
        <f t="shared" si="5"/>
        <v>1316455.6962025319</v>
      </c>
    </row>
    <row r="18" spans="1:12" x14ac:dyDescent="0.2">
      <c r="A18" s="2" t="s">
        <v>91</v>
      </c>
      <c r="B18" s="1" t="s">
        <v>80</v>
      </c>
      <c r="C18" s="1">
        <v>6.32</v>
      </c>
      <c r="D18" s="1">
        <v>100</v>
      </c>
      <c r="E18" s="1">
        <v>23</v>
      </c>
      <c r="F18" s="1">
        <f t="shared" si="4"/>
        <v>2300</v>
      </c>
      <c r="G18" s="1">
        <f t="shared" si="1"/>
        <v>363.92405063291136</v>
      </c>
      <c r="H18" s="3">
        <v>2480</v>
      </c>
      <c r="I18" s="37">
        <f t="shared" si="2"/>
        <v>902531.64556962019</v>
      </c>
      <c r="J18" s="29">
        <v>15000</v>
      </c>
      <c r="K18" s="29">
        <f t="shared" si="3"/>
        <v>1500000</v>
      </c>
      <c r="L18" s="29">
        <f t="shared" si="5"/>
        <v>597468.35443037981</v>
      </c>
    </row>
    <row r="19" spans="1:12" x14ac:dyDescent="0.2">
      <c r="A19" s="2" t="s">
        <v>91</v>
      </c>
      <c r="B19" s="1" t="s">
        <v>88</v>
      </c>
      <c r="C19" s="1">
        <v>6.32</v>
      </c>
      <c r="D19" s="1">
        <v>200</v>
      </c>
      <c r="E19" s="1">
        <v>27</v>
      </c>
      <c r="F19" s="1">
        <f t="shared" si="4"/>
        <v>5400</v>
      </c>
      <c r="G19" s="1">
        <f t="shared" si="1"/>
        <v>854.43037974683546</v>
      </c>
      <c r="H19" s="3">
        <v>2480</v>
      </c>
      <c r="I19" s="37">
        <f t="shared" si="2"/>
        <v>2118987.3417721516</v>
      </c>
      <c r="J19" s="29">
        <v>16000</v>
      </c>
      <c r="K19" s="29">
        <f t="shared" si="3"/>
        <v>3200000</v>
      </c>
      <c r="L19" s="29">
        <f t="shared" si="5"/>
        <v>1081012.6582278484</v>
      </c>
    </row>
    <row r="20" spans="1:12" x14ac:dyDescent="0.2">
      <c r="A20" s="2" t="s">
        <v>91</v>
      </c>
      <c r="B20" s="1" t="s">
        <v>88</v>
      </c>
      <c r="C20" s="1">
        <v>6.32</v>
      </c>
      <c r="D20" s="1">
        <v>200</v>
      </c>
      <c r="E20" s="1">
        <v>25</v>
      </c>
      <c r="F20" s="1">
        <f t="shared" si="4"/>
        <v>5000</v>
      </c>
      <c r="G20" s="1">
        <f t="shared" si="1"/>
        <v>791.13924050632909</v>
      </c>
      <c r="H20" s="3">
        <v>2480</v>
      </c>
      <c r="I20" s="37">
        <f t="shared" si="2"/>
        <v>1962025.3164556962</v>
      </c>
      <c r="J20" s="29">
        <v>16000</v>
      </c>
      <c r="K20" s="29">
        <f t="shared" si="3"/>
        <v>3200000</v>
      </c>
      <c r="L20" s="29">
        <f t="shared" si="5"/>
        <v>1237974.6835443038</v>
      </c>
    </row>
    <row r="21" spans="1:12" x14ac:dyDescent="0.2">
      <c r="A21" s="2" t="s">
        <v>91</v>
      </c>
      <c r="B21" s="1" t="s">
        <v>88</v>
      </c>
      <c r="C21" s="1">
        <v>6.32</v>
      </c>
      <c r="D21" s="1">
        <v>100</v>
      </c>
      <c r="E21" s="1">
        <v>25</v>
      </c>
      <c r="F21" s="1">
        <f t="shared" si="4"/>
        <v>2500</v>
      </c>
      <c r="G21" s="1">
        <f t="shared" si="1"/>
        <v>395.56962025316454</v>
      </c>
      <c r="H21" s="3">
        <v>2480</v>
      </c>
      <c r="I21" s="37">
        <f t="shared" si="2"/>
        <v>981012.65822784812</v>
      </c>
      <c r="J21" s="29">
        <v>16000</v>
      </c>
      <c r="K21" s="29">
        <f t="shared" si="3"/>
        <v>1600000</v>
      </c>
      <c r="L21" s="29">
        <f t="shared" si="5"/>
        <v>618987.34177215188</v>
      </c>
    </row>
    <row r="22" spans="1:12" x14ac:dyDescent="0.2">
      <c r="A22" s="2" t="s">
        <v>91</v>
      </c>
      <c r="B22" s="1" t="s">
        <v>88</v>
      </c>
      <c r="C22" s="1">
        <v>6.32</v>
      </c>
      <c r="D22" s="1">
        <v>100</v>
      </c>
      <c r="E22" s="1">
        <v>25</v>
      </c>
      <c r="F22" s="1">
        <f t="shared" si="4"/>
        <v>2500</v>
      </c>
      <c r="G22" s="1">
        <f t="shared" si="1"/>
        <v>395.56962025316454</v>
      </c>
      <c r="H22" s="3">
        <v>2480</v>
      </c>
      <c r="I22" s="37">
        <f t="shared" si="2"/>
        <v>981012.65822784812</v>
      </c>
      <c r="J22" s="29">
        <v>16000</v>
      </c>
      <c r="K22" s="29">
        <f t="shared" si="3"/>
        <v>1600000</v>
      </c>
      <c r="L22" s="29">
        <f t="shared" si="5"/>
        <v>618987.34177215188</v>
      </c>
    </row>
    <row r="23" spans="1:12" x14ac:dyDescent="0.2">
      <c r="A23" s="2" t="s">
        <v>91</v>
      </c>
      <c r="B23" s="1" t="s">
        <v>88</v>
      </c>
      <c r="C23" s="1">
        <v>6.32</v>
      </c>
      <c r="D23" s="1">
        <v>200</v>
      </c>
      <c r="E23" s="1">
        <v>25</v>
      </c>
      <c r="F23" s="1">
        <f t="shared" si="4"/>
        <v>5000</v>
      </c>
      <c r="G23" s="1">
        <f t="shared" si="1"/>
        <v>791.13924050632909</v>
      </c>
      <c r="H23" s="3">
        <v>2480</v>
      </c>
      <c r="I23" s="37">
        <f t="shared" si="2"/>
        <v>1962025.3164556962</v>
      </c>
      <c r="J23" s="29">
        <v>16000</v>
      </c>
      <c r="K23" s="29">
        <f t="shared" si="3"/>
        <v>3200000</v>
      </c>
      <c r="L23" s="29">
        <f t="shared" si="5"/>
        <v>1237974.6835443038</v>
      </c>
    </row>
    <row r="24" spans="1:12" x14ac:dyDescent="0.2">
      <c r="A24" s="2" t="s">
        <v>91</v>
      </c>
      <c r="B24" s="1" t="s">
        <v>88</v>
      </c>
      <c r="C24" s="1">
        <v>6.32</v>
      </c>
      <c r="D24" s="1">
        <v>200</v>
      </c>
      <c r="E24" s="1">
        <v>26</v>
      </c>
      <c r="F24" s="1">
        <f t="shared" si="4"/>
        <v>5200</v>
      </c>
      <c r="G24" s="1">
        <f t="shared" si="1"/>
        <v>822.78481012658222</v>
      </c>
      <c r="H24" s="3">
        <v>2480</v>
      </c>
      <c r="I24" s="37">
        <f t="shared" si="2"/>
        <v>2040506.3291139239</v>
      </c>
      <c r="J24" s="29">
        <v>16000</v>
      </c>
      <c r="K24" s="29">
        <f t="shared" si="3"/>
        <v>3200000</v>
      </c>
      <c r="L24" s="29">
        <f t="shared" si="5"/>
        <v>1159493.6708860761</v>
      </c>
    </row>
    <row r="25" spans="1:12" x14ac:dyDescent="0.2">
      <c r="A25" s="2" t="s">
        <v>91</v>
      </c>
      <c r="B25" s="1" t="s">
        <v>23</v>
      </c>
      <c r="C25" s="1">
        <v>6.32</v>
      </c>
      <c r="D25" s="1">
        <v>750</v>
      </c>
      <c r="E25" s="1">
        <v>15.5</v>
      </c>
      <c r="F25" s="1">
        <f t="shared" si="4"/>
        <v>11625</v>
      </c>
      <c r="G25" s="1">
        <f t="shared" si="1"/>
        <v>1839.3987341772151</v>
      </c>
      <c r="H25" s="3">
        <v>2480</v>
      </c>
      <c r="I25" s="37">
        <f t="shared" si="2"/>
        <v>4561708.860759493</v>
      </c>
      <c r="J25" s="29">
        <v>12000</v>
      </c>
      <c r="K25" s="29">
        <f t="shared" si="3"/>
        <v>9000000</v>
      </c>
      <c r="L25" s="29">
        <f t="shared" si="5"/>
        <v>4438291.139240507</v>
      </c>
    </row>
    <row r="26" spans="1:12" x14ac:dyDescent="0.2">
      <c r="A26" s="2" t="s">
        <v>91</v>
      </c>
      <c r="B26" s="1" t="s">
        <v>23</v>
      </c>
      <c r="C26" s="1">
        <v>6.32</v>
      </c>
      <c r="D26" s="1">
        <v>350</v>
      </c>
      <c r="E26" s="1">
        <v>11.5</v>
      </c>
      <c r="F26" s="1">
        <f t="shared" si="4"/>
        <v>4025</v>
      </c>
      <c r="G26" s="1">
        <f t="shared" si="1"/>
        <v>636.86708860759495</v>
      </c>
      <c r="H26" s="3">
        <v>2480</v>
      </c>
      <c r="I26" s="37">
        <f t="shared" si="2"/>
        <v>1579430.3797468354</v>
      </c>
      <c r="J26" s="29">
        <v>10000</v>
      </c>
      <c r="K26" s="29">
        <f t="shared" si="3"/>
        <v>3500000</v>
      </c>
      <c r="L26" s="29">
        <f t="shared" si="5"/>
        <v>1920569.6202531646</v>
      </c>
    </row>
    <row r="27" spans="1:12" x14ac:dyDescent="0.2">
      <c r="D27" s="61">
        <f>SUM(D3:D26)</f>
        <v>4600</v>
      </c>
      <c r="F27" s="60">
        <f>SUM(F4:F26)</f>
        <v>95350</v>
      </c>
      <c r="G27" s="51">
        <f>SUM(G3:G26)</f>
        <v>16115.506329113923</v>
      </c>
      <c r="I27" s="49">
        <f>SUM(I3:I26)</f>
        <v>39966455.696202524</v>
      </c>
      <c r="K27" s="50">
        <f>SUM(K3:K26)</f>
        <v>71900000</v>
      </c>
      <c r="L27" s="48">
        <f>SUM(L3:L26)</f>
        <v>31933544.303797472</v>
      </c>
    </row>
    <row r="31" spans="1:12" x14ac:dyDescent="0.2">
      <c r="G31" s="33" t="s">
        <v>89</v>
      </c>
      <c r="H31" s="3" t="s">
        <v>25</v>
      </c>
      <c r="I31" s="15">
        <v>39966456</v>
      </c>
    </row>
    <row r="32" spans="1:12" x14ac:dyDescent="0.2">
      <c r="G32" s="33" t="s">
        <v>90</v>
      </c>
      <c r="H32" s="3" t="s">
        <v>27</v>
      </c>
      <c r="I32" s="9">
        <v>2320000</v>
      </c>
    </row>
    <row r="33" spans="7:9" x14ac:dyDescent="0.2">
      <c r="G33" s="1"/>
      <c r="H33" s="3" t="s">
        <v>26</v>
      </c>
      <c r="I33" s="3">
        <v>3000000</v>
      </c>
    </row>
    <row r="34" spans="7:9" x14ac:dyDescent="0.2">
      <c r="G34" s="1"/>
      <c r="H34" s="3" t="s">
        <v>33</v>
      </c>
      <c r="I34" s="3">
        <v>200000</v>
      </c>
    </row>
    <row r="35" spans="7:9" x14ac:dyDescent="0.2">
      <c r="G35" s="1"/>
      <c r="H35" s="3" t="s">
        <v>31</v>
      </c>
      <c r="I35" s="3">
        <v>4500000</v>
      </c>
    </row>
    <row r="36" spans="7:9" x14ac:dyDescent="0.2">
      <c r="G36" s="1"/>
      <c r="H36" s="3" t="s">
        <v>36</v>
      </c>
      <c r="I36" s="3">
        <v>3500000</v>
      </c>
    </row>
    <row r="37" spans="7:9" x14ac:dyDescent="0.2">
      <c r="G37" s="1"/>
      <c r="H37" s="3" t="s">
        <v>29</v>
      </c>
      <c r="I37" s="23">
        <v>3682000</v>
      </c>
    </row>
    <row r="38" spans="7:9" x14ac:dyDescent="0.2">
      <c r="G38" s="1"/>
      <c r="H38" s="3" t="s">
        <v>34</v>
      </c>
      <c r="I38" s="26">
        <f>SUM(I31:I37)</f>
        <v>57168456</v>
      </c>
    </row>
    <row r="39" spans="7:9" x14ac:dyDescent="0.2">
      <c r="G39" s="1"/>
      <c r="H39" s="3" t="s">
        <v>6</v>
      </c>
      <c r="I39" s="55">
        <v>71900000</v>
      </c>
    </row>
    <row r="40" spans="7:9" ht="18" x14ac:dyDescent="0.35">
      <c r="G40" s="1"/>
      <c r="H40" s="3" t="s">
        <v>35</v>
      </c>
      <c r="I40" s="21">
        <f>I39-I38</f>
        <v>14731544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9"/>
  <sheetViews>
    <sheetView topLeftCell="A10" workbookViewId="0">
      <selection activeCell="G40" sqref="G40:I49"/>
    </sheetView>
  </sheetViews>
  <sheetFormatPr baseColWidth="10" defaultColWidth="9.1640625" defaultRowHeight="15" x14ac:dyDescent="0.2"/>
  <cols>
    <col min="2" max="2" width="13.1640625" customWidth="1"/>
    <col min="3" max="3" width="8.1640625" customWidth="1"/>
    <col min="5" max="5" width="9.83203125" customWidth="1"/>
    <col min="6" max="6" width="14.83203125" customWidth="1"/>
    <col min="7" max="7" width="16.33203125" customWidth="1"/>
    <col min="8" max="8" width="14.5" customWidth="1"/>
    <col min="9" max="9" width="13.33203125" customWidth="1"/>
    <col min="10" max="10" width="10.5" bestFit="1" customWidth="1"/>
    <col min="11" max="11" width="12.6640625" customWidth="1"/>
    <col min="12" max="12" width="13" customWidth="1"/>
  </cols>
  <sheetData>
    <row r="1" spans="1:12" ht="31" x14ac:dyDescent="0.35">
      <c r="A1" s="56" t="s">
        <v>86</v>
      </c>
      <c r="B1" s="56"/>
      <c r="C1" s="56"/>
      <c r="D1" s="56"/>
      <c r="E1" s="57"/>
      <c r="F1" s="57"/>
      <c r="G1" s="57"/>
      <c r="H1" s="57"/>
      <c r="I1" s="57"/>
      <c r="J1" s="57"/>
      <c r="K1" s="57"/>
      <c r="L1" s="57"/>
    </row>
    <row r="2" spans="1:12" x14ac:dyDescent="0.2">
      <c r="A2" s="58" t="s">
        <v>0</v>
      </c>
      <c r="B2" s="58" t="s">
        <v>1</v>
      </c>
      <c r="C2" s="58" t="s">
        <v>2</v>
      </c>
      <c r="D2" s="58" t="s">
        <v>3</v>
      </c>
      <c r="E2" s="58" t="s">
        <v>11</v>
      </c>
      <c r="F2" s="59" t="s">
        <v>8</v>
      </c>
      <c r="G2" s="58" t="s">
        <v>77</v>
      </c>
      <c r="H2" s="59" t="s">
        <v>41</v>
      </c>
      <c r="I2" s="59" t="s">
        <v>9</v>
      </c>
      <c r="J2" s="59" t="s">
        <v>10</v>
      </c>
      <c r="K2" s="59" t="s">
        <v>6</v>
      </c>
      <c r="L2" s="59" t="s">
        <v>12</v>
      </c>
    </row>
    <row r="3" spans="1:12" x14ac:dyDescent="0.2">
      <c r="A3" s="2" t="s">
        <v>79</v>
      </c>
      <c r="B3" s="1" t="s">
        <v>7</v>
      </c>
      <c r="C3" s="1">
        <v>6.3650000000000002</v>
      </c>
      <c r="D3" s="1">
        <v>192</v>
      </c>
      <c r="E3" s="1">
        <v>21</v>
      </c>
      <c r="F3" s="44">
        <f t="shared" ref="F3" si="0">D3*E3</f>
        <v>4032</v>
      </c>
      <c r="G3" s="5">
        <f t="shared" ref="G3:G6" si="1">F3/C3</f>
        <v>633.46425765907304</v>
      </c>
      <c r="H3" s="3">
        <v>2480</v>
      </c>
      <c r="I3" s="3">
        <f t="shared" ref="I3:I34" si="2">E3/C3*H3*D3</f>
        <v>1570991.3589945009</v>
      </c>
      <c r="J3" s="3">
        <v>16000</v>
      </c>
      <c r="K3" s="3">
        <f t="shared" ref="K3:K34" si="3">J3*D3</f>
        <v>3072000</v>
      </c>
      <c r="L3" s="3">
        <f>K3-I3</f>
        <v>1501008.6410054991</v>
      </c>
    </row>
    <row r="4" spans="1:12" x14ac:dyDescent="0.2">
      <c r="A4" s="2" t="s">
        <v>79</v>
      </c>
      <c r="B4" s="1" t="s">
        <v>7</v>
      </c>
      <c r="C4" s="1">
        <v>6.3650000000000002</v>
      </c>
      <c r="D4" s="1">
        <v>220</v>
      </c>
      <c r="E4" s="1">
        <v>23</v>
      </c>
      <c r="F4" s="1">
        <f>D4*E3</f>
        <v>4620</v>
      </c>
      <c r="G4" s="1">
        <f t="shared" si="1"/>
        <v>725.84446190102119</v>
      </c>
      <c r="H4" s="3">
        <v>2480</v>
      </c>
      <c r="I4" s="37">
        <f t="shared" si="2"/>
        <v>1971531.8146111548</v>
      </c>
      <c r="J4" s="3">
        <v>16000</v>
      </c>
      <c r="K4" s="3">
        <f t="shared" si="3"/>
        <v>3520000</v>
      </c>
      <c r="L4" s="3">
        <f>K4-I4</f>
        <v>1548468.1853888452</v>
      </c>
    </row>
    <row r="5" spans="1:12" x14ac:dyDescent="0.2">
      <c r="A5" s="2" t="s">
        <v>79</v>
      </c>
      <c r="B5" s="1" t="s">
        <v>7</v>
      </c>
      <c r="C5" s="1">
        <v>6.3650000000000002</v>
      </c>
      <c r="D5" s="1">
        <v>280</v>
      </c>
      <c r="E5" s="1">
        <v>18</v>
      </c>
      <c r="F5" s="1">
        <f t="shared" ref="F5:F34" si="4">D5*E5</f>
        <v>5040</v>
      </c>
      <c r="G5" s="1">
        <f t="shared" si="1"/>
        <v>791.83032207384133</v>
      </c>
      <c r="H5" s="3">
        <v>2480</v>
      </c>
      <c r="I5" s="37">
        <f t="shared" si="2"/>
        <v>1963739.1987431266</v>
      </c>
      <c r="J5" s="3">
        <v>16000</v>
      </c>
      <c r="K5" s="3">
        <f t="shared" si="3"/>
        <v>4480000</v>
      </c>
      <c r="L5" s="3">
        <f t="shared" ref="L5:L34" si="5">K5-I5</f>
        <v>2516260.8012568736</v>
      </c>
    </row>
    <row r="6" spans="1:12" x14ac:dyDescent="0.2">
      <c r="A6" s="2" t="s">
        <v>79</v>
      </c>
      <c r="B6" s="1" t="s">
        <v>7</v>
      </c>
      <c r="C6" s="1">
        <v>6.3650000000000002</v>
      </c>
      <c r="D6" s="1">
        <v>156</v>
      </c>
      <c r="E6" s="1">
        <v>19</v>
      </c>
      <c r="F6" s="1">
        <f t="shared" si="4"/>
        <v>2964</v>
      </c>
      <c r="G6" s="1">
        <f t="shared" si="1"/>
        <v>465.67164179104475</v>
      </c>
      <c r="H6" s="3">
        <v>2480</v>
      </c>
      <c r="I6" s="37">
        <f t="shared" si="2"/>
        <v>1154865.671641791</v>
      </c>
      <c r="J6" s="3">
        <v>15000</v>
      </c>
      <c r="K6" s="3">
        <f t="shared" si="3"/>
        <v>2340000</v>
      </c>
      <c r="L6" s="37">
        <f t="shared" si="5"/>
        <v>1185134.328358209</v>
      </c>
    </row>
    <row r="7" spans="1:12" x14ac:dyDescent="0.2">
      <c r="A7" s="2" t="s">
        <v>79</v>
      </c>
      <c r="B7" s="1" t="s">
        <v>80</v>
      </c>
      <c r="C7" s="1">
        <v>6.3650000000000002</v>
      </c>
      <c r="D7" s="1">
        <v>89</v>
      </c>
      <c r="E7" s="1">
        <v>15</v>
      </c>
      <c r="F7" s="1">
        <f t="shared" si="4"/>
        <v>1335</v>
      </c>
      <c r="G7" s="1">
        <f t="shared" ref="G7:G34" si="6">F7/C7</f>
        <v>209.74076983503534</v>
      </c>
      <c r="H7" s="3">
        <v>2480</v>
      </c>
      <c r="I7" s="37">
        <f t="shared" si="2"/>
        <v>520157.10919088771</v>
      </c>
      <c r="J7" s="29">
        <v>15000</v>
      </c>
      <c r="K7" s="29">
        <f t="shared" si="3"/>
        <v>1335000</v>
      </c>
      <c r="L7" s="29">
        <f t="shared" si="5"/>
        <v>814842.89080911223</v>
      </c>
    </row>
    <row r="8" spans="1:12" x14ac:dyDescent="0.2">
      <c r="A8" s="2" t="s">
        <v>79</v>
      </c>
      <c r="B8" s="1" t="s">
        <v>68</v>
      </c>
      <c r="C8" s="1">
        <v>6.3650000000000002</v>
      </c>
      <c r="D8" s="1">
        <v>300</v>
      </c>
      <c r="E8" s="1">
        <v>24</v>
      </c>
      <c r="F8" s="1">
        <f t="shared" si="4"/>
        <v>7200</v>
      </c>
      <c r="G8" s="1">
        <f t="shared" si="6"/>
        <v>1131.1861743912018</v>
      </c>
      <c r="H8" s="3">
        <v>2480</v>
      </c>
      <c r="I8" s="37">
        <f t="shared" si="2"/>
        <v>2805341.712490181</v>
      </c>
      <c r="J8" s="29">
        <v>15000</v>
      </c>
      <c r="K8" s="29">
        <f t="shared" si="3"/>
        <v>4500000</v>
      </c>
      <c r="L8" s="29">
        <f t="shared" si="5"/>
        <v>1694658.287509819</v>
      </c>
    </row>
    <row r="9" spans="1:12" x14ac:dyDescent="0.2">
      <c r="A9" s="2" t="s">
        <v>79</v>
      </c>
      <c r="B9" s="1" t="s">
        <v>81</v>
      </c>
      <c r="C9" s="1">
        <v>6.3650000000000002</v>
      </c>
      <c r="D9" s="1">
        <v>210</v>
      </c>
      <c r="E9" s="1">
        <v>23</v>
      </c>
      <c r="F9" s="1">
        <f t="shared" si="4"/>
        <v>4830</v>
      </c>
      <c r="G9" s="1">
        <f t="shared" si="6"/>
        <v>758.83739198743126</v>
      </c>
      <c r="H9" s="3">
        <v>2480</v>
      </c>
      <c r="I9" s="44">
        <f t="shared" si="2"/>
        <v>1881916.7321288295</v>
      </c>
      <c r="J9" s="29">
        <v>15000</v>
      </c>
      <c r="K9" s="29">
        <f t="shared" si="3"/>
        <v>3150000</v>
      </c>
      <c r="L9" s="29">
        <f t="shared" si="5"/>
        <v>1268083.2678711705</v>
      </c>
    </row>
    <row r="10" spans="1:12" x14ac:dyDescent="0.2">
      <c r="A10" s="2" t="s">
        <v>79</v>
      </c>
      <c r="B10" s="1" t="s">
        <v>7</v>
      </c>
      <c r="C10" s="1">
        <v>6.3650000000000002</v>
      </c>
      <c r="D10" s="1">
        <v>227</v>
      </c>
      <c r="E10" s="1">
        <v>10</v>
      </c>
      <c r="F10" s="1">
        <f t="shared" si="4"/>
        <v>2270</v>
      </c>
      <c r="G10" s="1">
        <f t="shared" si="6"/>
        <v>356.63786331500393</v>
      </c>
      <c r="H10" s="3">
        <v>2480</v>
      </c>
      <c r="I10" s="44">
        <f t="shared" si="2"/>
        <v>884461.90102120978</v>
      </c>
      <c r="J10" s="29">
        <v>15000</v>
      </c>
      <c r="K10" s="29">
        <f t="shared" si="3"/>
        <v>3405000</v>
      </c>
      <c r="L10" s="29">
        <f t="shared" si="5"/>
        <v>2520538.0989787905</v>
      </c>
    </row>
    <row r="11" spans="1:12" x14ac:dyDescent="0.2">
      <c r="A11" s="2" t="s">
        <v>79</v>
      </c>
      <c r="B11" s="1" t="s">
        <v>7</v>
      </c>
      <c r="C11" s="1">
        <v>6.3650000000000002</v>
      </c>
      <c r="D11" s="1">
        <v>40</v>
      </c>
      <c r="E11" s="1">
        <v>20</v>
      </c>
      <c r="F11" s="1">
        <f t="shared" si="4"/>
        <v>800</v>
      </c>
      <c r="G11" s="1">
        <f t="shared" si="6"/>
        <v>125.68735271013354</v>
      </c>
      <c r="H11" s="3">
        <v>2480</v>
      </c>
      <c r="I11" s="44">
        <f t="shared" si="2"/>
        <v>311704.63472113118</v>
      </c>
      <c r="J11" s="29">
        <v>16000</v>
      </c>
      <c r="K11" s="29">
        <f t="shared" si="3"/>
        <v>640000</v>
      </c>
      <c r="L11" s="29">
        <f t="shared" si="5"/>
        <v>328295.36527886882</v>
      </c>
    </row>
    <row r="12" spans="1:12" x14ac:dyDescent="0.2">
      <c r="A12" s="2" t="s">
        <v>79</v>
      </c>
      <c r="B12" s="1" t="s">
        <v>7</v>
      </c>
      <c r="C12" s="1">
        <v>6.3650000000000002</v>
      </c>
      <c r="D12" s="1">
        <v>300</v>
      </c>
      <c r="E12" s="1">
        <v>21</v>
      </c>
      <c r="F12" s="1">
        <f t="shared" si="4"/>
        <v>6300</v>
      </c>
      <c r="G12" s="1">
        <f t="shared" si="6"/>
        <v>989.78790259230163</v>
      </c>
      <c r="H12" s="3">
        <v>2480</v>
      </c>
      <c r="I12" s="44">
        <f t="shared" si="2"/>
        <v>2454673.9984289077</v>
      </c>
      <c r="J12" s="29">
        <v>16000</v>
      </c>
      <c r="K12" s="29">
        <f t="shared" si="3"/>
        <v>4800000</v>
      </c>
      <c r="L12" s="29">
        <f t="shared" si="5"/>
        <v>2345326.0015710923</v>
      </c>
    </row>
    <row r="13" spans="1:12" x14ac:dyDescent="0.2">
      <c r="A13" s="2" t="s">
        <v>79</v>
      </c>
      <c r="B13" s="1" t="s">
        <v>7</v>
      </c>
      <c r="C13" s="1">
        <v>6.3650000000000002</v>
      </c>
      <c r="D13" s="1">
        <v>114</v>
      </c>
      <c r="E13" s="1">
        <v>18</v>
      </c>
      <c r="F13" s="1">
        <f t="shared" si="4"/>
        <v>2052</v>
      </c>
      <c r="G13" s="1">
        <f t="shared" si="6"/>
        <v>322.38805970149252</v>
      </c>
      <c r="H13" s="3">
        <v>2480</v>
      </c>
      <c r="I13" s="44">
        <f t="shared" si="2"/>
        <v>799522.38805970154</v>
      </c>
      <c r="J13" s="29">
        <v>16000</v>
      </c>
      <c r="K13" s="29">
        <f t="shared" si="3"/>
        <v>1824000</v>
      </c>
      <c r="L13" s="29">
        <f t="shared" si="5"/>
        <v>1024477.6119402985</v>
      </c>
    </row>
    <row r="14" spans="1:12" x14ac:dyDescent="0.2">
      <c r="A14" s="2" t="s">
        <v>79</v>
      </c>
      <c r="B14" s="1" t="s">
        <v>21</v>
      </c>
      <c r="C14" s="1">
        <v>6.3650000000000002</v>
      </c>
      <c r="D14" s="1">
        <v>150</v>
      </c>
      <c r="E14" s="1">
        <v>17</v>
      </c>
      <c r="F14" s="1">
        <f t="shared" si="4"/>
        <v>2550</v>
      </c>
      <c r="G14" s="1">
        <f t="shared" si="6"/>
        <v>400.62843676355067</v>
      </c>
      <c r="H14" s="3">
        <v>2480</v>
      </c>
      <c r="I14" s="44">
        <f t="shared" si="2"/>
        <v>993558.52317360556</v>
      </c>
      <c r="J14" s="29">
        <v>13000</v>
      </c>
      <c r="K14" s="29">
        <f t="shared" si="3"/>
        <v>1950000</v>
      </c>
      <c r="L14" s="29">
        <f t="shared" si="5"/>
        <v>956441.47682639444</v>
      </c>
    </row>
    <row r="15" spans="1:12" x14ac:dyDescent="0.2">
      <c r="A15" s="2" t="s">
        <v>79</v>
      </c>
      <c r="B15" s="1" t="s">
        <v>21</v>
      </c>
      <c r="C15" s="1">
        <v>6.3650000000000002</v>
      </c>
      <c r="D15" s="1">
        <v>150</v>
      </c>
      <c r="E15" s="1">
        <v>15</v>
      </c>
      <c r="F15" s="1">
        <f t="shared" si="4"/>
        <v>2250</v>
      </c>
      <c r="G15" s="1">
        <f t="shared" si="6"/>
        <v>353.49567949725059</v>
      </c>
      <c r="H15" s="3">
        <v>2480</v>
      </c>
      <c r="I15" s="44">
        <f t="shared" si="2"/>
        <v>876669.28515318152</v>
      </c>
      <c r="J15" s="29">
        <v>13000</v>
      </c>
      <c r="K15" s="29">
        <f t="shared" si="3"/>
        <v>1950000</v>
      </c>
      <c r="L15" s="29">
        <f t="shared" si="5"/>
        <v>1073330.7148468185</v>
      </c>
    </row>
    <row r="16" spans="1:12" x14ac:dyDescent="0.2">
      <c r="A16" s="2" t="s">
        <v>79</v>
      </c>
      <c r="B16" s="1" t="s">
        <v>23</v>
      </c>
      <c r="C16" s="1">
        <v>6.3650000000000002</v>
      </c>
      <c r="D16" s="1">
        <v>230</v>
      </c>
      <c r="E16" s="1">
        <v>9.5</v>
      </c>
      <c r="F16" s="1">
        <f t="shared" si="4"/>
        <v>2185</v>
      </c>
      <c r="G16" s="1">
        <f t="shared" si="6"/>
        <v>343.28358208955223</v>
      </c>
      <c r="H16" s="3">
        <v>2480</v>
      </c>
      <c r="I16" s="45">
        <f t="shared" si="2"/>
        <v>851343.28358208947</v>
      </c>
      <c r="J16" s="29">
        <v>10000</v>
      </c>
      <c r="K16" s="29">
        <f t="shared" si="3"/>
        <v>2300000</v>
      </c>
      <c r="L16" s="29">
        <f t="shared" si="5"/>
        <v>1448656.7164179105</v>
      </c>
    </row>
    <row r="17" spans="1:12" x14ac:dyDescent="0.2">
      <c r="A17" s="2" t="s">
        <v>79</v>
      </c>
      <c r="B17" s="1" t="s">
        <v>7</v>
      </c>
      <c r="C17" s="1">
        <v>6.3650000000000002</v>
      </c>
      <c r="D17" s="1">
        <v>62</v>
      </c>
      <c r="E17" s="1">
        <v>15</v>
      </c>
      <c r="F17" s="1">
        <f t="shared" si="4"/>
        <v>930</v>
      </c>
      <c r="G17" s="1">
        <f t="shared" si="6"/>
        <v>146.11154752553023</v>
      </c>
      <c r="H17" s="3">
        <v>2480</v>
      </c>
      <c r="I17" s="45">
        <f t="shared" si="2"/>
        <v>362356.637863315</v>
      </c>
      <c r="J17" s="29">
        <v>15000</v>
      </c>
      <c r="K17" s="29">
        <f t="shared" si="3"/>
        <v>930000</v>
      </c>
      <c r="L17" s="29">
        <f t="shared" si="5"/>
        <v>567643.36213668506</v>
      </c>
    </row>
    <row r="18" spans="1:12" x14ac:dyDescent="0.2">
      <c r="A18" s="2" t="s">
        <v>79</v>
      </c>
      <c r="B18" s="1" t="s">
        <v>7</v>
      </c>
      <c r="C18" s="1">
        <v>6.3650000000000002</v>
      </c>
      <c r="D18" s="1">
        <v>90</v>
      </c>
      <c r="E18" s="1">
        <v>15</v>
      </c>
      <c r="F18" s="1">
        <f t="shared" si="4"/>
        <v>1350</v>
      </c>
      <c r="G18" s="1">
        <f t="shared" si="6"/>
        <v>212.09740769835034</v>
      </c>
      <c r="H18" s="3">
        <v>2480</v>
      </c>
      <c r="I18" s="45">
        <f t="shared" si="2"/>
        <v>526001.57109190885</v>
      </c>
      <c r="J18" s="29">
        <v>15000</v>
      </c>
      <c r="K18" s="29">
        <f t="shared" si="3"/>
        <v>1350000</v>
      </c>
      <c r="L18" s="29">
        <f t="shared" si="5"/>
        <v>823998.42890809115</v>
      </c>
    </row>
    <row r="19" spans="1:12" x14ac:dyDescent="0.2">
      <c r="A19" s="2" t="s">
        <v>79</v>
      </c>
      <c r="B19" s="1" t="s">
        <v>7</v>
      </c>
      <c r="C19" s="1">
        <v>6.3650000000000002</v>
      </c>
      <c r="D19" s="1">
        <v>300</v>
      </c>
      <c r="E19" s="1">
        <v>24</v>
      </c>
      <c r="F19" s="1">
        <f t="shared" si="4"/>
        <v>7200</v>
      </c>
      <c r="G19" s="1">
        <f t="shared" si="6"/>
        <v>1131.1861743912018</v>
      </c>
      <c r="H19" s="3">
        <v>2480</v>
      </c>
      <c r="I19" s="45">
        <f t="shared" si="2"/>
        <v>2805341.712490181</v>
      </c>
      <c r="J19" s="29">
        <v>17000</v>
      </c>
      <c r="K19" s="29">
        <f t="shared" si="3"/>
        <v>5100000</v>
      </c>
      <c r="L19" s="29">
        <f t="shared" si="5"/>
        <v>2294658.287509819</v>
      </c>
    </row>
    <row r="20" spans="1:12" x14ac:dyDescent="0.2">
      <c r="A20" s="2" t="s">
        <v>79</v>
      </c>
      <c r="B20" s="1" t="s">
        <v>7</v>
      </c>
      <c r="C20" s="1">
        <v>6.3650000000000002</v>
      </c>
      <c r="D20" s="1">
        <v>300</v>
      </c>
      <c r="E20" s="1">
        <v>25</v>
      </c>
      <c r="F20" s="1">
        <f t="shared" si="4"/>
        <v>7500</v>
      </c>
      <c r="G20" s="1">
        <f t="shared" si="6"/>
        <v>1178.3189316575019</v>
      </c>
      <c r="H20" s="3">
        <v>2480</v>
      </c>
      <c r="I20" s="45">
        <f t="shared" si="2"/>
        <v>2922230.9505106048</v>
      </c>
      <c r="J20" s="29">
        <v>17000</v>
      </c>
      <c r="K20" s="29">
        <f t="shared" si="3"/>
        <v>5100000</v>
      </c>
      <c r="L20" s="29">
        <f t="shared" si="5"/>
        <v>2177769.0494893952</v>
      </c>
    </row>
    <row r="21" spans="1:12" x14ac:dyDescent="0.2">
      <c r="A21" s="2" t="s">
        <v>79</v>
      </c>
      <c r="B21" s="1" t="s">
        <v>7</v>
      </c>
      <c r="C21" s="1">
        <v>6.3650000000000002</v>
      </c>
      <c r="D21" s="1">
        <v>241</v>
      </c>
      <c r="E21" s="1">
        <v>10</v>
      </c>
      <c r="F21" s="1">
        <f t="shared" si="4"/>
        <v>2410</v>
      </c>
      <c r="G21" s="1">
        <f t="shared" si="6"/>
        <v>378.63315003927727</v>
      </c>
      <c r="H21" s="3">
        <v>2480</v>
      </c>
      <c r="I21" s="45">
        <f t="shared" si="2"/>
        <v>939010.21209740767</v>
      </c>
      <c r="J21" s="29">
        <v>15000</v>
      </c>
      <c r="K21" s="29">
        <f t="shared" si="3"/>
        <v>3615000</v>
      </c>
      <c r="L21" s="29">
        <f t="shared" si="5"/>
        <v>2675989.7879025922</v>
      </c>
    </row>
    <row r="22" spans="1:12" x14ac:dyDescent="0.2">
      <c r="A22" s="2" t="s">
        <v>79</v>
      </c>
      <c r="B22" s="1" t="s">
        <v>23</v>
      </c>
      <c r="C22" s="1">
        <v>6.3650000000000002</v>
      </c>
      <c r="D22" s="1">
        <v>131</v>
      </c>
      <c r="E22" s="1">
        <v>15</v>
      </c>
      <c r="F22" s="1">
        <f t="shared" si="4"/>
        <v>1965</v>
      </c>
      <c r="G22" s="1">
        <f t="shared" si="6"/>
        <v>308.71956009426549</v>
      </c>
      <c r="H22" s="3">
        <v>2480</v>
      </c>
      <c r="I22" s="45">
        <f t="shared" si="2"/>
        <v>765624.50903377857</v>
      </c>
      <c r="J22" s="29">
        <v>12000</v>
      </c>
      <c r="K22" s="29">
        <f t="shared" si="3"/>
        <v>1572000</v>
      </c>
      <c r="L22" s="29">
        <f t="shared" si="5"/>
        <v>806375.49096622143</v>
      </c>
    </row>
    <row r="23" spans="1:12" x14ac:dyDescent="0.2">
      <c r="A23" s="2" t="s">
        <v>79</v>
      </c>
      <c r="B23" s="1" t="s">
        <v>21</v>
      </c>
      <c r="C23" s="1">
        <v>6.3650000000000002</v>
      </c>
      <c r="D23" s="1">
        <v>262</v>
      </c>
      <c r="E23" s="1">
        <v>25</v>
      </c>
      <c r="F23" s="1">
        <f t="shared" si="4"/>
        <v>6550</v>
      </c>
      <c r="G23" s="1">
        <f t="shared" si="6"/>
        <v>1029.0652003142184</v>
      </c>
      <c r="H23" s="3">
        <v>2480</v>
      </c>
      <c r="I23" s="45">
        <f t="shared" si="2"/>
        <v>2552081.6967792613</v>
      </c>
      <c r="J23" s="29">
        <v>18000</v>
      </c>
      <c r="K23" s="29">
        <f t="shared" si="3"/>
        <v>4716000</v>
      </c>
      <c r="L23" s="29">
        <f t="shared" si="5"/>
        <v>2163918.3032207387</v>
      </c>
    </row>
    <row r="24" spans="1:12" x14ac:dyDescent="0.2">
      <c r="A24" s="2" t="s">
        <v>79</v>
      </c>
      <c r="B24" s="1" t="s">
        <v>7</v>
      </c>
      <c r="C24" s="1">
        <v>6.3650000000000002</v>
      </c>
      <c r="D24" s="1">
        <v>347</v>
      </c>
      <c r="E24" s="1">
        <v>18</v>
      </c>
      <c r="F24" s="1">
        <f t="shared" si="4"/>
        <v>6246</v>
      </c>
      <c r="G24" s="1">
        <f t="shared" si="6"/>
        <v>981.30400628436757</v>
      </c>
      <c r="H24" s="3">
        <v>2480</v>
      </c>
      <c r="I24" s="45">
        <f t="shared" si="2"/>
        <v>2433633.935585232</v>
      </c>
      <c r="J24" s="29">
        <v>16000</v>
      </c>
      <c r="K24" s="29">
        <f t="shared" si="3"/>
        <v>5552000</v>
      </c>
      <c r="L24" s="29">
        <f t="shared" si="5"/>
        <v>3118366.064414768</v>
      </c>
    </row>
    <row r="25" spans="1:12" x14ac:dyDescent="0.2">
      <c r="A25" s="2" t="s">
        <v>79</v>
      </c>
      <c r="B25" s="1" t="s">
        <v>7</v>
      </c>
      <c r="C25" s="1">
        <v>6.3650000000000002</v>
      </c>
      <c r="D25" s="1">
        <v>210</v>
      </c>
      <c r="E25" s="1">
        <v>17</v>
      </c>
      <c r="F25" s="1">
        <f t="shared" si="4"/>
        <v>3570</v>
      </c>
      <c r="G25" s="1">
        <f t="shared" si="6"/>
        <v>560.87981146897096</v>
      </c>
      <c r="H25" s="3">
        <v>2480</v>
      </c>
      <c r="I25" s="46">
        <f t="shared" si="2"/>
        <v>1390981.9324430479</v>
      </c>
      <c r="J25" s="29">
        <v>15000</v>
      </c>
      <c r="K25" s="29">
        <f t="shared" si="3"/>
        <v>3150000</v>
      </c>
      <c r="L25" s="29">
        <f t="shared" si="5"/>
        <v>1759018.0675569521</v>
      </c>
    </row>
    <row r="26" spans="1:12" x14ac:dyDescent="0.2">
      <c r="A26" s="2" t="s">
        <v>79</v>
      </c>
      <c r="B26" s="1" t="s">
        <v>42</v>
      </c>
      <c r="C26" s="1">
        <v>6.3650000000000002</v>
      </c>
      <c r="D26" s="1">
        <v>170</v>
      </c>
      <c r="E26" s="1">
        <v>19</v>
      </c>
      <c r="F26" s="1">
        <f t="shared" si="4"/>
        <v>3230</v>
      </c>
      <c r="G26" s="1">
        <f t="shared" si="6"/>
        <v>507.46268656716416</v>
      </c>
      <c r="H26" s="3">
        <v>2480</v>
      </c>
      <c r="I26" s="46">
        <f t="shared" si="2"/>
        <v>1258507.4626865671</v>
      </c>
      <c r="J26" s="29">
        <v>15000</v>
      </c>
      <c r="K26" s="29">
        <f t="shared" si="3"/>
        <v>2550000</v>
      </c>
      <c r="L26" s="29">
        <f t="shared" si="5"/>
        <v>1291492.5373134329</v>
      </c>
    </row>
    <row r="27" spans="1:12" x14ac:dyDescent="0.2">
      <c r="A27" s="2" t="s">
        <v>79</v>
      </c>
      <c r="B27" s="1" t="s">
        <v>82</v>
      </c>
      <c r="C27" s="1">
        <v>6.3650000000000002</v>
      </c>
      <c r="D27" s="1">
        <v>57</v>
      </c>
      <c r="E27" s="1">
        <v>18</v>
      </c>
      <c r="F27" s="1">
        <f t="shared" si="4"/>
        <v>1026</v>
      </c>
      <c r="G27" s="1">
        <f t="shared" si="6"/>
        <v>161.19402985074626</v>
      </c>
      <c r="H27" s="3">
        <v>2480</v>
      </c>
      <c r="I27" s="46">
        <f t="shared" si="2"/>
        <v>399761.19402985077</v>
      </c>
      <c r="J27" s="29">
        <v>18000</v>
      </c>
      <c r="K27" s="29">
        <f t="shared" si="3"/>
        <v>1026000</v>
      </c>
      <c r="L27" s="29">
        <f t="shared" si="5"/>
        <v>626238.80597014923</v>
      </c>
    </row>
    <row r="28" spans="1:12" x14ac:dyDescent="0.2">
      <c r="A28" s="2" t="s">
        <v>79</v>
      </c>
      <c r="B28" s="1" t="s">
        <v>23</v>
      </c>
      <c r="C28" s="1">
        <v>6.3650000000000002</v>
      </c>
      <c r="D28" s="1">
        <v>2480</v>
      </c>
      <c r="E28" s="1">
        <v>14</v>
      </c>
      <c r="F28" s="1">
        <f t="shared" si="4"/>
        <v>34720</v>
      </c>
      <c r="G28" s="1">
        <f t="shared" si="6"/>
        <v>5454.8311076197951</v>
      </c>
      <c r="H28" s="3">
        <v>2480</v>
      </c>
      <c r="I28" s="46">
        <f t="shared" si="2"/>
        <v>13527981.146897092</v>
      </c>
      <c r="J28" s="29">
        <v>10000</v>
      </c>
      <c r="K28" s="29">
        <f t="shared" si="3"/>
        <v>24800000</v>
      </c>
      <c r="L28" s="29">
        <f t="shared" si="5"/>
        <v>11272018.853102908</v>
      </c>
    </row>
    <row r="29" spans="1:12" x14ac:dyDescent="0.2">
      <c r="A29" s="2" t="s">
        <v>79</v>
      </c>
      <c r="B29" s="1" t="s">
        <v>7</v>
      </c>
      <c r="C29" s="1">
        <v>6.3650000000000002</v>
      </c>
      <c r="D29" s="1">
        <v>555</v>
      </c>
      <c r="E29" s="1">
        <v>22</v>
      </c>
      <c r="F29" s="1">
        <f t="shared" si="4"/>
        <v>12210</v>
      </c>
      <c r="G29" s="1">
        <f t="shared" si="6"/>
        <v>1918.3032207384131</v>
      </c>
      <c r="H29" s="3">
        <v>2480</v>
      </c>
      <c r="I29" s="46">
        <f t="shared" si="2"/>
        <v>4757391.9874312654</v>
      </c>
      <c r="J29" s="29">
        <v>16000</v>
      </c>
      <c r="K29" s="29">
        <f t="shared" si="3"/>
        <v>8880000</v>
      </c>
      <c r="L29" s="29">
        <f t="shared" si="5"/>
        <v>4122608.0125687346</v>
      </c>
    </row>
    <row r="30" spans="1:12" x14ac:dyDescent="0.2">
      <c r="A30" s="2" t="s">
        <v>79</v>
      </c>
      <c r="B30" s="1" t="s">
        <v>7</v>
      </c>
      <c r="C30" s="1">
        <v>6.3650000000000002</v>
      </c>
      <c r="D30" s="1">
        <v>322</v>
      </c>
      <c r="E30" s="1">
        <v>15</v>
      </c>
      <c r="F30" s="1">
        <f t="shared" si="4"/>
        <v>4830</v>
      </c>
      <c r="G30" s="1">
        <f t="shared" si="6"/>
        <v>758.83739198743126</v>
      </c>
      <c r="H30" s="3">
        <v>2480</v>
      </c>
      <c r="I30" s="46">
        <f t="shared" si="2"/>
        <v>1881916.7321288297</v>
      </c>
      <c r="J30" s="29">
        <v>16000</v>
      </c>
      <c r="K30" s="29">
        <f t="shared" si="3"/>
        <v>5152000</v>
      </c>
      <c r="L30" s="29">
        <f t="shared" si="5"/>
        <v>3270083.2678711703</v>
      </c>
    </row>
    <row r="31" spans="1:12" x14ac:dyDescent="0.2">
      <c r="A31" s="2" t="s">
        <v>79</v>
      </c>
      <c r="B31" s="1" t="s">
        <v>21</v>
      </c>
      <c r="C31" s="1">
        <v>6.3650000000000002</v>
      </c>
      <c r="D31" s="1">
        <v>30</v>
      </c>
      <c r="E31" s="1">
        <v>24</v>
      </c>
      <c r="F31" s="1">
        <f t="shared" si="4"/>
        <v>720</v>
      </c>
      <c r="G31" s="1">
        <f t="shared" si="6"/>
        <v>113.11861743912019</v>
      </c>
      <c r="H31" s="3">
        <v>2480</v>
      </c>
      <c r="I31" s="47">
        <f t="shared" si="2"/>
        <v>280534.17124901811</v>
      </c>
      <c r="J31" s="29">
        <v>18000</v>
      </c>
      <c r="K31" s="29">
        <f t="shared" si="3"/>
        <v>540000</v>
      </c>
      <c r="L31" s="29">
        <f t="shared" si="5"/>
        <v>259465.82875098189</v>
      </c>
    </row>
    <row r="32" spans="1:12" x14ac:dyDescent="0.2">
      <c r="A32" s="2" t="s">
        <v>79</v>
      </c>
      <c r="B32" s="1" t="s">
        <v>83</v>
      </c>
      <c r="C32" s="1">
        <v>6.3650000000000002</v>
      </c>
      <c r="D32" s="1">
        <v>48</v>
      </c>
      <c r="E32" s="1">
        <v>12</v>
      </c>
      <c r="F32" s="1">
        <f t="shared" si="4"/>
        <v>576</v>
      </c>
      <c r="G32" s="1">
        <f t="shared" si="6"/>
        <v>90.494893951296149</v>
      </c>
      <c r="H32" s="3">
        <v>2480</v>
      </c>
      <c r="I32" s="47">
        <f t="shared" si="2"/>
        <v>224427.33699921449</v>
      </c>
      <c r="J32" s="29">
        <v>16000</v>
      </c>
      <c r="K32" s="29">
        <f t="shared" si="3"/>
        <v>768000</v>
      </c>
      <c r="L32" s="29">
        <f t="shared" si="5"/>
        <v>543572.66300078551</v>
      </c>
    </row>
    <row r="33" spans="1:12" x14ac:dyDescent="0.2">
      <c r="A33" s="2" t="s">
        <v>79</v>
      </c>
      <c r="B33" s="1" t="s">
        <v>7</v>
      </c>
      <c r="C33" s="1">
        <v>6.3650000000000002</v>
      </c>
      <c r="D33" s="1">
        <v>362</v>
      </c>
      <c r="E33" s="1">
        <v>12</v>
      </c>
      <c r="F33" s="1">
        <f t="shared" si="4"/>
        <v>4344</v>
      </c>
      <c r="G33" s="1">
        <f t="shared" si="6"/>
        <v>682.48232521602506</v>
      </c>
      <c r="H33" s="3">
        <v>2480</v>
      </c>
      <c r="I33" s="47">
        <f t="shared" si="2"/>
        <v>1692556.1665357426</v>
      </c>
      <c r="J33" s="29">
        <v>15000</v>
      </c>
      <c r="K33" s="29">
        <f t="shared" si="3"/>
        <v>5430000</v>
      </c>
      <c r="L33" s="29">
        <f t="shared" si="5"/>
        <v>3737443.8334642574</v>
      </c>
    </row>
    <row r="34" spans="1:12" x14ac:dyDescent="0.2">
      <c r="A34" s="2" t="s">
        <v>79</v>
      </c>
      <c r="B34" s="1" t="s">
        <v>7</v>
      </c>
      <c r="C34" s="1">
        <v>6.3650000000000002</v>
      </c>
      <c r="D34" s="1">
        <v>224</v>
      </c>
      <c r="E34" s="1">
        <v>10</v>
      </c>
      <c r="F34" s="1">
        <f t="shared" si="4"/>
        <v>2240</v>
      </c>
      <c r="G34" s="1">
        <f t="shared" si="6"/>
        <v>351.92458758837392</v>
      </c>
      <c r="H34" s="3">
        <v>2480</v>
      </c>
      <c r="I34" s="47">
        <f t="shared" si="2"/>
        <v>872772.97721916728</v>
      </c>
      <c r="J34" s="29">
        <v>15000</v>
      </c>
      <c r="K34" s="29">
        <f t="shared" si="3"/>
        <v>3360000</v>
      </c>
      <c r="L34" s="29">
        <f t="shared" si="5"/>
        <v>2487227.0227808328</v>
      </c>
    </row>
    <row r="35" spans="1:12" x14ac:dyDescent="0.2">
      <c r="D35" s="54">
        <f>SUM(D3:D34)</f>
        <v>8849</v>
      </c>
      <c r="F35" s="52">
        <f>SUM(F3:F34)</f>
        <v>150045</v>
      </c>
      <c r="G35" s="51">
        <f>SUM(G3:G34)</f>
        <v>23573.448546739986</v>
      </c>
      <c r="I35" s="49">
        <f>SUM(I3:I34)</f>
        <v>58633589.94501178</v>
      </c>
      <c r="K35" s="50">
        <f>SUM(K3:K34)</f>
        <v>122857000</v>
      </c>
      <c r="L35" s="48">
        <f>SUM(L3:L34)</f>
        <v>64223410.05498822</v>
      </c>
    </row>
    <row r="40" spans="1:12" x14ac:dyDescent="0.2">
      <c r="G40" s="53" t="s">
        <v>84</v>
      </c>
      <c r="H40" s="3" t="s">
        <v>25</v>
      </c>
      <c r="I40" s="15">
        <v>58633590</v>
      </c>
    </row>
    <row r="41" spans="1:12" x14ac:dyDescent="0.2">
      <c r="G41" s="53" t="s">
        <v>85</v>
      </c>
      <c r="H41" s="3" t="s">
        <v>27</v>
      </c>
      <c r="I41" s="9">
        <v>4133902</v>
      </c>
    </row>
    <row r="42" spans="1:12" x14ac:dyDescent="0.2">
      <c r="H42" s="3" t="s">
        <v>26</v>
      </c>
      <c r="I42" s="3">
        <v>3310800</v>
      </c>
    </row>
    <row r="43" spans="1:12" x14ac:dyDescent="0.2">
      <c r="H43" s="3" t="s">
        <v>33</v>
      </c>
      <c r="I43" s="3">
        <v>200000</v>
      </c>
    </row>
    <row r="44" spans="1:12" x14ac:dyDescent="0.2">
      <c r="H44" s="3" t="s">
        <v>31</v>
      </c>
      <c r="I44" s="3">
        <v>4500000</v>
      </c>
    </row>
    <row r="45" spans="1:12" x14ac:dyDescent="0.2">
      <c r="H45" s="3" t="s">
        <v>36</v>
      </c>
      <c r="I45" s="3">
        <v>3500000</v>
      </c>
    </row>
    <row r="46" spans="1:12" x14ac:dyDescent="0.2">
      <c r="H46" s="3" t="s">
        <v>29</v>
      </c>
      <c r="I46" s="23">
        <v>6016098</v>
      </c>
    </row>
    <row r="47" spans="1:12" x14ac:dyDescent="0.2">
      <c r="H47" s="3" t="s">
        <v>34</v>
      </c>
      <c r="I47" s="26">
        <f>SUM(I40:I46)</f>
        <v>80294390</v>
      </c>
    </row>
    <row r="48" spans="1:12" x14ac:dyDescent="0.2">
      <c r="H48" s="3" t="s">
        <v>6</v>
      </c>
      <c r="I48" s="55">
        <v>122857000</v>
      </c>
    </row>
    <row r="49" spans="8:9" ht="18" x14ac:dyDescent="0.35">
      <c r="H49" s="3" t="s">
        <v>35</v>
      </c>
      <c r="I49" s="21">
        <f>I48-I47</f>
        <v>42562610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7"/>
  <sheetViews>
    <sheetView topLeftCell="A31" workbookViewId="0">
      <selection activeCell="G38" sqref="G38:I47"/>
    </sheetView>
  </sheetViews>
  <sheetFormatPr baseColWidth="10" defaultColWidth="9.1640625" defaultRowHeight="15" x14ac:dyDescent="0.2"/>
  <cols>
    <col min="2" max="2" width="12.83203125" customWidth="1"/>
    <col min="6" max="6" width="15.1640625" customWidth="1"/>
    <col min="7" max="7" width="16.83203125" customWidth="1"/>
    <col min="8" max="8" width="11.33203125" customWidth="1"/>
    <col min="9" max="9" width="13.1640625" customWidth="1"/>
    <col min="10" max="10" width="10" customWidth="1"/>
    <col min="11" max="11" width="13.6640625" customWidth="1"/>
    <col min="12" max="12" width="13.5" customWidth="1"/>
  </cols>
  <sheetData>
    <row r="1" spans="1:12" ht="31" x14ac:dyDescent="0.35">
      <c r="A1" s="56" t="s">
        <v>92</v>
      </c>
      <c r="B1" s="56"/>
      <c r="C1" s="56"/>
      <c r="D1" s="56"/>
      <c r="E1" s="57"/>
      <c r="F1" s="57"/>
      <c r="G1" s="57"/>
      <c r="H1" s="57"/>
      <c r="I1" s="57"/>
      <c r="J1" s="57"/>
      <c r="K1" s="57"/>
      <c r="L1" s="57"/>
    </row>
    <row r="2" spans="1:12" x14ac:dyDescent="0.2">
      <c r="A2" s="58" t="s">
        <v>0</v>
      </c>
      <c r="B2" s="58" t="s">
        <v>1</v>
      </c>
      <c r="C2" s="58" t="s">
        <v>2</v>
      </c>
      <c r="D2" s="58" t="s">
        <v>3</v>
      </c>
      <c r="E2" s="58" t="s">
        <v>11</v>
      </c>
      <c r="F2" s="59" t="s">
        <v>8</v>
      </c>
      <c r="G2" s="58" t="s">
        <v>77</v>
      </c>
      <c r="H2" s="59" t="s">
        <v>41</v>
      </c>
      <c r="I2" s="59" t="s">
        <v>9</v>
      </c>
      <c r="J2" s="59" t="s">
        <v>10</v>
      </c>
      <c r="K2" s="59" t="s">
        <v>6</v>
      </c>
      <c r="L2" s="59" t="s">
        <v>12</v>
      </c>
    </row>
    <row r="3" spans="1:12" x14ac:dyDescent="0.2">
      <c r="A3" s="2" t="s">
        <v>93</v>
      </c>
      <c r="B3" s="1" t="s">
        <v>7</v>
      </c>
      <c r="C3" s="1">
        <v>6.34</v>
      </c>
      <c r="D3" s="1">
        <v>470</v>
      </c>
      <c r="E3" s="1">
        <v>25</v>
      </c>
      <c r="F3" s="44">
        <f t="shared" ref="F3" si="0">D3*E3</f>
        <v>11750</v>
      </c>
      <c r="G3" s="5">
        <f t="shared" ref="G3:G32" si="1">F3/C3</f>
        <v>1853.3123028391167</v>
      </c>
      <c r="H3" s="3">
        <v>2520</v>
      </c>
      <c r="I3" s="3">
        <f t="shared" ref="I3:I32" si="2">E3/C3*H3*D3</f>
        <v>4670347.003154574</v>
      </c>
      <c r="J3" s="3">
        <v>16000</v>
      </c>
      <c r="K3" s="3">
        <f t="shared" ref="K3:K32" si="3">J3*D3</f>
        <v>7520000</v>
      </c>
      <c r="L3" s="3">
        <f>K3-I3</f>
        <v>2849652.996845426</v>
      </c>
    </row>
    <row r="4" spans="1:12" x14ac:dyDescent="0.2">
      <c r="A4" s="2" t="s">
        <v>93</v>
      </c>
      <c r="B4" s="1" t="s">
        <v>7</v>
      </c>
      <c r="C4" s="1">
        <v>6.34</v>
      </c>
      <c r="D4" s="1">
        <v>300</v>
      </c>
      <c r="E4" s="1">
        <v>24</v>
      </c>
      <c r="F4" s="1">
        <f>D4*E4</f>
        <v>7200</v>
      </c>
      <c r="G4" s="1">
        <f t="shared" si="1"/>
        <v>1135.6466876971608</v>
      </c>
      <c r="H4" s="3">
        <v>2520</v>
      </c>
      <c r="I4" s="37">
        <f t="shared" si="2"/>
        <v>2861829.6529968455</v>
      </c>
      <c r="J4" s="3">
        <v>16000</v>
      </c>
      <c r="K4" s="3">
        <f t="shared" si="3"/>
        <v>4800000</v>
      </c>
      <c r="L4" s="3">
        <f>K4-I4</f>
        <v>1938170.3470031545</v>
      </c>
    </row>
    <row r="5" spans="1:12" x14ac:dyDescent="0.2">
      <c r="A5" s="2" t="s">
        <v>93</v>
      </c>
      <c r="B5" s="1" t="s">
        <v>7</v>
      </c>
      <c r="C5" s="1">
        <v>6.34</v>
      </c>
      <c r="D5" s="1">
        <v>210</v>
      </c>
      <c r="E5" s="1">
        <v>23.5</v>
      </c>
      <c r="F5" s="1">
        <f t="shared" ref="F5:F32" si="4">D5*E5</f>
        <v>4935</v>
      </c>
      <c r="G5" s="1">
        <f t="shared" si="1"/>
        <v>778.39116719242907</v>
      </c>
      <c r="H5" s="3">
        <v>2520</v>
      </c>
      <c r="I5" s="37">
        <f t="shared" si="2"/>
        <v>1961545.7413249211</v>
      </c>
      <c r="J5" s="3">
        <v>16000</v>
      </c>
      <c r="K5" s="3">
        <f t="shared" si="3"/>
        <v>3360000</v>
      </c>
      <c r="L5" s="3">
        <f t="shared" ref="L5" si="5">K5-I5</f>
        <v>1398454.2586750789</v>
      </c>
    </row>
    <row r="6" spans="1:12" x14ac:dyDescent="0.2">
      <c r="A6" s="2" t="s">
        <v>93</v>
      </c>
      <c r="B6" s="1" t="s">
        <v>7</v>
      </c>
      <c r="C6" s="1">
        <v>6.34</v>
      </c>
      <c r="D6" s="1">
        <v>300</v>
      </c>
      <c r="E6" s="1">
        <v>23</v>
      </c>
      <c r="F6" s="1">
        <f t="shared" si="4"/>
        <v>6900</v>
      </c>
      <c r="G6" s="1">
        <f t="shared" si="1"/>
        <v>1088.3280757097791</v>
      </c>
      <c r="H6" s="3">
        <v>2520</v>
      </c>
      <c r="I6" s="37">
        <f t="shared" si="2"/>
        <v>2742586.750788644</v>
      </c>
      <c r="J6" s="3">
        <v>15000</v>
      </c>
      <c r="K6" s="3">
        <f t="shared" si="3"/>
        <v>4500000</v>
      </c>
      <c r="L6" s="37">
        <f t="shared" ref="L6:L32" si="6">K6-I6</f>
        <v>1757413.249211356</v>
      </c>
    </row>
    <row r="7" spans="1:12" x14ac:dyDescent="0.2">
      <c r="A7" s="2" t="s">
        <v>94</v>
      </c>
      <c r="B7" s="1" t="s">
        <v>7</v>
      </c>
      <c r="C7" s="1">
        <v>6.34</v>
      </c>
      <c r="D7" s="1">
        <v>200</v>
      </c>
      <c r="E7" s="1">
        <v>24</v>
      </c>
      <c r="F7" s="1">
        <f t="shared" si="4"/>
        <v>4800</v>
      </c>
      <c r="G7" s="1">
        <f t="shared" si="1"/>
        <v>757.09779179810732</v>
      </c>
      <c r="H7" s="3">
        <v>2520</v>
      </c>
      <c r="I7" s="37">
        <f t="shared" si="2"/>
        <v>1907886.4353312303</v>
      </c>
      <c r="J7" s="29">
        <v>16000</v>
      </c>
      <c r="K7" s="29">
        <f t="shared" si="3"/>
        <v>3200000</v>
      </c>
      <c r="L7" s="29">
        <f t="shared" si="6"/>
        <v>1292113.5646687697</v>
      </c>
    </row>
    <row r="8" spans="1:12" x14ac:dyDescent="0.2">
      <c r="A8" s="2" t="s">
        <v>95</v>
      </c>
      <c r="B8" s="1" t="s">
        <v>7</v>
      </c>
      <c r="C8" s="1">
        <v>6.34</v>
      </c>
      <c r="D8" s="1">
        <v>150</v>
      </c>
      <c r="E8" s="1">
        <v>24</v>
      </c>
      <c r="F8" s="1">
        <f t="shared" si="4"/>
        <v>3600</v>
      </c>
      <c r="G8" s="1">
        <f t="shared" si="1"/>
        <v>567.82334384858041</v>
      </c>
      <c r="H8" s="3">
        <v>2520</v>
      </c>
      <c r="I8" s="37">
        <f t="shared" si="2"/>
        <v>1430914.8264984228</v>
      </c>
      <c r="J8" s="29">
        <v>16000</v>
      </c>
      <c r="K8" s="29">
        <f t="shared" si="3"/>
        <v>2400000</v>
      </c>
      <c r="L8" s="29">
        <f t="shared" si="6"/>
        <v>969085.17350157723</v>
      </c>
    </row>
    <row r="9" spans="1:12" x14ac:dyDescent="0.2">
      <c r="A9" s="2" t="s">
        <v>96</v>
      </c>
      <c r="B9" s="1" t="s">
        <v>7</v>
      </c>
      <c r="C9" s="1">
        <v>6.34</v>
      </c>
      <c r="D9" s="1">
        <v>400</v>
      </c>
      <c r="E9" s="1">
        <v>25</v>
      </c>
      <c r="F9" s="1">
        <f t="shared" si="4"/>
        <v>10000</v>
      </c>
      <c r="G9" s="1">
        <f t="shared" si="1"/>
        <v>1577.2870662460568</v>
      </c>
      <c r="H9" s="3">
        <v>2520</v>
      </c>
      <c r="I9" s="37">
        <f t="shared" si="2"/>
        <v>3974763.406940063</v>
      </c>
      <c r="J9" s="29">
        <v>16000</v>
      </c>
      <c r="K9" s="29">
        <f t="shared" si="3"/>
        <v>6400000</v>
      </c>
      <c r="L9" s="29">
        <f t="shared" si="6"/>
        <v>2425236.593059937</v>
      </c>
    </row>
    <row r="10" spans="1:12" x14ac:dyDescent="0.2">
      <c r="A10" s="2" t="s">
        <v>97</v>
      </c>
      <c r="B10" s="1" t="s">
        <v>7</v>
      </c>
      <c r="C10" s="1">
        <v>6.34</v>
      </c>
      <c r="D10" s="1">
        <v>300</v>
      </c>
      <c r="E10" s="1">
        <v>24</v>
      </c>
      <c r="F10" s="1">
        <f t="shared" si="4"/>
        <v>7200</v>
      </c>
      <c r="G10" s="1">
        <f t="shared" si="1"/>
        <v>1135.6466876971608</v>
      </c>
      <c r="H10" s="3">
        <v>2520</v>
      </c>
      <c r="I10" s="37">
        <f t="shared" si="2"/>
        <v>2861829.6529968455</v>
      </c>
      <c r="J10" s="29">
        <v>16000</v>
      </c>
      <c r="K10" s="29">
        <f t="shared" si="3"/>
        <v>4800000</v>
      </c>
      <c r="L10" s="29">
        <f t="shared" si="6"/>
        <v>1938170.3470031545</v>
      </c>
    </row>
    <row r="11" spans="1:12" x14ac:dyDescent="0.2">
      <c r="A11" s="2" t="s">
        <v>98</v>
      </c>
      <c r="B11" s="1" t="s">
        <v>7</v>
      </c>
      <c r="C11" s="1">
        <v>6.34</v>
      </c>
      <c r="D11" s="1">
        <v>300</v>
      </c>
      <c r="E11" s="1">
        <v>24</v>
      </c>
      <c r="F11" s="1">
        <f t="shared" si="4"/>
        <v>7200</v>
      </c>
      <c r="G11" s="1">
        <f t="shared" si="1"/>
        <v>1135.6466876971608</v>
      </c>
      <c r="H11" s="3">
        <v>2520</v>
      </c>
      <c r="I11" s="37">
        <f t="shared" si="2"/>
        <v>2861829.6529968455</v>
      </c>
      <c r="J11" s="29">
        <v>17000</v>
      </c>
      <c r="K11" s="29">
        <f t="shared" si="3"/>
        <v>5100000</v>
      </c>
      <c r="L11" s="29">
        <f t="shared" si="6"/>
        <v>2238170.3470031545</v>
      </c>
    </row>
    <row r="12" spans="1:12" x14ac:dyDescent="0.2">
      <c r="A12" s="2" t="s">
        <v>99</v>
      </c>
      <c r="B12" s="1" t="s">
        <v>7</v>
      </c>
      <c r="C12" s="1">
        <v>6.34</v>
      </c>
      <c r="D12" s="1">
        <v>200</v>
      </c>
      <c r="E12" s="1">
        <v>27.5</v>
      </c>
      <c r="F12" s="1">
        <f t="shared" si="4"/>
        <v>5500</v>
      </c>
      <c r="G12" s="1">
        <f t="shared" si="1"/>
        <v>867.50788643533122</v>
      </c>
      <c r="H12" s="3">
        <v>2520</v>
      </c>
      <c r="I12" s="37">
        <f t="shared" si="2"/>
        <v>2186119.8738170345</v>
      </c>
      <c r="J12" s="29">
        <v>17000</v>
      </c>
      <c r="K12" s="29">
        <f t="shared" si="3"/>
        <v>3400000</v>
      </c>
      <c r="L12" s="29">
        <f t="shared" si="6"/>
        <v>1213880.1261829655</v>
      </c>
    </row>
    <row r="13" spans="1:12" x14ac:dyDescent="0.2">
      <c r="A13" s="2" t="s">
        <v>100</v>
      </c>
      <c r="B13" s="1" t="s">
        <v>118</v>
      </c>
      <c r="C13" s="1">
        <v>6.34</v>
      </c>
      <c r="D13" s="1">
        <v>320</v>
      </c>
      <c r="E13" s="1">
        <v>24</v>
      </c>
      <c r="F13" s="1">
        <f t="shared" si="4"/>
        <v>7680</v>
      </c>
      <c r="G13" s="1">
        <f t="shared" si="1"/>
        <v>1211.3564668769716</v>
      </c>
      <c r="H13" s="3">
        <v>2520</v>
      </c>
      <c r="I13" s="37">
        <f t="shared" si="2"/>
        <v>3052618.2965299683</v>
      </c>
      <c r="J13" s="29">
        <v>15000</v>
      </c>
      <c r="K13" s="29">
        <f t="shared" si="3"/>
        <v>4800000</v>
      </c>
      <c r="L13" s="29">
        <f t="shared" si="6"/>
        <v>1747381.7034700317</v>
      </c>
    </row>
    <row r="14" spans="1:12" x14ac:dyDescent="0.2">
      <c r="A14" s="2" t="s">
        <v>101</v>
      </c>
      <c r="B14" s="1" t="s">
        <v>119</v>
      </c>
      <c r="C14" s="1">
        <v>6.34</v>
      </c>
      <c r="D14" s="1">
        <v>663</v>
      </c>
      <c r="E14" s="1">
        <v>11</v>
      </c>
      <c r="F14" s="1">
        <f t="shared" si="4"/>
        <v>7293</v>
      </c>
      <c r="G14" s="1">
        <f t="shared" si="1"/>
        <v>1150.3154574132493</v>
      </c>
      <c r="H14" s="3">
        <v>2520</v>
      </c>
      <c r="I14" s="37">
        <f t="shared" si="2"/>
        <v>2898794.9526813878</v>
      </c>
      <c r="J14" s="29">
        <v>10000</v>
      </c>
      <c r="K14" s="29">
        <f t="shared" si="3"/>
        <v>6630000</v>
      </c>
      <c r="L14" s="29">
        <f t="shared" si="6"/>
        <v>3731205.0473186122</v>
      </c>
    </row>
    <row r="15" spans="1:12" x14ac:dyDescent="0.2">
      <c r="A15" s="2" t="s">
        <v>102</v>
      </c>
      <c r="B15" s="1" t="s">
        <v>119</v>
      </c>
      <c r="C15" s="1">
        <v>6.34</v>
      </c>
      <c r="D15" s="1">
        <v>660</v>
      </c>
      <c r="E15" s="1">
        <v>12.5</v>
      </c>
      <c r="F15" s="1">
        <f t="shared" si="4"/>
        <v>8250</v>
      </c>
      <c r="G15" s="1">
        <f t="shared" si="1"/>
        <v>1301.2618296529968</v>
      </c>
      <c r="H15" s="3">
        <v>2520</v>
      </c>
      <c r="I15" s="37">
        <f t="shared" si="2"/>
        <v>3279179.810725552</v>
      </c>
      <c r="J15" s="29">
        <v>12000</v>
      </c>
      <c r="K15" s="29">
        <f t="shared" si="3"/>
        <v>7920000</v>
      </c>
      <c r="L15" s="29">
        <f t="shared" si="6"/>
        <v>4640820.189274448</v>
      </c>
    </row>
    <row r="16" spans="1:12" x14ac:dyDescent="0.2">
      <c r="A16" s="2" t="s">
        <v>103</v>
      </c>
      <c r="B16" s="1" t="s">
        <v>119</v>
      </c>
      <c r="C16" s="1">
        <v>6.34</v>
      </c>
      <c r="D16" s="1">
        <v>987</v>
      </c>
      <c r="E16" s="1">
        <v>14.5</v>
      </c>
      <c r="F16" s="1">
        <f t="shared" si="4"/>
        <v>14311.5</v>
      </c>
      <c r="G16" s="1">
        <f t="shared" si="1"/>
        <v>2257.3343848580444</v>
      </c>
      <c r="H16" s="3">
        <v>2520</v>
      </c>
      <c r="I16" s="37">
        <f t="shared" si="2"/>
        <v>5688482.6498422716</v>
      </c>
      <c r="J16" s="29">
        <v>12000</v>
      </c>
      <c r="K16" s="29">
        <f t="shared" si="3"/>
        <v>11844000</v>
      </c>
      <c r="L16" s="29">
        <f t="shared" si="6"/>
        <v>6155517.3501577284</v>
      </c>
    </row>
    <row r="17" spans="1:12" x14ac:dyDescent="0.2">
      <c r="A17" s="2" t="s">
        <v>104</v>
      </c>
      <c r="B17" s="1" t="s">
        <v>7</v>
      </c>
      <c r="C17" s="1">
        <v>6.34</v>
      </c>
      <c r="D17" s="1">
        <v>200</v>
      </c>
      <c r="E17" s="1">
        <v>22</v>
      </c>
      <c r="F17" s="1">
        <f t="shared" si="4"/>
        <v>4400</v>
      </c>
      <c r="G17" s="1">
        <f t="shared" si="1"/>
        <v>694.00630914826502</v>
      </c>
      <c r="H17" s="3">
        <v>2520</v>
      </c>
      <c r="I17" s="37">
        <f t="shared" si="2"/>
        <v>1748895.8990536276</v>
      </c>
      <c r="J17" s="29">
        <v>16000</v>
      </c>
      <c r="K17" s="29">
        <f t="shared" si="3"/>
        <v>3200000</v>
      </c>
      <c r="L17" s="29">
        <f t="shared" si="6"/>
        <v>1451104.1009463724</v>
      </c>
    </row>
    <row r="18" spans="1:12" x14ac:dyDescent="0.2">
      <c r="A18" s="2" t="s">
        <v>105</v>
      </c>
      <c r="B18" s="1" t="s">
        <v>7</v>
      </c>
      <c r="C18" s="1">
        <v>6.34</v>
      </c>
      <c r="D18" s="1">
        <v>300</v>
      </c>
      <c r="E18" s="1">
        <v>23</v>
      </c>
      <c r="F18" s="1">
        <f t="shared" si="4"/>
        <v>6900</v>
      </c>
      <c r="G18" s="1">
        <f t="shared" si="1"/>
        <v>1088.3280757097791</v>
      </c>
      <c r="H18" s="3">
        <v>2520</v>
      </c>
      <c r="I18" s="37">
        <f t="shared" si="2"/>
        <v>2742586.750788644</v>
      </c>
      <c r="J18" s="29">
        <v>16000</v>
      </c>
      <c r="K18" s="29">
        <f t="shared" si="3"/>
        <v>4800000</v>
      </c>
      <c r="L18" s="29">
        <f t="shared" si="6"/>
        <v>2057413.249211356</v>
      </c>
    </row>
    <row r="19" spans="1:12" x14ac:dyDescent="0.2">
      <c r="A19" s="2" t="s">
        <v>106</v>
      </c>
      <c r="B19" s="1" t="s">
        <v>7</v>
      </c>
      <c r="C19" s="1">
        <v>6.34</v>
      </c>
      <c r="D19" s="1">
        <v>125</v>
      </c>
      <c r="E19" s="1">
        <v>20</v>
      </c>
      <c r="F19" s="1">
        <f t="shared" si="4"/>
        <v>2500</v>
      </c>
      <c r="G19" s="1">
        <f t="shared" si="1"/>
        <v>394.32176656151421</v>
      </c>
      <c r="H19" s="3">
        <v>2520</v>
      </c>
      <c r="I19" s="37">
        <f t="shared" si="2"/>
        <v>993690.85173501575</v>
      </c>
      <c r="J19" s="29">
        <v>16000</v>
      </c>
      <c r="K19" s="29">
        <f t="shared" si="3"/>
        <v>2000000</v>
      </c>
      <c r="L19" s="29">
        <f t="shared" si="6"/>
        <v>1006309.1482649843</v>
      </c>
    </row>
    <row r="20" spans="1:12" x14ac:dyDescent="0.2">
      <c r="A20" s="2" t="s">
        <v>107</v>
      </c>
      <c r="B20" s="1" t="s">
        <v>7</v>
      </c>
      <c r="C20" s="1">
        <v>6.34</v>
      </c>
      <c r="D20" s="1">
        <v>430</v>
      </c>
      <c r="E20" s="1">
        <v>23</v>
      </c>
      <c r="F20" s="1">
        <f t="shared" si="4"/>
        <v>9890</v>
      </c>
      <c r="G20" s="1">
        <f t="shared" si="1"/>
        <v>1559.9369085173503</v>
      </c>
      <c r="H20" s="3">
        <v>2520</v>
      </c>
      <c r="I20" s="37">
        <f t="shared" si="2"/>
        <v>3931041.0094637228</v>
      </c>
      <c r="J20" s="29">
        <v>17000</v>
      </c>
      <c r="K20" s="29">
        <f t="shared" si="3"/>
        <v>7310000</v>
      </c>
      <c r="L20" s="29">
        <f t="shared" si="6"/>
        <v>3378958.9905362772</v>
      </c>
    </row>
    <row r="21" spans="1:12" x14ac:dyDescent="0.2">
      <c r="A21" s="2" t="s">
        <v>108</v>
      </c>
      <c r="B21" s="1" t="s">
        <v>7</v>
      </c>
      <c r="C21" s="1">
        <v>6.34</v>
      </c>
      <c r="D21" s="1">
        <v>49</v>
      </c>
      <c r="E21" s="1">
        <v>18</v>
      </c>
      <c r="F21" s="1">
        <f t="shared" si="4"/>
        <v>882</v>
      </c>
      <c r="G21" s="1">
        <f t="shared" si="1"/>
        <v>139.11671924290221</v>
      </c>
      <c r="H21" s="3">
        <v>2520</v>
      </c>
      <c r="I21" s="37">
        <f t="shared" si="2"/>
        <v>350574.13249211357</v>
      </c>
      <c r="J21" s="29">
        <v>18000</v>
      </c>
      <c r="K21" s="29">
        <f t="shared" si="3"/>
        <v>882000</v>
      </c>
      <c r="L21" s="29">
        <f t="shared" si="6"/>
        <v>531425.86750788637</v>
      </c>
    </row>
    <row r="22" spans="1:12" x14ac:dyDescent="0.2">
      <c r="A22" s="2" t="s">
        <v>109</v>
      </c>
      <c r="B22" s="1" t="s">
        <v>7</v>
      </c>
      <c r="C22" s="1">
        <v>6.34</v>
      </c>
      <c r="D22" s="1">
        <v>49</v>
      </c>
      <c r="E22" s="1">
        <v>10</v>
      </c>
      <c r="F22" s="1">
        <f t="shared" si="4"/>
        <v>490</v>
      </c>
      <c r="G22" s="1">
        <f t="shared" si="1"/>
        <v>77.287066246056781</v>
      </c>
      <c r="H22" s="3">
        <v>2520</v>
      </c>
      <c r="I22" s="37">
        <f t="shared" si="2"/>
        <v>194763.40694006308</v>
      </c>
      <c r="J22" s="29">
        <v>16000</v>
      </c>
      <c r="K22" s="29">
        <f t="shared" si="3"/>
        <v>784000</v>
      </c>
      <c r="L22" s="29">
        <f t="shared" si="6"/>
        <v>589236.59305993689</v>
      </c>
    </row>
    <row r="23" spans="1:12" x14ac:dyDescent="0.2">
      <c r="A23" s="2" t="s">
        <v>110</v>
      </c>
      <c r="B23" s="1" t="s">
        <v>7</v>
      </c>
      <c r="C23" s="1">
        <v>6.34</v>
      </c>
      <c r="D23" s="1">
        <v>260</v>
      </c>
      <c r="E23" s="1">
        <v>23</v>
      </c>
      <c r="F23" s="1">
        <f t="shared" si="4"/>
        <v>5980</v>
      </c>
      <c r="G23" s="1">
        <f t="shared" si="1"/>
        <v>943.21766561514198</v>
      </c>
      <c r="H23" s="3">
        <v>2520</v>
      </c>
      <c r="I23" s="37">
        <f t="shared" si="2"/>
        <v>2376908.5173501582</v>
      </c>
      <c r="J23" s="29">
        <v>18000</v>
      </c>
      <c r="K23" s="29">
        <f t="shared" si="3"/>
        <v>4680000</v>
      </c>
      <c r="L23" s="29">
        <f t="shared" si="6"/>
        <v>2303091.4826498418</v>
      </c>
    </row>
    <row r="24" spans="1:12" x14ac:dyDescent="0.2">
      <c r="A24" s="2" t="s">
        <v>111</v>
      </c>
      <c r="B24" s="1" t="s">
        <v>7</v>
      </c>
      <c r="C24" s="1">
        <v>6.34</v>
      </c>
      <c r="D24" s="1">
        <v>104</v>
      </c>
      <c r="E24" s="1">
        <v>12</v>
      </c>
      <c r="F24" s="1">
        <f t="shared" si="4"/>
        <v>1248</v>
      </c>
      <c r="G24" s="1">
        <f t="shared" si="1"/>
        <v>196.84542586750788</v>
      </c>
      <c r="H24" s="3">
        <v>2520</v>
      </c>
      <c r="I24" s="37">
        <f t="shared" si="2"/>
        <v>496050.47318611987</v>
      </c>
      <c r="J24" s="29">
        <v>16000</v>
      </c>
      <c r="K24" s="29">
        <f t="shared" si="3"/>
        <v>1664000</v>
      </c>
      <c r="L24" s="29">
        <f t="shared" si="6"/>
        <v>1167949.5268138801</v>
      </c>
    </row>
    <row r="25" spans="1:12" x14ac:dyDescent="0.2">
      <c r="A25" s="2" t="s">
        <v>112</v>
      </c>
      <c r="B25" s="1" t="s">
        <v>7</v>
      </c>
      <c r="C25" s="1">
        <v>6.34</v>
      </c>
      <c r="D25" s="1">
        <v>720</v>
      </c>
      <c r="E25" s="1">
        <v>25</v>
      </c>
      <c r="F25" s="1">
        <f t="shared" si="4"/>
        <v>18000</v>
      </c>
      <c r="G25" s="1">
        <f t="shared" si="1"/>
        <v>2839.1167192429025</v>
      </c>
      <c r="H25" s="3">
        <v>2520</v>
      </c>
      <c r="I25" s="37">
        <f t="shared" si="2"/>
        <v>7154574.1324921129</v>
      </c>
      <c r="J25" s="29">
        <v>18000</v>
      </c>
      <c r="K25" s="29">
        <f t="shared" si="3"/>
        <v>12960000</v>
      </c>
      <c r="L25" s="29">
        <f t="shared" si="6"/>
        <v>5805425.8675078871</v>
      </c>
    </row>
    <row r="26" spans="1:12" x14ac:dyDescent="0.2">
      <c r="A26" s="2" t="s">
        <v>113</v>
      </c>
      <c r="B26" s="1" t="s">
        <v>7</v>
      </c>
      <c r="C26" s="1">
        <v>6.34</v>
      </c>
      <c r="D26" s="1">
        <v>317</v>
      </c>
      <c r="E26" s="1">
        <v>15</v>
      </c>
      <c r="F26" s="1">
        <f t="shared" si="4"/>
        <v>4755</v>
      </c>
      <c r="G26" s="1">
        <f t="shared" si="1"/>
        <v>750</v>
      </c>
      <c r="H26" s="3">
        <v>2520</v>
      </c>
      <c r="I26" s="37">
        <f t="shared" si="2"/>
        <v>1890000</v>
      </c>
      <c r="J26" s="29">
        <v>15000</v>
      </c>
      <c r="K26" s="29">
        <f t="shared" si="3"/>
        <v>4755000</v>
      </c>
      <c r="L26" s="29">
        <f t="shared" si="6"/>
        <v>2865000</v>
      </c>
    </row>
    <row r="27" spans="1:12" x14ac:dyDescent="0.2">
      <c r="A27" s="2" t="s">
        <v>114</v>
      </c>
      <c r="B27" s="1" t="s">
        <v>7</v>
      </c>
      <c r="C27" s="1">
        <v>6.34</v>
      </c>
      <c r="D27" s="1">
        <v>230</v>
      </c>
      <c r="E27" s="1">
        <v>18</v>
      </c>
      <c r="F27" s="1">
        <f t="shared" si="4"/>
        <v>4140</v>
      </c>
      <c r="G27" s="1">
        <f t="shared" si="1"/>
        <v>652.99684542586749</v>
      </c>
      <c r="H27" s="3">
        <v>2520</v>
      </c>
      <c r="I27" s="37">
        <f t="shared" si="2"/>
        <v>1645552.0504731862</v>
      </c>
      <c r="J27" s="29">
        <v>16000</v>
      </c>
      <c r="K27" s="29">
        <f t="shared" si="3"/>
        <v>3680000</v>
      </c>
      <c r="L27" s="29">
        <f t="shared" si="6"/>
        <v>2034447.9495268138</v>
      </c>
    </row>
    <row r="28" spans="1:12" x14ac:dyDescent="0.2">
      <c r="A28" s="2" t="s">
        <v>115</v>
      </c>
      <c r="B28" s="1" t="s">
        <v>7</v>
      </c>
      <c r="C28" s="1">
        <v>6.34</v>
      </c>
      <c r="D28" s="1">
        <v>81</v>
      </c>
      <c r="E28" s="1">
        <v>15</v>
      </c>
      <c r="F28" s="1">
        <f t="shared" si="4"/>
        <v>1215</v>
      </c>
      <c r="G28" s="1">
        <f t="shared" si="1"/>
        <v>191.64037854889591</v>
      </c>
      <c r="H28" s="3">
        <v>2520</v>
      </c>
      <c r="I28" s="37">
        <f t="shared" si="2"/>
        <v>482933.75394321763</v>
      </c>
      <c r="J28" s="29">
        <v>15000</v>
      </c>
      <c r="K28" s="29">
        <f t="shared" si="3"/>
        <v>1215000</v>
      </c>
      <c r="L28" s="29">
        <f t="shared" si="6"/>
        <v>732066.24605678231</v>
      </c>
    </row>
    <row r="29" spans="1:12" x14ac:dyDescent="0.2">
      <c r="A29" s="2" t="s">
        <v>116</v>
      </c>
      <c r="B29" s="1" t="s">
        <v>7</v>
      </c>
      <c r="C29" s="1">
        <v>6.34</v>
      </c>
      <c r="D29" s="1">
        <v>28</v>
      </c>
      <c r="E29" s="1">
        <v>10</v>
      </c>
      <c r="F29" s="1">
        <f t="shared" si="4"/>
        <v>280</v>
      </c>
      <c r="G29" s="1">
        <f t="shared" si="1"/>
        <v>44.164037854889592</v>
      </c>
      <c r="H29" s="3">
        <v>2520</v>
      </c>
      <c r="I29" s="37">
        <f t="shared" si="2"/>
        <v>111293.37539432176</v>
      </c>
      <c r="J29" s="29">
        <v>16000</v>
      </c>
      <c r="K29" s="29">
        <f t="shared" si="3"/>
        <v>448000</v>
      </c>
      <c r="L29" s="29">
        <f t="shared" si="6"/>
        <v>336706.62460567825</v>
      </c>
    </row>
    <row r="30" spans="1:12" x14ac:dyDescent="0.2">
      <c r="A30" s="2" t="s">
        <v>117</v>
      </c>
      <c r="B30" s="1" t="s">
        <v>7</v>
      </c>
      <c r="C30" s="1">
        <v>6.34</v>
      </c>
      <c r="D30" s="1">
        <v>223</v>
      </c>
      <c r="E30" s="1">
        <v>18</v>
      </c>
      <c r="F30" s="1">
        <f t="shared" si="4"/>
        <v>4014</v>
      </c>
      <c r="G30" s="1">
        <f t="shared" si="1"/>
        <v>633.12302839116717</v>
      </c>
      <c r="H30" s="3">
        <v>2520</v>
      </c>
      <c r="I30" s="37">
        <f t="shared" si="2"/>
        <v>1595470.0315457413</v>
      </c>
      <c r="J30" s="29">
        <v>16000</v>
      </c>
      <c r="K30" s="29">
        <f t="shared" si="3"/>
        <v>3568000</v>
      </c>
      <c r="L30" s="29">
        <f t="shared" si="6"/>
        <v>1972529.9684542587</v>
      </c>
    </row>
    <row r="31" spans="1:12" x14ac:dyDescent="0.2">
      <c r="A31" s="2" t="s">
        <v>120</v>
      </c>
      <c r="B31" s="1" t="s">
        <v>7</v>
      </c>
      <c r="C31" s="1">
        <v>6.34</v>
      </c>
      <c r="D31" s="1">
        <v>142</v>
      </c>
      <c r="E31" s="1">
        <v>15</v>
      </c>
      <c r="F31" s="1">
        <f t="shared" si="4"/>
        <v>2130</v>
      </c>
      <c r="G31" s="1">
        <f t="shared" si="1"/>
        <v>335.96214511041012</v>
      </c>
      <c r="H31" s="3">
        <v>2520</v>
      </c>
      <c r="I31" s="37">
        <f t="shared" si="2"/>
        <v>846624.60567823343</v>
      </c>
      <c r="J31" s="29">
        <v>16000</v>
      </c>
      <c r="K31" s="29">
        <f t="shared" si="3"/>
        <v>2272000</v>
      </c>
      <c r="L31" s="29">
        <f t="shared" si="6"/>
        <v>1425375.3943217667</v>
      </c>
    </row>
    <row r="32" spans="1:12" x14ac:dyDescent="0.2">
      <c r="A32" s="2" t="s">
        <v>121</v>
      </c>
      <c r="B32" s="1" t="s">
        <v>7</v>
      </c>
      <c r="C32" s="1">
        <v>6.34</v>
      </c>
      <c r="D32" s="1">
        <v>21</v>
      </c>
      <c r="E32" s="1">
        <v>7.5</v>
      </c>
      <c r="F32" s="1">
        <f t="shared" si="4"/>
        <v>157.5</v>
      </c>
      <c r="G32" s="1">
        <f t="shared" si="1"/>
        <v>24.842271293375394</v>
      </c>
      <c r="H32" s="3">
        <v>2520</v>
      </c>
      <c r="I32" s="37">
        <f t="shared" si="2"/>
        <v>62602.523659305989</v>
      </c>
      <c r="J32" s="29">
        <v>16000</v>
      </c>
      <c r="K32" s="29">
        <f t="shared" si="3"/>
        <v>336000</v>
      </c>
      <c r="L32" s="29">
        <f t="shared" si="6"/>
        <v>273397.476340694</v>
      </c>
    </row>
    <row r="33" spans="4:12" x14ac:dyDescent="0.2">
      <c r="D33" s="54">
        <f>SUM(D3:D32)</f>
        <v>8739</v>
      </c>
      <c r="F33" s="52">
        <f>SUM(F3:F32)</f>
        <v>173601</v>
      </c>
      <c r="G33" s="51">
        <f>SUM(G3:G32)</f>
        <v>27381.86119873817</v>
      </c>
      <c r="I33" s="50">
        <f>SUM(I3:I32)</f>
        <v>69002290.220820174</v>
      </c>
      <c r="K33" s="62">
        <f>SUM(K3:K32)</f>
        <v>131228000</v>
      </c>
      <c r="L33" s="48">
        <f>SUM(L3:L32)</f>
        <v>62225709.779179819</v>
      </c>
    </row>
    <row r="38" spans="4:12" x14ac:dyDescent="0.2">
      <c r="G38" s="53" t="s">
        <v>122</v>
      </c>
      <c r="H38" s="3" t="s">
        <v>25</v>
      </c>
      <c r="I38" s="15">
        <v>69002290</v>
      </c>
    </row>
    <row r="39" spans="4:12" x14ac:dyDescent="0.2">
      <c r="G39" s="53" t="s">
        <v>85</v>
      </c>
      <c r="H39" s="3" t="s">
        <v>27</v>
      </c>
      <c r="I39" s="9">
        <v>300000</v>
      </c>
    </row>
    <row r="40" spans="4:12" x14ac:dyDescent="0.2">
      <c r="H40" s="3" t="s">
        <v>26</v>
      </c>
      <c r="I40" s="3">
        <v>3310800</v>
      </c>
    </row>
    <row r="41" spans="4:12" x14ac:dyDescent="0.2">
      <c r="H41" s="3" t="s">
        <v>33</v>
      </c>
      <c r="I41" s="3">
        <v>200000</v>
      </c>
    </row>
    <row r="42" spans="4:12" x14ac:dyDescent="0.2">
      <c r="H42" s="3" t="s">
        <v>31</v>
      </c>
      <c r="I42" s="3">
        <v>4500000</v>
      </c>
    </row>
    <row r="43" spans="4:12" x14ac:dyDescent="0.2">
      <c r="H43" s="3" t="s">
        <v>36</v>
      </c>
      <c r="I43" s="3">
        <v>3500000</v>
      </c>
    </row>
    <row r="44" spans="4:12" x14ac:dyDescent="0.2">
      <c r="H44" s="3" t="s">
        <v>29</v>
      </c>
      <c r="I44" s="23">
        <v>5000000</v>
      </c>
    </row>
    <row r="45" spans="4:12" x14ac:dyDescent="0.2">
      <c r="H45" s="3" t="s">
        <v>34</v>
      </c>
      <c r="I45" s="26">
        <f>SUM(I38:I44)</f>
        <v>85813090</v>
      </c>
    </row>
    <row r="46" spans="4:12" x14ac:dyDescent="0.2">
      <c r="H46" s="3" t="s">
        <v>6</v>
      </c>
      <c r="I46" s="55">
        <v>131228000</v>
      </c>
    </row>
    <row r="47" spans="4:12" ht="18" x14ac:dyDescent="0.35">
      <c r="H47" s="3" t="s">
        <v>35</v>
      </c>
      <c r="I47" s="21">
        <f>I46-I45</f>
        <v>45414910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6"/>
  <sheetViews>
    <sheetView topLeftCell="A11" workbookViewId="0">
      <selection activeCell="I52" sqref="I52"/>
    </sheetView>
  </sheetViews>
  <sheetFormatPr baseColWidth="10" defaultColWidth="9.1640625" defaultRowHeight="15" x14ac:dyDescent="0.2"/>
  <cols>
    <col min="1" max="1" width="14" customWidth="1"/>
    <col min="2" max="2" width="12.5" customWidth="1"/>
    <col min="5" max="5" width="10.1640625" customWidth="1"/>
    <col min="6" max="6" width="14.5" customWidth="1"/>
    <col min="7" max="7" width="17" customWidth="1"/>
    <col min="8" max="8" width="13" customWidth="1"/>
    <col min="9" max="9" width="13.33203125" customWidth="1"/>
    <col min="10" max="10" width="10.5" bestFit="1" customWidth="1"/>
    <col min="11" max="11" width="12.6640625" customWidth="1"/>
    <col min="12" max="12" width="13.5" customWidth="1"/>
  </cols>
  <sheetData>
    <row r="1" spans="1:12" ht="31" x14ac:dyDescent="0.35">
      <c r="A1" s="56" t="s">
        <v>123</v>
      </c>
      <c r="B1" s="56"/>
      <c r="C1" s="56"/>
      <c r="D1" s="56"/>
      <c r="E1" s="57"/>
      <c r="F1" s="57"/>
      <c r="G1" s="57"/>
      <c r="H1" s="57"/>
      <c r="I1" s="57"/>
      <c r="J1" s="57"/>
      <c r="K1" s="57"/>
      <c r="L1" s="57"/>
    </row>
    <row r="2" spans="1:12" x14ac:dyDescent="0.2">
      <c r="A2" s="58" t="s">
        <v>0</v>
      </c>
      <c r="B2" s="58" t="s">
        <v>1</v>
      </c>
      <c r="C2" s="58" t="s">
        <v>2</v>
      </c>
      <c r="D2" s="58" t="s">
        <v>3</v>
      </c>
      <c r="E2" s="58" t="s">
        <v>11</v>
      </c>
      <c r="F2" s="59" t="s">
        <v>8</v>
      </c>
      <c r="G2" s="58" t="s">
        <v>77</v>
      </c>
      <c r="H2" s="59" t="s">
        <v>41</v>
      </c>
      <c r="I2" s="59" t="s">
        <v>9</v>
      </c>
      <c r="J2" s="59" t="s">
        <v>10</v>
      </c>
      <c r="K2" s="59" t="s">
        <v>6</v>
      </c>
      <c r="L2" s="59" t="s">
        <v>12</v>
      </c>
    </row>
    <row r="3" spans="1:12" x14ac:dyDescent="0.2">
      <c r="A3" s="2" t="s">
        <v>124</v>
      </c>
      <c r="B3" s="1" t="s">
        <v>7</v>
      </c>
      <c r="C3" s="1">
        <v>6.26</v>
      </c>
      <c r="D3" s="1">
        <v>500</v>
      </c>
      <c r="E3" s="1">
        <v>25</v>
      </c>
      <c r="F3" s="44">
        <f t="shared" ref="F3" si="0">D3*E3</f>
        <v>12500</v>
      </c>
      <c r="G3" s="5">
        <f t="shared" ref="G3:G39" si="1">F3/C3</f>
        <v>1996.8051118210863</v>
      </c>
      <c r="H3" s="3">
        <v>2565</v>
      </c>
      <c r="I3" s="3">
        <f t="shared" ref="I3:I39" si="2">E3/C3*H3*D3</f>
        <v>5121805.1118210861</v>
      </c>
      <c r="J3" s="3">
        <v>16000</v>
      </c>
      <c r="K3" s="3">
        <f t="shared" ref="K3:K39" si="3">J3*D3</f>
        <v>8000000</v>
      </c>
      <c r="L3" s="3">
        <f>K3-I3</f>
        <v>2878194.8881789139</v>
      </c>
    </row>
    <row r="4" spans="1:12" x14ac:dyDescent="0.2">
      <c r="A4" s="2" t="s">
        <v>125</v>
      </c>
      <c r="B4" s="1" t="s">
        <v>7</v>
      </c>
      <c r="C4" s="1">
        <v>6.26</v>
      </c>
      <c r="D4" s="1">
        <v>250</v>
      </c>
      <c r="E4" s="1">
        <v>24</v>
      </c>
      <c r="F4" s="1">
        <f>D4*E4</f>
        <v>6000</v>
      </c>
      <c r="G4" s="1">
        <f t="shared" si="1"/>
        <v>958.46645367412145</v>
      </c>
      <c r="H4" s="3">
        <v>2565</v>
      </c>
      <c r="I4" s="37">
        <f t="shared" si="2"/>
        <v>2458466.4536741218</v>
      </c>
      <c r="J4" s="3">
        <v>16000</v>
      </c>
      <c r="K4" s="3">
        <f t="shared" si="3"/>
        <v>4000000</v>
      </c>
      <c r="L4" s="3">
        <f>K4-I4</f>
        <v>1541533.5463258782</v>
      </c>
    </row>
    <row r="5" spans="1:12" x14ac:dyDescent="0.2">
      <c r="A5" s="2" t="s">
        <v>126</v>
      </c>
      <c r="B5" s="1" t="s">
        <v>7</v>
      </c>
      <c r="C5" s="1">
        <v>6.26</v>
      </c>
      <c r="D5" s="1">
        <v>500</v>
      </c>
      <c r="E5" s="1">
        <v>27</v>
      </c>
      <c r="F5" s="1">
        <f t="shared" ref="F5:F39" si="4">D5*E5</f>
        <v>13500</v>
      </c>
      <c r="G5" s="1">
        <f t="shared" si="1"/>
        <v>2156.5495207667732</v>
      </c>
      <c r="H5" s="3">
        <v>2565</v>
      </c>
      <c r="I5" s="37">
        <f t="shared" si="2"/>
        <v>5531549.5207667733</v>
      </c>
      <c r="J5" s="3">
        <v>17000</v>
      </c>
      <c r="K5" s="3">
        <f t="shared" si="3"/>
        <v>8500000</v>
      </c>
      <c r="L5" s="3">
        <f t="shared" ref="L5" si="5">K5-I5</f>
        <v>2968450.4792332267</v>
      </c>
    </row>
    <row r="6" spans="1:12" x14ac:dyDescent="0.2">
      <c r="A6" s="2" t="s">
        <v>127</v>
      </c>
      <c r="B6" s="1" t="s">
        <v>7</v>
      </c>
      <c r="C6" s="1">
        <v>6.26</v>
      </c>
      <c r="D6" s="1">
        <v>200</v>
      </c>
      <c r="E6" s="1">
        <v>23</v>
      </c>
      <c r="F6" s="1">
        <f t="shared" si="4"/>
        <v>4600</v>
      </c>
      <c r="G6" s="1">
        <f t="shared" si="1"/>
        <v>734.82428115015978</v>
      </c>
      <c r="H6" s="3">
        <v>2565</v>
      </c>
      <c r="I6" s="37">
        <f t="shared" si="2"/>
        <v>1884824.2811501597</v>
      </c>
      <c r="J6" s="3">
        <v>15000</v>
      </c>
      <c r="K6" s="3">
        <f t="shared" si="3"/>
        <v>3000000</v>
      </c>
      <c r="L6" s="37">
        <f t="shared" ref="L6:L39" si="6">K6-I6</f>
        <v>1115175.7188498403</v>
      </c>
    </row>
    <row r="7" spans="1:12" x14ac:dyDescent="0.2">
      <c r="A7" s="2" t="s">
        <v>128</v>
      </c>
      <c r="B7" s="1" t="s">
        <v>7</v>
      </c>
      <c r="C7" s="1">
        <v>6.26</v>
      </c>
      <c r="D7" s="1">
        <v>400</v>
      </c>
      <c r="E7" s="1">
        <v>24</v>
      </c>
      <c r="F7" s="1">
        <f t="shared" si="4"/>
        <v>9600</v>
      </c>
      <c r="G7" s="1">
        <f t="shared" si="1"/>
        <v>1533.5463258785942</v>
      </c>
      <c r="H7" s="3">
        <v>2565</v>
      </c>
      <c r="I7" s="37">
        <f t="shared" si="2"/>
        <v>3933546.3258785945</v>
      </c>
      <c r="J7" s="29">
        <v>16000</v>
      </c>
      <c r="K7" s="29">
        <f t="shared" si="3"/>
        <v>6400000</v>
      </c>
      <c r="L7" s="29">
        <f t="shared" si="6"/>
        <v>2466453.6741214055</v>
      </c>
    </row>
    <row r="8" spans="1:12" x14ac:dyDescent="0.2">
      <c r="A8" s="2" t="s">
        <v>129</v>
      </c>
      <c r="B8" s="1" t="s">
        <v>7</v>
      </c>
      <c r="C8" s="1">
        <v>6.26</v>
      </c>
      <c r="D8" s="1">
        <v>150</v>
      </c>
      <c r="E8" s="1">
        <v>25</v>
      </c>
      <c r="F8" s="1">
        <f t="shared" si="4"/>
        <v>3750</v>
      </c>
      <c r="G8" s="1">
        <f t="shared" si="1"/>
        <v>599.04153354632592</v>
      </c>
      <c r="H8" s="3">
        <v>2565</v>
      </c>
      <c r="I8" s="37">
        <f t="shared" si="2"/>
        <v>1536541.5335463258</v>
      </c>
      <c r="J8" s="29">
        <v>16000</v>
      </c>
      <c r="K8" s="29">
        <f t="shared" si="3"/>
        <v>2400000</v>
      </c>
      <c r="L8" s="29">
        <f t="shared" si="6"/>
        <v>863458.46645367425</v>
      </c>
    </row>
    <row r="9" spans="1:12" x14ac:dyDescent="0.2">
      <c r="A9" s="2" t="s">
        <v>130</v>
      </c>
      <c r="B9" s="1" t="s">
        <v>7</v>
      </c>
      <c r="C9" s="1">
        <v>6.26</v>
      </c>
      <c r="D9" s="1">
        <v>150</v>
      </c>
      <c r="E9" s="1">
        <v>26</v>
      </c>
      <c r="F9" s="1">
        <f t="shared" si="4"/>
        <v>3900</v>
      </c>
      <c r="G9" s="1">
        <f t="shared" si="1"/>
        <v>623.00319488817888</v>
      </c>
      <c r="H9" s="3">
        <v>2565</v>
      </c>
      <c r="I9" s="37">
        <f t="shared" si="2"/>
        <v>1598003.194888179</v>
      </c>
      <c r="J9" s="29">
        <v>16000</v>
      </c>
      <c r="K9" s="29">
        <f t="shared" si="3"/>
        <v>2400000</v>
      </c>
      <c r="L9" s="29">
        <f t="shared" si="6"/>
        <v>801996.80511182104</v>
      </c>
    </row>
    <row r="10" spans="1:12" x14ac:dyDescent="0.2">
      <c r="A10" s="2" t="s">
        <v>131</v>
      </c>
      <c r="B10" s="1" t="s">
        <v>7</v>
      </c>
      <c r="C10" s="1">
        <v>6.26</v>
      </c>
      <c r="D10" s="1">
        <v>400</v>
      </c>
      <c r="E10" s="1">
        <v>23.5</v>
      </c>
      <c r="F10" s="1">
        <f t="shared" si="4"/>
        <v>9400</v>
      </c>
      <c r="G10" s="1">
        <f t="shared" si="1"/>
        <v>1501.597444089457</v>
      </c>
      <c r="H10" s="3">
        <v>2565</v>
      </c>
      <c r="I10" s="37">
        <f t="shared" si="2"/>
        <v>3851597.4440894569</v>
      </c>
      <c r="J10" s="29">
        <v>16000</v>
      </c>
      <c r="K10" s="29">
        <f t="shared" si="3"/>
        <v>6400000</v>
      </c>
      <c r="L10" s="29">
        <f t="shared" si="6"/>
        <v>2548402.5559105431</v>
      </c>
    </row>
    <row r="11" spans="1:12" x14ac:dyDescent="0.2">
      <c r="A11" s="2" t="s">
        <v>132</v>
      </c>
      <c r="B11" s="1" t="s">
        <v>7</v>
      </c>
      <c r="C11" s="1">
        <v>6.26</v>
      </c>
      <c r="D11" s="1">
        <v>400</v>
      </c>
      <c r="E11" s="1">
        <v>23.5</v>
      </c>
      <c r="F11" s="1">
        <f t="shared" si="4"/>
        <v>9400</v>
      </c>
      <c r="G11" s="1">
        <f t="shared" si="1"/>
        <v>1501.597444089457</v>
      </c>
      <c r="H11" s="3">
        <v>2565</v>
      </c>
      <c r="I11" s="37">
        <f t="shared" si="2"/>
        <v>3851597.4440894569</v>
      </c>
      <c r="J11" s="29">
        <v>16000</v>
      </c>
      <c r="K11" s="29">
        <f t="shared" si="3"/>
        <v>6400000</v>
      </c>
      <c r="L11" s="29">
        <f t="shared" si="6"/>
        <v>2548402.5559105431</v>
      </c>
    </row>
    <row r="12" spans="1:12" x14ac:dyDescent="0.2">
      <c r="A12" s="2" t="s">
        <v>133</v>
      </c>
      <c r="B12" s="1" t="s">
        <v>7</v>
      </c>
      <c r="C12" s="1">
        <v>6.26</v>
      </c>
      <c r="D12" s="1">
        <v>216</v>
      </c>
      <c r="E12" s="1">
        <v>13</v>
      </c>
      <c r="F12" s="1">
        <f t="shared" si="4"/>
        <v>2808</v>
      </c>
      <c r="G12" s="1">
        <f t="shared" si="1"/>
        <v>448.56230031948883</v>
      </c>
      <c r="H12" s="3">
        <v>2565</v>
      </c>
      <c r="I12" s="37">
        <f t="shared" si="2"/>
        <v>1150562.3003194889</v>
      </c>
      <c r="J12" s="29">
        <v>16000</v>
      </c>
      <c r="K12" s="29">
        <f t="shared" si="3"/>
        <v>3456000</v>
      </c>
      <c r="L12" s="29">
        <f t="shared" si="6"/>
        <v>2305437.6996805109</v>
      </c>
    </row>
    <row r="13" spans="1:12" x14ac:dyDescent="0.2">
      <c r="A13" s="2" t="s">
        <v>134</v>
      </c>
      <c r="B13" s="1" t="s">
        <v>7</v>
      </c>
      <c r="C13" s="1">
        <v>6.26</v>
      </c>
      <c r="D13" s="1">
        <v>108</v>
      </c>
      <c r="E13" s="1">
        <v>18</v>
      </c>
      <c r="F13" s="1">
        <f t="shared" si="4"/>
        <v>1944</v>
      </c>
      <c r="G13" s="1">
        <f t="shared" si="1"/>
        <v>310.54313099041536</v>
      </c>
      <c r="H13" s="3">
        <v>2565</v>
      </c>
      <c r="I13" s="37">
        <f t="shared" si="2"/>
        <v>796543.13099041535</v>
      </c>
      <c r="J13" s="29">
        <v>16000</v>
      </c>
      <c r="K13" s="29">
        <f t="shared" si="3"/>
        <v>1728000</v>
      </c>
      <c r="L13" s="29">
        <f t="shared" si="6"/>
        <v>931456.86900958465</v>
      </c>
    </row>
    <row r="14" spans="1:12" x14ac:dyDescent="0.2">
      <c r="A14" s="2" t="s">
        <v>135</v>
      </c>
      <c r="B14" s="1" t="s">
        <v>19</v>
      </c>
      <c r="C14" s="1">
        <v>6.26</v>
      </c>
      <c r="D14" s="1">
        <v>40</v>
      </c>
      <c r="E14" s="1">
        <v>18</v>
      </c>
      <c r="F14" s="1">
        <f t="shared" si="4"/>
        <v>720</v>
      </c>
      <c r="G14" s="1">
        <f t="shared" si="1"/>
        <v>115.01597444089457</v>
      </c>
      <c r="H14" s="3">
        <v>2565</v>
      </c>
      <c r="I14" s="37">
        <f t="shared" si="2"/>
        <v>295015.97444089456</v>
      </c>
      <c r="J14" s="29">
        <v>16000</v>
      </c>
      <c r="K14" s="29">
        <f t="shared" si="3"/>
        <v>640000</v>
      </c>
      <c r="L14" s="29">
        <f t="shared" si="6"/>
        <v>344984.02555910544</v>
      </c>
    </row>
    <row r="15" spans="1:12" x14ac:dyDescent="0.2">
      <c r="A15" s="2" t="s">
        <v>136</v>
      </c>
      <c r="B15" s="1" t="s">
        <v>161</v>
      </c>
      <c r="C15" s="1">
        <v>6.26</v>
      </c>
      <c r="D15" s="1">
        <v>190</v>
      </c>
      <c r="E15" s="1">
        <v>16</v>
      </c>
      <c r="F15" s="1">
        <f t="shared" si="4"/>
        <v>3040</v>
      </c>
      <c r="G15" s="1">
        <f t="shared" si="1"/>
        <v>485.62300319488821</v>
      </c>
      <c r="H15" s="3">
        <v>2565</v>
      </c>
      <c r="I15" s="37">
        <f t="shared" si="2"/>
        <v>1245623.0031948881</v>
      </c>
      <c r="J15" s="29">
        <v>16000</v>
      </c>
      <c r="K15" s="29">
        <f t="shared" si="3"/>
        <v>3040000</v>
      </c>
      <c r="L15" s="29">
        <f t="shared" si="6"/>
        <v>1794376.9968051119</v>
      </c>
    </row>
    <row r="16" spans="1:12" x14ac:dyDescent="0.2">
      <c r="A16" s="2" t="s">
        <v>137</v>
      </c>
      <c r="B16" s="1" t="s">
        <v>7</v>
      </c>
      <c r="C16" s="1">
        <v>6.26</v>
      </c>
      <c r="D16" s="1">
        <v>200</v>
      </c>
      <c r="E16" s="1">
        <v>24</v>
      </c>
      <c r="F16" s="1">
        <f t="shared" si="4"/>
        <v>4800</v>
      </c>
      <c r="G16" s="1">
        <f t="shared" si="1"/>
        <v>766.77316293929709</v>
      </c>
      <c r="H16" s="3">
        <v>2565</v>
      </c>
      <c r="I16" s="37">
        <f t="shared" si="2"/>
        <v>1966773.1629392973</v>
      </c>
      <c r="J16" s="29">
        <v>16000</v>
      </c>
      <c r="K16" s="29">
        <f t="shared" si="3"/>
        <v>3200000</v>
      </c>
      <c r="L16" s="29">
        <f t="shared" si="6"/>
        <v>1233226.8370607027</v>
      </c>
    </row>
    <row r="17" spans="1:12" x14ac:dyDescent="0.2">
      <c r="A17" s="2" t="s">
        <v>138</v>
      </c>
      <c r="B17" s="1" t="s">
        <v>7</v>
      </c>
      <c r="C17" s="1">
        <v>6.26</v>
      </c>
      <c r="D17" s="1">
        <v>400</v>
      </c>
      <c r="E17" s="1">
        <v>18</v>
      </c>
      <c r="F17" s="1">
        <f t="shared" si="4"/>
        <v>7200</v>
      </c>
      <c r="G17" s="1">
        <f t="shared" si="1"/>
        <v>1150.1597444089457</v>
      </c>
      <c r="H17" s="3">
        <v>2565</v>
      </c>
      <c r="I17" s="37">
        <f t="shared" si="2"/>
        <v>2950159.7444089456</v>
      </c>
      <c r="J17" s="29">
        <v>16000</v>
      </c>
      <c r="K17" s="29">
        <f t="shared" si="3"/>
        <v>6400000</v>
      </c>
      <c r="L17" s="29">
        <f t="shared" si="6"/>
        <v>3449840.2555910544</v>
      </c>
    </row>
    <row r="18" spans="1:12" x14ac:dyDescent="0.2">
      <c r="A18" s="2" t="s">
        <v>139</v>
      </c>
      <c r="B18" s="1" t="s">
        <v>7</v>
      </c>
      <c r="C18" s="1">
        <v>6.26</v>
      </c>
      <c r="D18" s="1">
        <v>62</v>
      </c>
      <c r="E18" s="1">
        <v>17</v>
      </c>
      <c r="F18" s="1">
        <f t="shared" si="4"/>
        <v>1054</v>
      </c>
      <c r="G18" s="1">
        <f t="shared" si="1"/>
        <v>168.37060702875399</v>
      </c>
      <c r="H18" s="3">
        <v>2565</v>
      </c>
      <c r="I18" s="37">
        <f t="shared" si="2"/>
        <v>431870.60702875402</v>
      </c>
      <c r="J18" s="29">
        <v>16000</v>
      </c>
      <c r="K18" s="29">
        <f t="shared" si="3"/>
        <v>992000</v>
      </c>
      <c r="L18" s="29">
        <f t="shared" si="6"/>
        <v>560129.39297124604</v>
      </c>
    </row>
    <row r="19" spans="1:12" x14ac:dyDescent="0.2">
      <c r="A19" s="2" t="s">
        <v>140</v>
      </c>
      <c r="B19" s="1" t="s">
        <v>7</v>
      </c>
      <c r="C19" s="1">
        <v>6.26</v>
      </c>
      <c r="D19" s="1">
        <v>151</v>
      </c>
      <c r="E19" s="1">
        <v>10</v>
      </c>
      <c r="F19" s="1">
        <f t="shared" si="4"/>
        <v>1510</v>
      </c>
      <c r="G19" s="1">
        <f t="shared" si="1"/>
        <v>241.21405750798723</v>
      </c>
      <c r="H19" s="3">
        <v>2565</v>
      </c>
      <c r="I19" s="37">
        <f t="shared" si="2"/>
        <v>618714.05750798713</v>
      </c>
      <c r="J19" s="29">
        <v>16000</v>
      </c>
      <c r="K19" s="29">
        <f t="shared" si="3"/>
        <v>2416000</v>
      </c>
      <c r="L19" s="29">
        <f t="shared" si="6"/>
        <v>1797285.9424920129</v>
      </c>
    </row>
    <row r="20" spans="1:12" x14ac:dyDescent="0.2">
      <c r="A20" s="2" t="s">
        <v>141</v>
      </c>
      <c r="B20" s="1" t="s">
        <v>7</v>
      </c>
      <c r="C20" s="1">
        <v>6.26</v>
      </c>
      <c r="D20" s="1">
        <v>312</v>
      </c>
      <c r="E20" s="1">
        <v>24</v>
      </c>
      <c r="F20" s="1">
        <f t="shared" si="4"/>
        <v>7488</v>
      </c>
      <c r="G20" s="1">
        <f t="shared" si="1"/>
        <v>1196.1661341853035</v>
      </c>
      <c r="H20" s="3">
        <v>2565</v>
      </c>
      <c r="I20" s="37">
        <f t="shared" si="2"/>
        <v>3068166.1341853039</v>
      </c>
      <c r="J20" s="29">
        <v>17000</v>
      </c>
      <c r="K20" s="29">
        <f t="shared" si="3"/>
        <v>5304000</v>
      </c>
      <c r="L20" s="29">
        <f t="shared" si="6"/>
        <v>2235833.8658146961</v>
      </c>
    </row>
    <row r="21" spans="1:12" x14ac:dyDescent="0.2">
      <c r="A21" s="2" t="s">
        <v>142</v>
      </c>
      <c r="B21" s="1" t="s">
        <v>19</v>
      </c>
      <c r="C21" s="1">
        <v>6.26</v>
      </c>
      <c r="D21" s="1">
        <v>271</v>
      </c>
      <c r="E21" s="1">
        <v>15</v>
      </c>
      <c r="F21" s="1">
        <f t="shared" si="4"/>
        <v>4065</v>
      </c>
      <c r="G21" s="1">
        <f t="shared" si="1"/>
        <v>649.36102236421732</v>
      </c>
      <c r="H21" s="3">
        <v>2565</v>
      </c>
      <c r="I21" s="37">
        <f t="shared" si="2"/>
        <v>1665611.0223642173</v>
      </c>
      <c r="J21" s="29">
        <v>15000</v>
      </c>
      <c r="K21" s="29">
        <f t="shared" si="3"/>
        <v>4065000</v>
      </c>
      <c r="L21" s="29">
        <f t="shared" si="6"/>
        <v>2399388.9776357827</v>
      </c>
    </row>
    <row r="22" spans="1:12" x14ac:dyDescent="0.2">
      <c r="A22" s="2" t="s">
        <v>143</v>
      </c>
      <c r="B22" s="1" t="s">
        <v>162</v>
      </c>
      <c r="C22" s="1">
        <v>6.26</v>
      </c>
      <c r="D22" s="1">
        <v>99</v>
      </c>
      <c r="E22" s="1">
        <v>20</v>
      </c>
      <c r="F22" s="1">
        <f t="shared" si="4"/>
        <v>1980</v>
      </c>
      <c r="G22" s="1">
        <f t="shared" si="1"/>
        <v>316.29392971246006</v>
      </c>
      <c r="H22" s="3">
        <v>2565</v>
      </c>
      <c r="I22" s="37">
        <f t="shared" si="2"/>
        <v>811293.92971246003</v>
      </c>
      <c r="J22" s="29">
        <v>20000</v>
      </c>
      <c r="K22" s="29">
        <f t="shared" si="3"/>
        <v>1980000</v>
      </c>
      <c r="L22" s="29">
        <f t="shared" si="6"/>
        <v>1168706.0702875401</v>
      </c>
    </row>
    <row r="23" spans="1:12" x14ac:dyDescent="0.2">
      <c r="A23" s="2" t="s">
        <v>144</v>
      </c>
      <c r="B23" s="1" t="s">
        <v>163</v>
      </c>
      <c r="C23" s="1">
        <v>6.26</v>
      </c>
      <c r="D23" s="1">
        <v>89</v>
      </c>
      <c r="E23" s="1">
        <v>13</v>
      </c>
      <c r="F23" s="1">
        <f t="shared" si="4"/>
        <v>1157</v>
      </c>
      <c r="G23" s="1">
        <f t="shared" si="1"/>
        <v>184.82428115015975</v>
      </c>
      <c r="H23" s="3">
        <v>2565</v>
      </c>
      <c r="I23" s="37">
        <f t="shared" si="2"/>
        <v>474074.28115015978</v>
      </c>
      <c r="J23" s="29">
        <v>15000</v>
      </c>
      <c r="K23" s="29">
        <f t="shared" si="3"/>
        <v>1335000</v>
      </c>
      <c r="L23" s="29">
        <f t="shared" si="6"/>
        <v>860925.71884984022</v>
      </c>
    </row>
    <row r="24" spans="1:12" x14ac:dyDescent="0.2">
      <c r="A24" s="2" t="s">
        <v>145</v>
      </c>
      <c r="B24" s="1" t="s">
        <v>68</v>
      </c>
      <c r="C24" s="1">
        <v>6.26</v>
      </c>
      <c r="D24" s="1">
        <v>250</v>
      </c>
      <c r="E24" s="1">
        <v>20</v>
      </c>
      <c r="F24" s="1">
        <f t="shared" si="4"/>
        <v>5000</v>
      </c>
      <c r="G24" s="1">
        <f t="shared" si="1"/>
        <v>798.72204472843453</v>
      </c>
      <c r="H24" s="3">
        <v>2565</v>
      </c>
      <c r="I24" s="37">
        <f t="shared" si="2"/>
        <v>2048722.0447284344</v>
      </c>
      <c r="J24" s="29">
        <v>18000</v>
      </c>
      <c r="K24" s="29">
        <f t="shared" si="3"/>
        <v>4500000</v>
      </c>
      <c r="L24" s="29">
        <f t="shared" si="6"/>
        <v>2451277.9552715654</v>
      </c>
    </row>
    <row r="25" spans="1:12" x14ac:dyDescent="0.2">
      <c r="A25" s="2" t="s">
        <v>146</v>
      </c>
      <c r="B25" s="1" t="s">
        <v>7</v>
      </c>
      <c r="C25" s="1">
        <v>6.26</v>
      </c>
      <c r="D25" s="1">
        <v>102</v>
      </c>
      <c r="E25" s="1">
        <v>17</v>
      </c>
      <c r="F25" s="1">
        <f t="shared" si="4"/>
        <v>1734</v>
      </c>
      <c r="G25" s="1">
        <f t="shared" si="1"/>
        <v>276.99680511182112</v>
      </c>
      <c r="H25" s="3">
        <v>2565</v>
      </c>
      <c r="I25" s="37">
        <f t="shared" si="2"/>
        <v>710496.80511182116</v>
      </c>
      <c r="J25" s="29">
        <v>17000</v>
      </c>
      <c r="K25" s="29">
        <f t="shared" si="3"/>
        <v>1734000</v>
      </c>
      <c r="L25" s="29">
        <f t="shared" si="6"/>
        <v>1023503.1948881788</v>
      </c>
    </row>
    <row r="26" spans="1:12" x14ac:dyDescent="0.2">
      <c r="A26" s="2" t="s">
        <v>147</v>
      </c>
      <c r="B26" s="1" t="s">
        <v>7</v>
      </c>
      <c r="C26" s="1">
        <v>6.26</v>
      </c>
      <c r="D26" s="1">
        <v>16</v>
      </c>
      <c r="E26" s="1">
        <v>13</v>
      </c>
      <c r="F26" s="1">
        <f t="shared" si="4"/>
        <v>208</v>
      </c>
      <c r="G26" s="1">
        <f t="shared" si="1"/>
        <v>33.226837060702877</v>
      </c>
      <c r="H26" s="3">
        <v>2565</v>
      </c>
      <c r="I26" s="37">
        <f t="shared" si="2"/>
        <v>85226.837060702877</v>
      </c>
      <c r="J26" s="29">
        <v>17000</v>
      </c>
      <c r="K26" s="29">
        <f t="shared" si="3"/>
        <v>272000</v>
      </c>
      <c r="L26" s="29">
        <f t="shared" si="6"/>
        <v>186773.16293929712</v>
      </c>
    </row>
    <row r="27" spans="1:12" x14ac:dyDescent="0.2">
      <c r="A27" s="2" t="s">
        <v>148</v>
      </c>
      <c r="B27" s="1" t="s">
        <v>7</v>
      </c>
      <c r="C27" s="1">
        <v>6.26</v>
      </c>
      <c r="D27" s="1">
        <v>161</v>
      </c>
      <c r="E27" s="1">
        <v>16</v>
      </c>
      <c r="F27" s="1">
        <f t="shared" si="4"/>
        <v>2576</v>
      </c>
      <c r="G27" s="1">
        <f t="shared" si="1"/>
        <v>411.5015974440895</v>
      </c>
      <c r="H27" s="3">
        <v>2565</v>
      </c>
      <c r="I27" s="37">
        <f t="shared" si="2"/>
        <v>1055501.5974440894</v>
      </c>
      <c r="J27" s="29">
        <v>16000</v>
      </c>
      <c r="K27" s="29">
        <f t="shared" si="3"/>
        <v>2576000</v>
      </c>
      <c r="L27" s="29">
        <f t="shared" si="6"/>
        <v>1520498.4025559106</v>
      </c>
    </row>
    <row r="28" spans="1:12" x14ac:dyDescent="0.2">
      <c r="A28" s="2" t="s">
        <v>149</v>
      </c>
      <c r="B28" s="1" t="s">
        <v>7</v>
      </c>
      <c r="C28" s="1">
        <v>6.26</v>
      </c>
      <c r="D28" s="1">
        <v>153</v>
      </c>
      <c r="E28" s="1">
        <v>18</v>
      </c>
      <c r="F28" s="1">
        <f t="shared" si="4"/>
        <v>2754</v>
      </c>
      <c r="G28" s="1">
        <f t="shared" si="1"/>
        <v>439.93610223642173</v>
      </c>
      <c r="H28" s="3">
        <v>2565</v>
      </c>
      <c r="I28" s="37">
        <f t="shared" si="2"/>
        <v>1128436.1022364218</v>
      </c>
      <c r="J28" s="29">
        <v>18000</v>
      </c>
      <c r="K28" s="29">
        <f t="shared" si="3"/>
        <v>2754000</v>
      </c>
      <c r="L28" s="29">
        <f t="shared" si="6"/>
        <v>1625563.8977635782</v>
      </c>
    </row>
    <row r="29" spans="1:12" x14ac:dyDescent="0.2">
      <c r="A29" s="2" t="s">
        <v>150</v>
      </c>
      <c r="B29" s="1" t="s">
        <v>161</v>
      </c>
      <c r="C29" s="1">
        <v>6.26</v>
      </c>
      <c r="D29" s="1">
        <v>300</v>
      </c>
      <c r="E29" s="1">
        <v>21</v>
      </c>
      <c r="F29" s="1">
        <f t="shared" si="4"/>
        <v>6300</v>
      </c>
      <c r="G29" s="1">
        <f t="shared" si="1"/>
        <v>1006.3897763578275</v>
      </c>
      <c r="H29" s="3">
        <v>2565</v>
      </c>
      <c r="I29" s="37">
        <f t="shared" si="2"/>
        <v>2581389.7763578277</v>
      </c>
      <c r="J29" s="29">
        <v>15000</v>
      </c>
      <c r="K29" s="29">
        <f t="shared" si="3"/>
        <v>4500000</v>
      </c>
      <c r="L29" s="29">
        <f t="shared" si="6"/>
        <v>1918610.2236421723</v>
      </c>
    </row>
    <row r="30" spans="1:12" x14ac:dyDescent="0.2">
      <c r="A30" s="2" t="s">
        <v>151</v>
      </c>
      <c r="B30" s="1" t="s">
        <v>23</v>
      </c>
      <c r="C30" s="1">
        <v>6.26</v>
      </c>
      <c r="D30" s="1">
        <v>70</v>
      </c>
      <c r="E30" s="1">
        <v>10</v>
      </c>
      <c r="F30" s="1">
        <f t="shared" si="4"/>
        <v>700</v>
      </c>
      <c r="G30" s="1">
        <f t="shared" si="1"/>
        <v>111.82108626198084</v>
      </c>
      <c r="H30" s="3">
        <v>2565</v>
      </c>
      <c r="I30" s="37">
        <f t="shared" si="2"/>
        <v>286821.08626198082</v>
      </c>
      <c r="J30" s="29">
        <v>10000</v>
      </c>
      <c r="K30" s="29">
        <f t="shared" si="3"/>
        <v>700000</v>
      </c>
      <c r="L30" s="29">
        <f t="shared" si="6"/>
        <v>413178.91373801918</v>
      </c>
    </row>
    <row r="31" spans="1:12" x14ac:dyDescent="0.2">
      <c r="A31" s="2" t="s">
        <v>152</v>
      </c>
      <c r="B31" s="1" t="s">
        <v>163</v>
      </c>
      <c r="C31" s="1">
        <v>6.26</v>
      </c>
      <c r="D31" s="1">
        <v>425</v>
      </c>
      <c r="E31" s="1">
        <v>20</v>
      </c>
      <c r="F31" s="1">
        <f t="shared" si="4"/>
        <v>8500</v>
      </c>
      <c r="G31" s="1">
        <f t="shared" si="1"/>
        <v>1357.8274760383388</v>
      </c>
      <c r="H31" s="3">
        <v>2565</v>
      </c>
      <c r="I31" s="37">
        <f t="shared" si="2"/>
        <v>3482827.4760383386</v>
      </c>
      <c r="J31" s="29">
        <v>20000</v>
      </c>
      <c r="K31" s="29">
        <f t="shared" si="3"/>
        <v>8500000</v>
      </c>
      <c r="L31" s="29">
        <f t="shared" si="6"/>
        <v>5017172.5239616614</v>
      </c>
    </row>
    <row r="32" spans="1:12" x14ac:dyDescent="0.2">
      <c r="A32" s="2" t="s">
        <v>153</v>
      </c>
      <c r="B32" s="1" t="s">
        <v>163</v>
      </c>
      <c r="C32" s="1">
        <v>6.26</v>
      </c>
      <c r="D32" s="1">
        <v>200</v>
      </c>
      <c r="E32" s="1">
        <v>15</v>
      </c>
      <c r="F32" s="1">
        <f t="shared" si="4"/>
        <v>3000</v>
      </c>
      <c r="G32" s="1">
        <f t="shared" si="1"/>
        <v>479.23322683706073</v>
      </c>
      <c r="H32" s="3">
        <v>2565</v>
      </c>
      <c r="I32" s="37">
        <f t="shared" si="2"/>
        <v>1229233.2268370609</v>
      </c>
      <c r="J32" s="29">
        <v>20000</v>
      </c>
      <c r="K32" s="29">
        <f t="shared" si="3"/>
        <v>4000000</v>
      </c>
      <c r="L32" s="29">
        <f t="shared" si="6"/>
        <v>2770766.7731629391</v>
      </c>
    </row>
    <row r="33" spans="1:12" x14ac:dyDescent="0.2">
      <c r="A33" s="2" t="s">
        <v>154</v>
      </c>
      <c r="B33" s="1" t="s">
        <v>161</v>
      </c>
      <c r="C33" s="1">
        <v>6.26</v>
      </c>
      <c r="D33" s="1">
        <v>143</v>
      </c>
      <c r="E33" s="1">
        <v>12</v>
      </c>
      <c r="F33" s="1">
        <f t="shared" si="4"/>
        <v>1716</v>
      </c>
      <c r="G33" s="1">
        <f t="shared" si="1"/>
        <v>274.12140575079871</v>
      </c>
      <c r="H33" s="3">
        <v>2565</v>
      </c>
      <c r="I33" s="37">
        <f t="shared" si="2"/>
        <v>703121.40575079876</v>
      </c>
      <c r="J33" s="29">
        <v>16000</v>
      </c>
      <c r="K33" s="29">
        <f t="shared" si="3"/>
        <v>2288000</v>
      </c>
      <c r="L33" s="29">
        <f t="shared" si="6"/>
        <v>1584878.5942492012</v>
      </c>
    </row>
    <row r="34" spans="1:12" x14ac:dyDescent="0.2">
      <c r="A34" s="2" t="s">
        <v>155</v>
      </c>
      <c r="B34" s="1" t="s">
        <v>7</v>
      </c>
      <c r="C34" s="1">
        <v>6.26</v>
      </c>
      <c r="D34" s="1">
        <v>200</v>
      </c>
      <c r="E34" s="1">
        <v>18</v>
      </c>
      <c r="F34" s="1">
        <f t="shared" si="4"/>
        <v>3600</v>
      </c>
      <c r="G34" s="1">
        <f t="shared" si="1"/>
        <v>575.07987220447285</v>
      </c>
      <c r="H34" s="3">
        <v>2565</v>
      </c>
      <c r="I34" s="37">
        <f t="shared" si="2"/>
        <v>1475079.8722044728</v>
      </c>
      <c r="J34" s="29">
        <v>18000</v>
      </c>
      <c r="K34" s="29">
        <f t="shared" si="3"/>
        <v>3600000</v>
      </c>
      <c r="L34" s="29">
        <f t="shared" si="6"/>
        <v>2124920.1277955272</v>
      </c>
    </row>
    <row r="35" spans="1:12" x14ac:dyDescent="0.2">
      <c r="A35" s="2" t="s">
        <v>156</v>
      </c>
      <c r="B35" s="1" t="s">
        <v>7</v>
      </c>
      <c r="C35" s="1">
        <v>6.26</v>
      </c>
      <c r="D35" s="1">
        <v>230</v>
      </c>
      <c r="E35" s="1">
        <v>16</v>
      </c>
      <c r="F35" s="1">
        <f t="shared" si="4"/>
        <v>3680</v>
      </c>
      <c r="G35" s="1">
        <f t="shared" si="1"/>
        <v>587.85942492012782</v>
      </c>
      <c r="H35" s="3">
        <v>2565</v>
      </c>
      <c r="I35" s="37">
        <f t="shared" si="2"/>
        <v>1507859.4249201277</v>
      </c>
      <c r="J35" s="29">
        <v>16000</v>
      </c>
      <c r="K35" s="29">
        <f t="shared" si="3"/>
        <v>3680000</v>
      </c>
      <c r="L35" s="29">
        <f t="shared" si="6"/>
        <v>2172140.5750798723</v>
      </c>
    </row>
    <row r="36" spans="1:12" x14ac:dyDescent="0.2">
      <c r="A36" s="2" t="s">
        <v>157</v>
      </c>
      <c r="B36" s="1" t="s">
        <v>7</v>
      </c>
      <c r="C36" s="1">
        <v>6.26</v>
      </c>
      <c r="D36" s="1">
        <v>200</v>
      </c>
      <c r="E36" s="1">
        <v>18</v>
      </c>
      <c r="F36" s="1">
        <f t="shared" si="4"/>
        <v>3600</v>
      </c>
      <c r="G36" s="1">
        <f t="shared" si="1"/>
        <v>575.07987220447285</v>
      </c>
      <c r="H36" s="3">
        <v>2565</v>
      </c>
      <c r="I36" s="37">
        <f t="shared" si="2"/>
        <v>1475079.8722044728</v>
      </c>
      <c r="J36" s="29">
        <v>18000</v>
      </c>
      <c r="K36" s="29">
        <f t="shared" si="3"/>
        <v>3600000</v>
      </c>
      <c r="L36" s="29">
        <f t="shared" si="6"/>
        <v>2124920.1277955272</v>
      </c>
    </row>
    <row r="37" spans="1:12" x14ac:dyDescent="0.2">
      <c r="A37" s="2" t="s">
        <v>158</v>
      </c>
      <c r="B37" s="1" t="s">
        <v>7</v>
      </c>
      <c r="C37" s="1">
        <v>6.26</v>
      </c>
      <c r="D37" s="1">
        <v>100</v>
      </c>
      <c r="E37" s="1">
        <v>8</v>
      </c>
      <c r="F37" s="1">
        <f t="shared" si="4"/>
        <v>800</v>
      </c>
      <c r="G37" s="1">
        <f t="shared" si="1"/>
        <v>127.79552715654953</v>
      </c>
      <c r="H37" s="3">
        <v>2565</v>
      </c>
      <c r="I37" s="37">
        <f t="shared" si="2"/>
        <v>327795.52715654951</v>
      </c>
      <c r="J37" s="29">
        <v>16000</v>
      </c>
      <c r="K37" s="29">
        <f t="shared" si="3"/>
        <v>1600000</v>
      </c>
      <c r="L37" s="29">
        <f t="shared" si="6"/>
        <v>1272204.4728434505</v>
      </c>
    </row>
    <row r="38" spans="1:12" x14ac:dyDescent="0.2">
      <c r="A38" s="2" t="s">
        <v>159</v>
      </c>
      <c r="B38" s="1" t="s">
        <v>7</v>
      </c>
      <c r="C38" s="1">
        <v>6.26</v>
      </c>
      <c r="D38" s="1">
        <v>151</v>
      </c>
      <c r="E38" s="1">
        <v>24</v>
      </c>
      <c r="F38" s="1">
        <f t="shared" si="4"/>
        <v>3624</v>
      </c>
      <c r="G38" s="1">
        <f t="shared" si="1"/>
        <v>578.91373801916939</v>
      </c>
      <c r="H38" s="3">
        <v>2565</v>
      </c>
      <c r="I38" s="37">
        <f t="shared" si="2"/>
        <v>1484913.7380191695</v>
      </c>
      <c r="J38" s="29">
        <v>16000</v>
      </c>
      <c r="K38" s="29">
        <f t="shared" si="3"/>
        <v>2416000</v>
      </c>
      <c r="L38" s="29">
        <f t="shared" si="6"/>
        <v>931086.26198083046</v>
      </c>
    </row>
    <row r="39" spans="1:12" x14ac:dyDescent="0.2">
      <c r="A39" s="2" t="s">
        <v>160</v>
      </c>
      <c r="B39" s="1" t="s">
        <v>161</v>
      </c>
      <c r="C39" s="1">
        <v>6.26</v>
      </c>
      <c r="D39" s="1">
        <v>315</v>
      </c>
      <c r="E39" s="1">
        <v>20</v>
      </c>
      <c r="F39" s="1">
        <f t="shared" si="4"/>
        <v>6300</v>
      </c>
      <c r="G39" s="1">
        <f t="shared" si="1"/>
        <v>1006.3897763578275</v>
      </c>
      <c r="H39" s="3">
        <v>2565</v>
      </c>
      <c r="I39" s="37">
        <f t="shared" si="2"/>
        <v>2581389.7763578272</v>
      </c>
      <c r="J39" s="29">
        <v>16000</v>
      </c>
      <c r="K39" s="29">
        <f t="shared" si="3"/>
        <v>5040000</v>
      </c>
      <c r="L39" s="29">
        <f t="shared" si="6"/>
        <v>2458610.2236421728</v>
      </c>
    </row>
    <row r="40" spans="1:12" x14ac:dyDescent="0.2">
      <c r="D40" s="54">
        <f>SUM(D3:D39)</f>
        <v>8104</v>
      </c>
      <c r="F40" s="52">
        <f>SUM(F3:F39)</f>
        <v>164508</v>
      </c>
      <c r="G40" s="51">
        <f>SUM(G3:G39)</f>
        <v>26279.233226837056</v>
      </c>
      <c r="I40" s="50">
        <f>SUM(I3:I39)</f>
        <v>67406233.226837054</v>
      </c>
      <c r="K40" s="62">
        <f>SUM(K3:K39)</f>
        <v>133816000</v>
      </c>
      <c r="L40" s="48">
        <f>SUM(L3:L39)</f>
        <v>66409766.773162939</v>
      </c>
    </row>
    <row r="46" spans="1:12" x14ac:dyDescent="0.2">
      <c r="G46" s="53" t="s">
        <v>164</v>
      </c>
      <c r="H46" s="3" t="s">
        <v>25</v>
      </c>
      <c r="I46" s="15">
        <v>67406233</v>
      </c>
    </row>
    <row r="47" spans="1:12" x14ac:dyDescent="0.2">
      <c r="G47" s="53" t="s">
        <v>165</v>
      </c>
      <c r="H47" s="3" t="s">
        <v>27</v>
      </c>
      <c r="I47" s="9">
        <v>4000000</v>
      </c>
    </row>
    <row r="48" spans="1:12" x14ac:dyDescent="0.2">
      <c r="G48" s="53"/>
      <c r="H48" s="3" t="s">
        <v>211</v>
      </c>
      <c r="I48" s="9">
        <v>14000000</v>
      </c>
    </row>
    <row r="49" spans="8:9" x14ac:dyDescent="0.2">
      <c r="H49" s="3" t="s">
        <v>26</v>
      </c>
      <c r="I49" s="3">
        <v>3310800</v>
      </c>
    </row>
    <row r="50" spans="8:9" x14ac:dyDescent="0.2">
      <c r="H50" s="3" t="s">
        <v>33</v>
      </c>
      <c r="I50" s="3">
        <v>3500000</v>
      </c>
    </row>
    <row r="51" spans="8:9" x14ac:dyDescent="0.2">
      <c r="H51" s="3" t="s">
        <v>31</v>
      </c>
      <c r="I51" s="3">
        <v>4500000</v>
      </c>
    </row>
    <row r="52" spans="8:9" x14ac:dyDescent="0.2">
      <c r="H52" s="3" t="s">
        <v>36</v>
      </c>
      <c r="I52" s="3">
        <v>3500000</v>
      </c>
    </row>
    <row r="53" spans="8:9" x14ac:dyDescent="0.2">
      <c r="H53" s="3" t="s">
        <v>29</v>
      </c>
      <c r="I53" s="23">
        <v>8000000</v>
      </c>
    </row>
    <row r="54" spans="8:9" x14ac:dyDescent="0.2">
      <c r="H54" s="3" t="s">
        <v>34</v>
      </c>
      <c r="I54" s="26">
        <f>SUM(I46:I53)</f>
        <v>108217033</v>
      </c>
    </row>
    <row r="55" spans="8:9" x14ac:dyDescent="0.2">
      <c r="H55" s="3" t="s">
        <v>6</v>
      </c>
      <c r="I55" s="55">
        <v>133816000</v>
      </c>
    </row>
    <row r="56" spans="8:9" ht="18" x14ac:dyDescent="0.35">
      <c r="H56" s="3" t="s">
        <v>35</v>
      </c>
      <c r="I56" s="21">
        <f>I55-I54</f>
        <v>25598967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7"/>
  <sheetViews>
    <sheetView topLeftCell="A14" workbookViewId="0">
      <selection activeCell="G48" sqref="G48:I57"/>
    </sheetView>
  </sheetViews>
  <sheetFormatPr baseColWidth="10" defaultColWidth="9.1640625" defaultRowHeight="15" x14ac:dyDescent="0.2"/>
  <cols>
    <col min="2" max="2" width="12.33203125" customWidth="1"/>
    <col min="5" max="5" width="10" customWidth="1"/>
    <col min="6" max="6" width="14.5" customWidth="1"/>
    <col min="7" max="7" width="11.6640625" customWidth="1"/>
    <col min="8" max="8" width="11.5" customWidth="1"/>
    <col min="9" max="9" width="13.1640625" customWidth="1"/>
    <col min="10" max="10" width="10" customWidth="1"/>
    <col min="11" max="11" width="12.5" customWidth="1"/>
    <col min="12" max="12" width="12.83203125" customWidth="1"/>
  </cols>
  <sheetData>
    <row r="1" spans="1:12" ht="31" x14ac:dyDescent="0.35">
      <c r="A1" s="56" t="s">
        <v>166</v>
      </c>
      <c r="B1" s="56"/>
      <c r="C1" s="56"/>
      <c r="D1" s="56"/>
      <c r="E1" s="57"/>
      <c r="F1" s="57"/>
      <c r="G1" s="57"/>
      <c r="H1" s="57"/>
      <c r="I1" s="57"/>
      <c r="J1" s="57"/>
      <c r="K1" s="57"/>
      <c r="L1" s="57"/>
    </row>
    <row r="2" spans="1:12" x14ac:dyDescent="0.2">
      <c r="A2" s="58" t="s">
        <v>0</v>
      </c>
      <c r="B2" s="58" t="s">
        <v>1</v>
      </c>
      <c r="C2" s="58" t="s">
        <v>2</v>
      </c>
      <c r="D2" s="58" t="s">
        <v>3</v>
      </c>
      <c r="E2" s="58" t="s">
        <v>11</v>
      </c>
      <c r="F2" s="59" t="s">
        <v>8</v>
      </c>
      <c r="G2" s="58" t="s">
        <v>77</v>
      </c>
      <c r="H2" s="59" t="s">
        <v>41</v>
      </c>
      <c r="I2" s="59" t="s">
        <v>9</v>
      </c>
      <c r="J2" s="59" t="s">
        <v>10</v>
      </c>
      <c r="K2" s="59" t="s">
        <v>6</v>
      </c>
      <c r="L2" s="59" t="s">
        <v>12</v>
      </c>
    </row>
    <row r="3" spans="1:12" x14ac:dyDescent="0.2">
      <c r="A3" s="2" t="s">
        <v>167</v>
      </c>
      <c r="B3" s="1" t="s">
        <v>161</v>
      </c>
      <c r="C3" s="1">
        <v>6.24</v>
      </c>
      <c r="D3" s="1">
        <v>500</v>
      </c>
      <c r="E3" s="1">
        <v>30</v>
      </c>
      <c r="F3" s="44">
        <f t="shared" ref="F3" si="0">D3*E3</f>
        <v>15000</v>
      </c>
      <c r="G3" s="5">
        <f t="shared" ref="G3:G41" si="1">F3/C3</f>
        <v>2403.8461538461538</v>
      </c>
      <c r="H3" s="3">
        <v>2600</v>
      </c>
      <c r="I3" s="3">
        <f t="shared" ref="I3:I41" si="2">E3/C3*H3*D3</f>
        <v>6250000</v>
      </c>
      <c r="J3" s="3">
        <v>20000</v>
      </c>
      <c r="K3" s="3">
        <f t="shared" ref="K3:K41" si="3">J3*D3</f>
        <v>10000000</v>
      </c>
      <c r="L3" s="3">
        <f>K3-I3</f>
        <v>3750000</v>
      </c>
    </row>
    <row r="4" spans="1:12" x14ac:dyDescent="0.2">
      <c r="A4" s="2" t="s">
        <v>168</v>
      </c>
      <c r="B4" s="1" t="s">
        <v>7</v>
      </c>
      <c r="C4" s="1">
        <v>6.24</v>
      </c>
      <c r="D4" s="1">
        <v>400</v>
      </c>
      <c r="E4" s="1">
        <v>23</v>
      </c>
      <c r="F4" s="1">
        <f>D4*E4</f>
        <v>9200</v>
      </c>
      <c r="G4" s="1">
        <f t="shared" si="1"/>
        <v>1474.3589743589744</v>
      </c>
      <c r="H4" s="3">
        <v>2600</v>
      </c>
      <c r="I4" s="37">
        <f t="shared" si="2"/>
        <v>3833333.333333333</v>
      </c>
      <c r="J4" s="3">
        <v>16000</v>
      </c>
      <c r="K4" s="3">
        <f t="shared" si="3"/>
        <v>6400000</v>
      </c>
      <c r="L4" s="3">
        <f>K4-I4</f>
        <v>2566666.666666667</v>
      </c>
    </row>
    <row r="5" spans="1:12" x14ac:dyDescent="0.2">
      <c r="A5" s="2" t="s">
        <v>169</v>
      </c>
      <c r="B5" s="1" t="s">
        <v>7</v>
      </c>
      <c r="C5" s="1">
        <v>6.24</v>
      </c>
      <c r="D5" s="1">
        <v>400</v>
      </c>
      <c r="E5" s="1">
        <v>24</v>
      </c>
      <c r="F5" s="1">
        <f t="shared" ref="F5:F41" si="4">D5*E5</f>
        <v>9600</v>
      </c>
      <c r="G5" s="1">
        <f t="shared" si="1"/>
        <v>1538.4615384615383</v>
      </c>
      <c r="H5" s="3">
        <v>2600</v>
      </c>
      <c r="I5" s="37">
        <f t="shared" si="2"/>
        <v>4000000</v>
      </c>
      <c r="J5" s="3">
        <v>16000</v>
      </c>
      <c r="K5" s="3">
        <f t="shared" si="3"/>
        <v>6400000</v>
      </c>
      <c r="L5" s="3">
        <f t="shared" ref="L5" si="5">K5-I5</f>
        <v>2400000</v>
      </c>
    </row>
    <row r="6" spans="1:12" x14ac:dyDescent="0.2">
      <c r="A6" s="2" t="s">
        <v>170</v>
      </c>
      <c r="B6" s="1" t="s">
        <v>7</v>
      </c>
      <c r="C6" s="1">
        <v>6.24</v>
      </c>
      <c r="D6" s="1">
        <v>300</v>
      </c>
      <c r="E6" s="1">
        <v>23.5</v>
      </c>
      <c r="F6" s="1">
        <f t="shared" si="4"/>
        <v>7050</v>
      </c>
      <c r="G6" s="1">
        <f t="shared" si="1"/>
        <v>1129.8076923076924</v>
      </c>
      <c r="H6" s="3">
        <v>2600</v>
      </c>
      <c r="I6" s="37">
        <f t="shared" si="2"/>
        <v>2937500</v>
      </c>
      <c r="J6" s="3">
        <v>16000</v>
      </c>
      <c r="K6" s="3">
        <f t="shared" si="3"/>
        <v>4800000</v>
      </c>
      <c r="L6" s="37">
        <f t="shared" ref="L6:L41" si="6">K6-I6</f>
        <v>1862500</v>
      </c>
    </row>
    <row r="7" spans="1:12" x14ac:dyDescent="0.2">
      <c r="A7" s="2" t="s">
        <v>171</v>
      </c>
      <c r="B7" s="1" t="s">
        <v>7</v>
      </c>
      <c r="C7" s="1">
        <v>6.24</v>
      </c>
      <c r="D7" s="1">
        <v>200</v>
      </c>
      <c r="E7" s="1">
        <v>25</v>
      </c>
      <c r="F7" s="1">
        <f t="shared" si="4"/>
        <v>5000</v>
      </c>
      <c r="G7" s="1">
        <f t="shared" si="1"/>
        <v>801.28205128205127</v>
      </c>
      <c r="H7" s="3">
        <v>2600</v>
      </c>
      <c r="I7" s="37">
        <f t="shared" si="2"/>
        <v>2083333.3333333333</v>
      </c>
      <c r="J7" s="29">
        <v>16000</v>
      </c>
      <c r="K7" s="29">
        <f t="shared" si="3"/>
        <v>3200000</v>
      </c>
      <c r="L7" s="29">
        <f t="shared" si="6"/>
        <v>1116666.6666666667</v>
      </c>
    </row>
    <row r="8" spans="1:12" x14ac:dyDescent="0.2">
      <c r="A8" s="2" t="s">
        <v>172</v>
      </c>
      <c r="B8" s="1" t="s">
        <v>7</v>
      </c>
      <c r="C8" s="1">
        <v>6.24</v>
      </c>
      <c r="D8" s="1">
        <v>150</v>
      </c>
      <c r="E8" s="1">
        <v>24</v>
      </c>
      <c r="F8" s="1">
        <f t="shared" si="4"/>
        <v>3600</v>
      </c>
      <c r="G8" s="1">
        <f t="shared" si="1"/>
        <v>576.92307692307691</v>
      </c>
      <c r="H8" s="3">
        <v>2600</v>
      </c>
      <c r="I8" s="37">
        <f t="shared" si="2"/>
        <v>1500000</v>
      </c>
      <c r="J8" s="29">
        <v>16000</v>
      </c>
      <c r="K8" s="29">
        <f t="shared" si="3"/>
        <v>2400000</v>
      </c>
      <c r="L8" s="29">
        <f t="shared" si="6"/>
        <v>900000</v>
      </c>
    </row>
    <row r="9" spans="1:12" x14ac:dyDescent="0.2">
      <c r="A9" s="2" t="s">
        <v>173</v>
      </c>
      <c r="B9" s="1" t="s">
        <v>7</v>
      </c>
      <c r="C9" s="1">
        <v>6.24</v>
      </c>
      <c r="D9" s="1">
        <v>200</v>
      </c>
      <c r="E9" s="1">
        <v>25</v>
      </c>
      <c r="F9" s="1">
        <f t="shared" si="4"/>
        <v>5000</v>
      </c>
      <c r="G9" s="1">
        <f t="shared" si="1"/>
        <v>801.28205128205127</v>
      </c>
      <c r="H9" s="3">
        <v>2600</v>
      </c>
      <c r="I9" s="37">
        <f t="shared" si="2"/>
        <v>2083333.3333333333</v>
      </c>
      <c r="J9" s="29">
        <v>16000</v>
      </c>
      <c r="K9" s="29">
        <f t="shared" si="3"/>
        <v>3200000</v>
      </c>
      <c r="L9" s="29">
        <f t="shared" si="6"/>
        <v>1116666.6666666667</v>
      </c>
    </row>
    <row r="10" spans="1:12" x14ac:dyDescent="0.2">
      <c r="A10" s="2" t="s">
        <v>174</v>
      </c>
      <c r="B10" s="1" t="s">
        <v>7</v>
      </c>
      <c r="C10" s="1">
        <v>6.24</v>
      </c>
      <c r="D10" s="1">
        <v>200</v>
      </c>
      <c r="E10" s="1">
        <v>23</v>
      </c>
      <c r="F10" s="1">
        <f t="shared" si="4"/>
        <v>4600</v>
      </c>
      <c r="G10" s="1">
        <f t="shared" si="1"/>
        <v>737.17948717948718</v>
      </c>
      <c r="H10" s="3">
        <v>2600</v>
      </c>
      <c r="I10" s="37">
        <f t="shared" si="2"/>
        <v>1916666.6666666665</v>
      </c>
      <c r="J10" s="29">
        <v>16000</v>
      </c>
      <c r="K10" s="29">
        <f t="shared" si="3"/>
        <v>3200000</v>
      </c>
      <c r="L10" s="29">
        <f t="shared" si="6"/>
        <v>1283333.3333333335</v>
      </c>
    </row>
    <row r="11" spans="1:12" x14ac:dyDescent="0.2">
      <c r="A11" s="2" t="s">
        <v>175</v>
      </c>
      <c r="B11" s="1" t="s">
        <v>7</v>
      </c>
      <c r="C11" s="1">
        <v>6.24</v>
      </c>
      <c r="D11" s="1">
        <v>400</v>
      </c>
      <c r="E11" s="1">
        <v>26</v>
      </c>
      <c r="F11" s="1">
        <f t="shared" si="4"/>
        <v>10400</v>
      </c>
      <c r="G11" s="1">
        <f t="shared" si="1"/>
        <v>1666.6666666666665</v>
      </c>
      <c r="H11" s="3">
        <v>2600</v>
      </c>
      <c r="I11" s="37">
        <f t="shared" si="2"/>
        <v>4333333.333333334</v>
      </c>
      <c r="J11" s="29">
        <v>17000</v>
      </c>
      <c r="K11" s="29">
        <f t="shared" si="3"/>
        <v>6800000</v>
      </c>
      <c r="L11" s="29">
        <f t="shared" si="6"/>
        <v>2466666.666666666</v>
      </c>
    </row>
    <row r="12" spans="1:12" x14ac:dyDescent="0.2">
      <c r="A12" s="2" t="s">
        <v>176</v>
      </c>
      <c r="B12" s="1" t="s">
        <v>7</v>
      </c>
      <c r="C12" s="1">
        <v>6.24</v>
      </c>
      <c r="D12" s="1">
        <v>399</v>
      </c>
      <c r="E12" s="1">
        <v>24</v>
      </c>
      <c r="F12" s="1">
        <f t="shared" si="4"/>
        <v>9576</v>
      </c>
      <c r="G12" s="1">
        <f t="shared" si="1"/>
        <v>1534.6153846153845</v>
      </c>
      <c r="H12" s="3">
        <v>2600</v>
      </c>
      <c r="I12" s="37">
        <f>E12/C12*H12*D12</f>
        <v>3990000</v>
      </c>
      <c r="J12" s="29">
        <v>16000</v>
      </c>
      <c r="K12" s="29">
        <f t="shared" si="3"/>
        <v>6384000</v>
      </c>
      <c r="L12" s="29">
        <f t="shared" si="6"/>
        <v>2394000</v>
      </c>
    </row>
    <row r="13" spans="1:12" x14ac:dyDescent="0.2">
      <c r="A13" s="2" t="s">
        <v>176</v>
      </c>
      <c r="B13" s="1" t="s">
        <v>205</v>
      </c>
      <c r="C13" s="1">
        <v>6.24</v>
      </c>
      <c r="D13" s="1">
        <v>200</v>
      </c>
      <c r="E13" s="1">
        <v>30</v>
      </c>
      <c r="F13" s="1">
        <f t="shared" si="4"/>
        <v>6000</v>
      </c>
      <c r="G13" s="1">
        <f t="shared" si="1"/>
        <v>961.53846153846155</v>
      </c>
      <c r="H13" s="3">
        <v>2600</v>
      </c>
      <c r="I13" s="37">
        <f t="shared" si="2"/>
        <v>2500000</v>
      </c>
      <c r="J13" s="29">
        <v>25000</v>
      </c>
      <c r="K13" s="29">
        <f t="shared" si="3"/>
        <v>5000000</v>
      </c>
      <c r="L13" s="29">
        <f t="shared" si="6"/>
        <v>2500000</v>
      </c>
    </row>
    <row r="14" spans="1:12" x14ac:dyDescent="0.2">
      <c r="A14" s="2" t="s">
        <v>177</v>
      </c>
      <c r="B14" s="1" t="s">
        <v>7</v>
      </c>
      <c r="C14" s="1">
        <v>6.24</v>
      </c>
      <c r="D14" s="1">
        <v>150</v>
      </c>
      <c r="E14" s="1">
        <v>23</v>
      </c>
      <c r="F14" s="1">
        <f t="shared" si="4"/>
        <v>3450</v>
      </c>
      <c r="G14" s="1">
        <f t="shared" si="1"/>
        <v>552.88461538461536</v>
      </c>
      <c r="H14" s="3">
        <v>2600</v>
      </c>
      <c r="I14" s="37">
        <f t="shared" si="2"/>
        <v>1437499.9999999998</v>
      </c>
      <c r="J14" s="29">
        <v>16000</v>
      </c>
      <c r="K14" s="29">
        <f t="shared" si="3"/>
        <v>2400000</v>
      </c>
      <c r="L14" s="29">
        <f t="shared" si="6"/>
        <v>962500.00000000023</v>
      </c>
    </row>
    <row r="15" spans="1:12" x14ac:dyDescent="0.2">
      <c r="A15" s="2" t="s">
        <v>178</v>
      </c>
      <c r="B15" s="1" t="s">
        <v>7</v>
      </c>
      <c r="C15" s="1">
        <v>6.24</v>
      </c>
      <c r="D15" s="1">
        <v>150</v>
      </c>
      <c r="E15" s="1">
        <v>25</v>
      </c>
      <c r="F15" s="1">
        <f t="shared" si="4"/>
        <v>3750</v>
      </c>
      <c r="G15" s="1">
        <f t="shared" si="1"/>
        <v>600.96153846153845</v>
      </c>
      <c r="H15" s="3">
        <v>2600</v>
      </c>
      <c r="I15" s="37">
        <f t="shared" si="2"/>
        <v>1562500</v>
      </c>
      <c r="J15" s="29">
        <v>16000</v>
      </c>
      <c r="K15" s="29">
        <f t="shared" si="3"/>
        <v>2400000</v>
      </c>
      <c r="L15" s="29">
        <f t="shared" si="6"/>
        <v>837500</v>
      </c>
    </row>
    <row r="16" spans="1:12" x14ac:dyDescent="0.2">
      <c r="A16" s="2" t="s">
        <v>179</v>
      </c>
      <c r="B16" s="1" t="s">
        <v>7</v>
      </c>
      <c r="C16" s="1">
        <v>6.24</v>
      </c>
      <c r="D16" s="1">
        <v>65</v>
      </c>
      <c r="E16" s="1">
        <v>17</v>
      </c>
      <c r="F16" s="1">
        <f t="shared" si="4"/>
        <v>1105</v>
      </c>
      <c r="G16" s="1">
        <f t="shared" si="1"/>
        <v>177.08333333333331</v>
      </c>
      <c r="H16" s="3">
        <v>2600</v>
      </c>
      <c r="I16" s="37">
        <f t="shared" si="2"/>
        <v>460416.66666666669</v>
      </c>
      <c r="J16" s="29">
        <v>16000</v>
      </c>
      <c r="K16" s="29">
        <f t="shared" si="3"/>
        <v>1040000</v>
      </c>
      <c r="L16" s="29">
        <f t="shared" si="6"/>
        <v>579583.33333333326</v>
      </c>
    </row>
    <row r="17" spans="1:12" x14ac:dyDescent="0.2">
      <c r="A17" s="2" t="s">
        <v>180</v>
      </c>
      <c r="B17" s="1" t="s">
        <v>161</v>
      </c>
      <c r="C17" s="1">
        <v>6.24</v>
      </c>
      <c r="D17" s="1">
        <v>462</v>
      </c>
      <c r="E17" s="1">
        <v>21</v>
      </c>
      <c r="F17" s="1">
        <f t="shared" si="4"/>
        <v>9702</v>
      </c>
      <c r="G17" s="1">
        <f t="shared" si="1"/>
        <v>1554.8076923076922</v>
      </c>
      <c r="H17" s="3">
        <v>2600</v>
      </c>
      <c r="I17" s="37">
        <f t="shared" si="2"/>
        <v>4042500</v>
      </c>
      <c r="J17" s="29">
        <v>18000</v>
      </c>
      <c r="K17" s="29">
        <f t="shared" si="3"/>
        <v>8316000</v>
      </c>
      <c r="L17" s="29">
        <f t="shared" si="6"/>
        <v>4273500</v>
      </c>
    </row>
    <row r="18" spans="1:12" x14ac:dyDescent="0.2">
      <c r="A18" s="2" t="s">
        <v>181</v>
      </c>
      <c r="B18" s="1" t="s">
        <v>7</v>
      </c>
      <c r="C18" s="1">
        <v>6.24</v>
      </c>
      <c r="D18" s="1">
        <v>200</v>
      </c>
      <c r="E18" s="1">
        <v>25</v>
      </c>
      <c r="F18" s="1">
        <f t="shared" si="4"/>
        <v>5000</v>
      </c>
      <c r="G18" s="1">
        <f t="shared" si="1"/>
        <v>801.28205128205127</v>
      </c>
      <c r="H18" s="3">
        <v>2600</v>
      </c>
      <c r="I18" s="37">
        <f t="shared" si="2"/>
        <v>2083333.3333333333</v>
      </c>
      <c r="J18" s="29">
        <v>16000</v>
      </c>
      <c r="K18" s="29">
        <f t="shared" si="3"/>
        <v>3200000</v>
      </c>
      <c r="L18" s="29">
        <f t="shared" si="6"/>
        <v>1116666.6666666667</v>
      </c>
    </row>
    <row r="19" spans="1:12" x14ac:dyDescent="0.2">
      <c r="A19" s="2" t="s">
        <v>182</v>
      </c>
      <c r="B19" s="1" t="s">
        <v>7</v>
      </c>
      <c r="C19" s="1">
        <v>6.24</v>
      </c>
      <c r="D19" s="1">
        <v>100</v>
      </c>
      <c r="E19" s="1">
        <v>24</v>
      </c>
      <c r="F19" s="1">
        <f t="shared" si="4"/>
        <v>2400</v>
      </c>
      <c r="G19" s="1">
        <f t="shared" si="1"/>
        <v>384.61538461538458</v>
      </c>
      <c r="H19" s="3">
        <v>2600</v>
      </c>
      <c r="I19" s="37">
        <f t="shared" si="2"/>
        <v>1000000</v>
      </c>
      <c r="J19" s="29">
        <v>16000</v>
      </c>
      <c r="K19" s="29">
        <f t="shared" si="3"/>
        <v>1600000</v>
      </c>
      <c r="L19" s="29">
        <f t="shared" si="6"/>
        <v>600000</v>
      </c>
    </row>
    <row r="20" spans="1:12" x14ac:dyDescent="0.2">
      <c r="A20" s="2" t="s">
        <v>183</v>
      </c>
      <c r="B20" s="1" t="s">
        <v>7</v>
      </c>
      <c r="C20" s="1">
        <v>6.24</v>
      </c>
      <c r="D20" s="1">
        <v>400</v>
      </c>
      <c r="E20" s="1">
        <v>24</v>
      </c>
      <c r="F20" s="1">
        <f t="shared" si="4"/>
        <v>9600</v>
      </c>
      <c r="G20" s="1">
        <f t="shared" si="1"/>
        <v>1538.4615384615383</v>
      </c>
      <c r="H20" s="3">
        <v>2600</v>
      </c>
      <c r="I20" s="37">
        <f t="shared" si="2"/>
        <v>4000000</v>
      </c>
      <c r="J20" s="29">
        <v>16000</v>
      </c>
      <c r="K20" s="29">
        <f t="shared" si="3"/>
        <v>6400000</v>
      </c>
      <c r="L20" s="29">
        <f t="shared" si="6"/>
        <v>2400000</v>
      </c>
    </row>
    <row r="21" spans="1:12" x14ac:dyDescent="0.2">
      <c r="A21" s="2" t="s">
        <v>184</v>
      </c>
      <c r="B21" s="1" t="s">
        <v>23</v>
      </c>
      <c r="C21" s="1">
        <v>6.24</v>
      </c>
      <c r="D21" s="1">
        <v>42</v>
      </c>
      <c r="E21" s="1">
        <v>8</v>
      </c>
      <c r="F21" s="1">
        <f t="shared" si="4"/>
        <v>336</v>
      </c>
      <c r="G21" s="1">
        <f t="shared" si="1"/>
        <v>53.846153846153847</v>
      </c>
      <c r="H21" s="3">
        <v>2600</v>
      </c>
      <c r="I21" s="37">
        <f t="shared" si="2"/>
        <v>140000</v>
      </c>
      <c r="J21" s="29">
        <v>15000</v>
      </c>
      <c r="K21" s="29">
        <f t="shared" si="3"/>
        <v>630000</v>
      </c>
      <c r="L21" s="29">
        <f t="shared" si="6"/>
        <v>490000</v>
      </c>
    </row>
    <row r="22" spans="1:12" x14ac:dyDescent="0.2">
      <c r="A22" s="2" t="s">
        <v>185</v>
      </c>
      <c r="B22" s="1" t="s">
        <v>23</v>
      </c>
      <c r="C22" s="1">
        <v>6.24</v>
      </c>
      <c r="D22" s="1">
        <v>212</v>
      </c>
      <c r="E22" s="1">
        <v>10</v>
      </c>
      <c r="F22" s="1">
        <f t="shared" si="4"/>
        <v>2120</v>
      </c>
      <c r="G22" s="1">
        <f t="shared" si="1"/>
        <v>339.74358974358972</v>
      </c>
      <c r="H22" s="3">
        <v>2600</v>
      </c>
      <c r="I22" s="37">
        <f t="shared" si="2"/>
        <v>883333.33333333326</v>
      </c>
      <c r="J22" s="29">
        <v>10000</v>
      </c>
      <c r="K22" s="29">
        <f t="shared" si="3"/>
        <v>2120000</v>
      </c>
      <c r="L22" s="29">
        <f t="shared" si="6"/>
        <v>1236666.6666666667</v>
      </c>
    </row>
    <row r="23" spans="1:12" x14ac:dyDescent="0.2">
      <c r="A23" s="2" t="s">
        <v>186</v>
      </c>
      <c r="B23" s="1" t="s">
        <v>206</v>
      </c>
      <c r="C23" s="1">
        <v>6.24</v>
      </c>
      <c r="D23" s="1">
        <v>260</v>
      </c>
      <c r="E23" s="1">
        <v>17</v>
      </c>
      <c r="F23" s="1">
        <f t="shared" si="4"/>
        <v>4420</v>
      </c>
      <c r="G23" s="1">
        <f t="shared" si="1"/>
        <v>708.33333333333326</v>
      </c>
      <c r="H23" s="3">
        <v>2600</v>
      </c>
      <c r="I23" s="37">
        <f t="shared" si="2"/>
        <v>1841666.6666666667</v>
      </c>
      <c r="J23" s="29">
        <v>15000</v>
      </c>
      <c r="K23" s="29">
        <f t="shared" si="3"/>
        <v>3900000</v>
      </c>
      <c r="L23" s="29">
        <f t="shared" si="6"/>
        <v>2058333.3333333333</v>
      </c>
    </row>
    <row r="24" spans="1:12" x14ac:dyDescent="0.2">
      <c r="A24" s="2" t="s">
        <v>187</v>
      </c>
      <c r="B24" s="1" t="s">
        <v>7</v>
      </c>
      <c r="C24" s="1">
        <v>6.24</v>
      </c>
      <c r="D24" s="1">
        <v>100</v>
      </c>
      <c r="E24" s="1">
        <v>25</v>
      </c>
      <c r="F24" s="1">
        <f t="shared" si="4"/>
        <v>2500</v>
      </c>
      <c r="G24" s="1">
        <f t="shared" si="1"/>
        <v>400.64102564102564</v>
      </c>
      <c r="H24" s="3">
        <v>2600</v>
      </c>
      <c r="I24" s="37">
        <f t="shared" si="2"/>
        <v>1041666.6666666666</v>
      </c>
      <c r="J24" s="29">
        <v>16000</v>
      </c>
      <c r="K24" s="29">
        <f t="shared" si="3"/>
        <v>1600000</v>
      </c>
      <c r="L24" s="29">
        <f t="shared" si="6"/>
        <v>558333.33333333337</v>
      </c>
    </row>
    <row r="25" spans="1:12" x14ac:dyDescent="0.2">
      <c r="A25" s="2" t="s">
        <v>188</v>
      </c>
      <c r="B25" s="1" t="s">
        <v>7</v>
      </c>
      <c r="C25" s="1">
        <v>6.24</v>
      </c>
      <c r="D25" s="1">
        <v>100</v>
      </c>
      <c r="E25" s="1">
        <v>23</v>
      </c>
      <c r="F25" s="1">
        <f t="shared" si="4"/>
        <v>2300</v>
      </c>
      <c r="G25" s="1">
        <f t="shared" si="1"/>
        <v>368.58974358974359</v>
      </c>
      <c r="H25" s="3">
        <v>2600</v>
      </c>
      <c r="I25" s="37">
        <f t="shared" si="2"/>
        <v>958333.33333333326</v>
      </c>
      <c r="J25" s="29">
        <v>16000</v>
      </c>
      <c r="K25" s="29">
        <f t="shared" si="3"/>
        <v>1600000</v>
      </c>
      <c r="L25" s="29">
        <f t="shared" si="6"/>
        <v>641666.66666666674</v>
      </c>
    </row>
    <row r="26" spans="1:12" x14ac:dyDescent="0.2">
      <c r="A26" s="2" t="s">
        <v>189</v>
      </c>
      <c r="B26" s="1" t="s">
        <v>7</v>
      </c>
      <c r="C26" s="1">
        <v>6.24</v>
      </c>
      <c r="D26" s="1">
        <v>150</v>
      </c>
      <c r="E26" s="1">
        <v>24</v>
      </c>
      <c r="F26" s="1">
        <f t="shared" si="4"/>
        <v>3600</v>
      </c>
      <c r="G26" s="1">
        <f t="shared" si="1"/>
        <v>576.92307692307691</v>
      </c>
      <c r="H26" s="3">
        <v>2600</v>
      </c>
      <c r="I26" s="37">
        <f t="shared" si="2"/>
        <v>1500000</v>
      </c>
      <c r="J26" s="29">
        <v>16000</v>
      </c>
      <c r="K26" s="29">
        <f t="shared" si="3"/>
        <v>2400000</v>
      </c>
      <c r="L26" s="29">
        <f t="shared" si="6"/>
        <v>900000</v>
      </c>
    </row>
    <row r="27" spans="1:12" x14ac:dyDescent="0.2">
      <c r="A27" s="2" t="s">
        <v>190</v>
      </c>
      <c r="B27" s="1" t="s">
        <v>7</v>
      </c>
      <c r="C27" s="1">
        <v>6.24</v>
      </c>
      <c r="D27" s="1">
        <v>248</v>
      </c>
      <c r="E27" s="1">
        <v>25</v>
      </c>
      <c r="F27" s="1">
        <f t="shared" si="4"/>
        <v>6200</v>
      </c>
      <c r="G27" s="1">
        <f t="shared" si="1"/>
        <v>993.58974358974353</v>
      </c>
      <c r="H27" s="3">
        <v>2600</v>
      </c>
      <c r="I27" s="37">
        <f t="shared" si="2"/>
        <v>2583333.333333333</v>
      </c>
      <c r="J27" s="29">
        <v>17000</v>
      </c>
      <c r="K27" s="29">
        <f t="shared" si="3"/>
        <v>4216000</v>
      </c>
      <c r="L27" s="29">
        <f t="shared" si="6"/>
        <v>1632666.666666667</v>
      </c>
    </row>
    <row r="28" spans="1:12" x14ac:dyDescent="0.2">
      <c r="A28" s="2" t="s">
        <v>191</v>
      </c>
      <c r="B28" s="1" t="s">
        <v>7</v>
      </c>
      <c r="C28" s="1">
        <v>6.24</v>
      </c>
      <c r="D28" s="1">
        <v>230</v>
      </c>
      <c r="E28" s="1">
        <v>22</v>
      </c>
      <c r="F28" s="1">
        <f t="shared" si="4"/>
        <v>5060</v>
      </c>
      <c r="G28" s="1">
        <f t="shared" si="1"/>
        <v>810.89743589743591</v>
      </c>
      <c r="H28" s="3">
        <v>2600</v>
      </c>
      <c r="I28" s="37">
        <f t="shared" si="2"/>
        <v>2108333.333333333</v>
      </c>
      <c r="J28" s="29">
        <v>18000</v>
      </c>
      <c r="K28" s="29">
        <f t="shared" si="3"/>
        <v>4140000</v>
      </c>
      <c r="L28" s="29">
        <f t="shared" si="6"/>
        <v>2031666.666666667</v>
      </c>
    </row>
    <row r="29" spans="1:12" x14ac:dyDescent="0.2">
      <c r="A29" s="2" t="s">
        <v>192</v>
      </c>
      <c r="B29" s="1" t="s">
        <v>7</v>
      </c>
      <c r="C29" s="1">
        <v>6.24</v>
      </c>
      <c r="D29" s="1">
        <v>45</v>
      </c>
      <c r="E29" s="1">
        <v>10</v>
      </c>
      <c r="F29" s="1">
        <f t="shared" si="4"/>
        <v>450</v>
      </c>
      <c r="G29" s="1">
        <f t="shared" si="1"/>
        <v>72.115384615384613</v>
      </c>
      <c r="H29" s="3">
        <v>2600</v>
      </c>
      <c r="I29" s="37">
        <f t="shared" si="2"/>
        <v>187499.99999999997</v>
      </c>
      <c r="J29" s="29">
        <v>16000</v>
      </c>
      <c r="K29" s="29">
        <f t="shared" si="3"/>
        <v>720000</v>
      </c>
      <c r="L29" s="29">
        <f t="shared" si="6"/>
        <v>532500</v>
      </c>
    </row>
    <row r="30" spans="1:12" x14ac:dyDescent="0.2">
      <c r="A30" s="2" t="s">
        <v>193</v>
      </c>
      <c r="B30" s="1" t="s">
        <v>7</v>
      </c>
      <c r="C30" s="1">
        <v>6.24</v>
      </c>
      <c r="D30" s="1">
        <v>23</v>
      </c>
      <c r="E30" s="1">
        <v>15</v>
      </c>
      <c r="F30" s="1">
        <f t="shared" si="4"/>
        <v>345</v>
      </c>
      <c r="G30" s="1">
        <f t="shared" si="1"/>
        <v>55.28846153846154</v>
      </c>
      <c r="H30" s="3">
        <v>2600</v>
      </c>
      <c r="I30" s="37">
        <f t="shared" si="2"/>
        <v>143750</v>
      </c>
      <c r="J30" s="29">
        <v>16000</v>
      </c>
      <c r="K30" s="29">
        <f t="shared" si="3"/>
        <v>368000</v>
      </c>
      <c r="L30" s="29">
        <f t="shared" si="6"/>
        <v>224250</v>
      </c>
    </row>
    <row r="31" spans="1:12" x14ac:dyDescent="0.2">
      <c r="A31" s="2" t="s">
        <v>194</v>
      </c>
      <c r="B31" s="1" t="s">
        <v>207</v>
      </c>
      <c r="C31" s="1">
        <v>6.24</v>
      </c>
      <c r="D31" s="1">
        <v>160</v>
      </c>
      <c r="E31" s="1">
        <v>20</v>
      </c>
      <c r="F31" s="1">
        <f t="shared" si="4"/>
        <v>3200</v>
      </c>
      <c r="G31" s="1">
        <f t="shared" si="1"/>
        <v>512.82051282051282</v>
      </c>
      <c r="H31" s="3">
        <v>2600</v>
      </c>
      <c r="I31" s="37">
        <f t="shared" si="2"/>
        <v>1333333.333333333</v>
      </c>
      <c r="J31" s="29">
        <v>15000</v>
      </c>
      <c r="K31" s="29">
        <f t="shared" si="3"/>
        <v>2400000</v>
      </c>
      <c r="L31" s="29">
        <f t="shared" si="6"/>
        <v>1066666.666666667</v>
      </c>
    </row>
    <row r="32" spans="1:12" x14ac:dyDescent="0.2">
      <c r="A32" s="2" t="s">
        <v>195</v>
      </c>
      <c r="B32" s="1" t="s">
        <v>7</v>
      </c>
      <c r="C32" s="1">
        <v>6.24</v>
      </c>
      <c r="D32" s="1">
        <v>200</v>
      </c>
      <c r="E32" s="1">
        <v>22</v>
      </c>
      <c r="F32" s="1">
        <f t="shared" si="4"/>
        <v>4400</v>
      </c>
      <c r="G32" s="1">
        <f t="shared" si="1"/>
        <v>705.12820512820508</v>
      </c>
      <c r="H32" s="3">
        <v>2600</v>
      </c>
      <c r="I32" s="37">
        <f t="shared" si="2"/>
        <v>1833333.3333333333</v>
      </c>
      <c r="J32" s="29">
        <v>18000</v>
      </c>
      <c r="K32" s="29">
        <f t="shared" si="3"/>
        <v>3600000</v>
      </c>
      <c r="L32" s="29">
        <f t="shared" si="6"/>
        <v>1766666.6666666667</v>
      </c>
    </row>
    <row r="33" spans="1:12" x14ac:dyDescent="0.2">
      <c r="A33" s="2" t="s">
        <v>196</v>
      </c>
      <c r="B33" s="1" t="s">
        <v>7</v>
      </c>
      <c r="C33" s="1">
        <v>6.24</v>
      </c>
      <c r="D33" s="1">
        <v>260</v>
      </c>
      <c r="E33" s="1">
        <v>22</v>
      </c>
      <c r="F33" s="1">
        <f t="shared" si="4"/>
        <v>5720</v>
      </c>
      <c r="G33" s="1">
        <f t="shared" si="1"/>
        <v>916.66666666666663</v>
      </c>
      <c r="H33" s="3">
        <v>2600</v>
      </c>
      <c r="I33" s="37">
        <f t="shared" si="2"/>
        <v>2383333.333333333</v>
      </c>
      <c r="J33" s="29">
        <v>17000</v>
      </c>
      <c r="K33" s="29">
        <f t="shared" si="3"/>
        <v>4420000</v>
      </c>
      <c r="L33" s="29">
        <f t="shared" si="6"/>
        <v>2036666.666666667</v>
      </c>
    </row>
    <row r="34" spans="1:12" x14ac:dyDescent="0.2">
      <c r="A34" s="2" t="s">
        <v>197</v>
      </c>
      <c r="B34" s="1" t="s">
        <v>68</v>
      </c>
      <c r="C34" s="1">
        <v>6.24</v>
      </c>
      <c r="D34" s="1">
        <v>359</v>
      </c>
      <c r="E34" s="1">
        <v>9</v>
      </c>
      <c r="F34" s="1">
        <f t="shared" si="4"/>
        <v>3231</v>
      </c>
      <c r="G34" s="1">
        <f t="shared" si="1"/>
        <v>517.78846153846155</v>
      </c>
      <c r="H34" s="3">
        <v>2600</v>
      </c>
      <c r="I34" s="37">
        <f t="shared" si="2"/>
        <v>1346250</v>
      </c>
      <c r="J34" s="29">
        <v>16000</v>
      </c>
      <c r="K34" s="29">
        <f t="shared" si="3"/>
        <v>5744000</v>
      </c>
      <c r="L34" s="29">
        <f t="shared" si="6"/>
        <v>4397750</v>
      </c>
    </row>
    <row r="35" spans="1:12" x14ac:dyDescent="0.2">
      <c r="A35" s="2" t="s">
        <v>198</v>
      </c>
      <c r="B35" s="1" t="s">
        <v>7</v>
      </c>
      <c r="C35" s="1">
        <v>6.24</v>
      </c>
      <c r="D35" s="1">
        <v>160</v>
      </c>
      <c r="E35" s="1">
        <v>25</v>
      </c>
      <c r="F35" s="1">
        <f t="shared" si="4"/>
        <v>4000</v>
      </c>
      <c r="G35" s="1">
        <f t="shared" si="1"/>
        <v>641.02564102564099</v>
      </c>
      <c r="H35" s="3">
        <v>2600</v>
      </c>
      <c r="I35" s="37">
        <f t="shared" si="2"/>
        <v>1666666.6666666665</v>
      </c>
      <c r="J35" s="29">
        <v>17000</v>
      </c>
      <c r="K35" s="29">
        <f t="shared" si="3"/>
        <v>2720000</v>
      </c>
      <c r="L35" s="29">
        <f t="shared" si="6"/>
        <v>1053333.3333333335</v>
      </c>
    </row>
    <row r="36" spans="1:12" x14ac:dyDescent="0.2">
      <c r="A36" s="2" t="s">
        <v>199</v>
      </c>
      <c r="B36" s="1" t="s">
        <v>7</v>
      </c>
      <c r="C36" s="1">
        <v>6.24</v>
      </c>
      <c r="D36" s="1">
        <v>209</v>
      </c>
      <c r="E36" s="1">
        <v>15</v>
      </c>
      <c r="F36" s="1">
        <f t="shared" si="4"/>
        <v>3135</v>
      </c>
      <c r="G36" s="1">
        <f t="shared" si="1"/>
        <v>502.40384615384613</v>
      </c>
      <c r="H36" s="3">
        <v>2600</v>
      </c>
      <c r="I36" s="37">
        <f t="shared" si="2"/>
        <v>1306250</v>
      </c>
      <c r="J36" s="29">
        <v>16000</v>
      </c>
      <c r="K36" s="29">
        <f t="shared" si="3"/>
        <v>3344000</v>
      </c>
      <c r="L36" s="29">
        <f t="shared" si="6"/>
        <v>2037750</v>
      </c>
    </row>
    <row r="37" spans="1:12" x14ac:dyDescent="0.2">
      <c r="A37" s="2" t="s">
        <v>200</v>
      </c>
      <c r="B37" s="1" t="s">
        <v>7</v>
      </c>
      <c r="C37" s="1">
        <v>6.24</v>
      </c>
      <c r="D37" s="1">
        <v>180</v>
      </c>
      <c r="E37" s="1">
        <v>22</v>
      </c>
      <c r="F37" s="1">
        <f t="shared" si="4"/>
        <v>3960</v>
      </c>
      <c r="G37" s="1">
        <f t="shared" si="1"/>
        <v>634.61538461538464</v>
      </c>
      <c r="H37" s="3">
        <v>2600</v>
      </c>
      <c r="I37" s="37">
        <f t="shared" si="2"/>
        <v>1650000</v>
      </c>
      <c r="J37" s="29">
        <v>16000</v>
      </c>
      <c r="K37" s="29">
        <f t="shared" si="3"/>
        <v>2880000</v>
      </c>
      <c r="L37" s="29">
        <f t="shared" si="6"/>
        <v>1230000</v>
      </c>
    </row>
    <row r="38" spans="1:12" x14ac:dyDescent="0.2">
      <c r="A38" s="2" t="s">
        <v>201</v>
      </c>
      <c r="B38" s="1" t="s">
        <v>7</v>
      </c>
      <c r="C38" s="1">
        <v>6.24</v>
      </c>
      <c r="D38" s="1">
        <v>100</v>
      </c>
      <c r="E38" s="1">
        <v>20</v>
      </c>
      <c r="F38" s="1">
        <f t="shared" si="4"/>
        <v>2000</v>
      </c>
      <c r="G38" s="1">
        <f t="shared" si="1"/>
        <v>320.5128205128205</v>
      </c>
      <c r="H38" s="3">
        <v>2600</v>
      </c>
      <c r="I38" s="37">
        <f t="shared" si="2"/>
        <v>833333.33333333326</v>
      </c>
      <c r="J38" s="29">
        <v>16000</v>
      </c>
      <c r="K38" s="29">
        <f t="shared" si="3"/>
        <v>1600000</v>
      </c>
      <c r="L38" s="29">
        <f t="shared" si="6"/>
        <v>766666.66666666674</v>
      </c>
    </row>
    <row r="39" spans="1:12" x14ac:dyDescent="0.2">
      <c r="A39" s="2" t="s">
        <v>202</v>
      </c>
      <c r="B39" s="1" t="s">
        <v>161</v>
      </c>
      <c r="C39" s="1">
        <v>6.24</v>
      </c>
      <c r="D39" s="1">
        <v>200</v>
      </c>
      <c r="E39" s="1">
        <v>21</v>
      </c>
      <c r="F39" s="1">
        <f t="shared" si="4"/>
        <v>4200</v>
      </c>
      <c r="G39" s="1">
        <f t="shared" si="1"/>
        <v>673.07692307692309</v>
      </c>
      <c r="H39" s="3">
        <v>2600</v>
      </c>
      <c r="I39" s="37">
        <f t="shared" si="2"/>
        <v>1750000</v>
      </c>
      <c r="J39" s="29">
        <v>15000</v>
      </c>
      <c r="K39" s="29">
        <f t="shared" si="3"/>
        <v>3000000</v>
      </c>
      <c r="L39" s="29">
        <f t="shared" si="6"/>
        <v>1250000</v>
      </c>
    </row>
    <row r="40" spans="1:12" x14ac:dyDescent="0.2">
      <c r="A40" s="2" t="s">
        <v>203</v>
      </c>
      <c r="B40" s="1" t="s">
        <v>161</v>
      </c>
      <c r="C40" s="1">
        <v>6.24</v>
      </c>
      <c r="D40" s="1">
        <v>191</v>
      </c>
      <c r="E40" s="1">
        <v>20</v>
      </c>
      <c r="F40" s="1">
        <f t="shared" si="4"/>
        <v>3820</v>
      </c>
      <c r="G40" s="1">
        <f t="shared" si="1"/>
        <v>612.17948717948718</v>
      </c>
      <c r="H40" s="3">
        <v>2600</v>
      </c>
      <c r="I40" s="37">
        <f t="shared" si="2"/>
        <v>1591666.6666666665</v>
      </c>
      <c r="J40" s="29">
        <v>15000</v>
      </c>
      <c r="K40" s="29">
        <f t="shared" si="3"/>
        <v>2865000</v>
      </c>
      <c r="L40" s="29">
        <f t="shared" si="6"/>
        <v>1273333.3333333335</v>
      </c>
    </row>
    <row r="41" spans="1:12" x14ac:dyDescent="0.2">
      <c r="A41" s="2" t="s">
        <v>204</v>
      </c>
      <c r="B41" s="1" t="s">
        <v>208</v>
      </c>
      <c r="C41" s="1">
        <v>6.24</v>
      </c>
      <c r="D41" s="1">
        <v>150</v>
      </c>
      <c r="E41" s="1">
        <v>20</v>
      </c>
      <c r="F41" s="1">
        <f t="shared" si="4"/>
        <v>3000</v>
      </c>
      <c r="G41" s="1">
        <f t="shared" si="1"/>
        <v>480.76923076923077</v>
      </c>
      <c r="H41" s="3">
        <v>2600</v>
      </c>
      <c r="I41" s="37">
        <f t="shared" si="2"/>
        <v>1249999.9999999998</v>
      </c>
      <c r="J41" s="29">
        <v>15000</v>
      </c>
      <c r="K41" s="29">
        <f t="shared" si="3"/>
        <v>2250000</v>
      </c>
      <c r="L41" s="29">
        <f t="shared" si="6"/>
        <v>1000000.0000000002</v>
      </c>
    </row>
    <row r="42" spans="1:12" x14ac:dyDescent="0.2">
      <c r="D42" s="54">
        <f>SUM(D3:D41)</f>
        <v>8455</v>
      </c>
      <c r="F42" s="52">
        <f>SUM(F3:F41)</f>
        <v>188030</v>
      </c>
      <c r="G42" s="51">
        <f>SUM(G3:G41)</f>
        <v>30133.012820512813</v>
      </c>
      <c r="I42" s="49">
        <f>SUM(I3:I41)</f>
        <v>78345833.333333358</v>
      </c>
      <c r="K42" s="50">
        <f>SUM(K3:K41)</f>
        <v>139657000</v>
      </c>
      <c r="L42" s="48">
        <f>SUM(L3:L41)</f>
        <v>61311166.666666657</v>
      </c>
    </row>
    <row r="48" spans="1:12" x14ac:dyDescent="0.2">
      <c r="G48" s="53" t="s">
        <v>209</v>
      </c>
      <c r="H48" s="3" t="s">
        <v>25</v>
      </c>
      <c r="I48" s="15">
        <v>74355833</v>
      </c>
    </row>
    <row r="49" spans="7:9" x14ac:dyDescent="0.2">
      <c r="G49" s="53" t="s">
        <v>210</v>
      </c>
      <c r="H49" s="3" t="s">
        <v>27</v>
      </c>
      <c r="I49" s="9">
        <v>4764500</v>
      </c>
    </row>
    <row r="50" spans="7:9" x14ac:dyDescent="0.2">
      <c r="H50" s="3" t="s">
        <v>26</v>
      </c>
      <c r="I50" s="3">
        <v>3013000</v>
      </c>
    </row>
    <row r="51" spans="7:9" x14ac:dyDescent="0.2">
      <c r="H51" s="3" t="s">
        <v>33</v>
      </c>
      <c r="I51" s="3">
        <v>500000</v>
      </c>
    </row>
    <row r="52" spans="7:9" x14ac:dyDescent="0.2">
      <c r="H52" s="3" t="s">
        <v>31</v>
      </c>
      <c r="I52" s="3">
        <v>4500000</v>
      </c>
    </row>
    <row r="53" spans="7:9" x14ac:dyDescent="0.2">
      <c r="H53" s="3" t="s">
        <v>36</v>
      </c>
      <c r="I53" s="3">
        <v>3500000</v>
      </c>
    </row>
    <row r="54" spans="7:9" x14ac:dyDescent="0.2">
      <c r="H54" s="3" t="s">
        <v>29</v>
      </c>
      <c r="I54" s="23">
        <v>9600000</v>
      </c>
    </row>
    <row r="55" spans="7:9" x14ac:dyDescent="0.2">
      <c r="H55" s="3" t="s">
        <v>34</v>
      </c>
      <c r="I55" s="26">
        <f>SUM(I48:I54)</f>
        <v>100233333</v>
      </c>
    </row>
    <row r="56" spans="7:9" x14ac:dyDescent="0.2">
      <c r="H56" s="3" t="s">
        <v>6</v>
      </c>
      <c r="I56" s="55">
        <v>139657000</v>
      </c>
    </row>
    <row r="57" spans="7:9" ht="18" x14ac:dyDescent="0.35">
      <c r="H57" s="3" t="s">
        <v>35</v>
      </c>
      <c r="I57" s="21">
        <f>I56-I55</f>
        <v>39423667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0"/>
  <sheetViews>
    <sheetView topLeftCell="A5" workbookViewId="0">
      <selection activeCell="M39" sqref="M39"/>
    </sheetView>
  </sheetViews>
  <sheetFormatPr baseColWidth="10" defaultColWidth="9.1640625" defaultRowHeight="15" x14ac:dyDescent="0.2"/>
  <cols>
    <col min="2" max="2" width="14.5" customWidth="1"/>
    <col min="5" max="5" width="10" customWidth="1"/>
    <col min="6" max="7" width="14.5" customWidth="1"/>
    <col min="8" max="8" width="14.33203125" customWidth="1"/>
    <col min="9" max="9" width="13.1640625" customWidth="1"/>
    <col min="10" max="10" width="10" customWidth="1"/>
    <col min="11" max="11" width="12.5" customWidth="1"/>
    <col min="12" max="12" width="14" customWidth="1"/>
  </cols>
  <sheetData>
    <row r="1" spans="1:12" ht="31" x14ac:dyDescent="0.35">
      <c r="A1" s="66" t="s">
        <v>217</v>
      </c>
      <c r="B1" s="66"/>
      <c r="C1" s="66"/>
      <c r="D1" s="66"/>
      <c r="E1" s="67"/>
      <c r="F1" s="67"/>
      <c r="G1" s="67"/>
      <c r="H1" s="67"/>
      <c r="I1" s="67"/>
      <c r="J1" s="67"/>
      <c r="K1" s="67"/>
      <c r="L1" s="67"/>
    </row>
    <row r="2" spans="1:12" x14ac:dyDescent="0.2">
      <c r="A2" s="58" t="s">
        <v>0</v>
      </c>
      <c r="B2" s="58" t="s">
        <v>1</v>
      </c>
      <c r="C2" s="58" t="s">
        <v>2</v>
      </c>
      <c r="D2" s="58" t="s">
        <v>3</v>
      </c>
      <c r="E2" s="58" t="s">
        <v>11</v>
      </c>
      <c r="F2" s="59" t="s">
        <v>8</v>
      </c>
      <c r="G2" s="58" t="s">
        <v>77</v>
      </c>
      <c r="H2" s="59" t="s">
        <v>41</v>
      </c>
      <c r="I2" s="59" t="s">
        <v>9</v>
      </c>
      <c r="J2" s="59" t="s">
        <v>10</v>
      </c>
      <c r="K2" s="59" t="s">
        <v>6</v>
      </c>
      <c r="L2" s="59" t="s">
        <v>12</v>
      </c>
    </row>
    <row r="3" spans="1:12" x14ac:dyDescent="0.2">
      <c r="A3" s="2" t="s">
        <v>218</v>
      </c>
      <c r="B3" s="1" t="s">
        <v>68</v>
      </c>
      <c r="C3" s="1">
        <v>6.19</v>
      </c>
      <c r="D3" s="1">
        <v>260</v>
      </c>
      <c r="E3" s="1">
        <v>24</v>
      </c>
      <c r="F3" s="44">
        <f t="shared" ref="F3" si="0">D3*E3</f>
        <v>6240</v>
      </c>
      <c r="G3" s="5">
        <f t="shared" ref="G3:G34" si="1">F3/C3</f>
        <v>1008.0775444264942</v>
      </c>
      <c r="H3" s="3">
        <v>2695</v>
      </c>
      <c r="I3" s="3">
        <f t="shared" ref="I3:I34" si="2">E3/C3*H3*D3</f>
        <v>2716768.9822294018</v>
      </c>
      <c r="J3" s="3">
        <v>15000</v>
      </c>
      <c r="K3" s="3">
        <f t="shared" ref="K3:K34" si="3">J3*D3</f>
        <v>3900000</v>
      </c>
      <c r="L3" s="3">
        <f>K3-I3</f>
        <v>1183231.0177705982</v>
      </c>
    </row>
    <row r="4" spans="1:12" x14ac:dyDescent="0.2">
      <c r="A4" s="2" t="s">
        <v>219</v>
      </c>
      <c r="B4" s="1" t="s">
        <v>68</v>
      </c>
      <c r="C4" s="1">
        <v>6.19</v>
      </c>
      <c r="D4" s="1">
        <v>200</v>
      </c>
      <c r="E4" s="1">
        <v>30</v>
      </c>
      <c r="F4" s="1">
        <f>D4*E4</f>
        <v>6000</v>
      </c>
      <c r="G4" s="1">
        <f t="shared" si="1"/>
        <v>969.30533117932146</v>
      </c>
      <c r="H4" s="3">
        <v>2695</v>
      </c>
      <c r="I4" s="37">
        <f t="shared" si="2"/>
        <v>2612277.8675282714</v>
      </c>
      <c r="J4" s="3">
        <v>18000</v>
      </c>
      <c r="K4" s="3">
        <f t="shared" si="3"/>
        <v>3600000</v>
      </c>
      <c r="L4" s="3">
        <f>K4-I4</f>
        <v>987722.1324717286</v>
      </c>
    </row>
    <row r="5" spans="1:12" x14ac:dyDescent="0.2">
      <c r="A5" s="2" t="s">
        <v>220</v>
      </c>
      <c r="B5" s="1" t="s">
        <v>161</v>
      </c>
      <c r="C5" s="1">
        <v>6.19</v>
      </c>
      <c r="D5" s="1">
        <v>720</v>
      </c>
      <c r="E5" s="1">
        <v>28.6</v>
      </c>
      <c r="F5" s="1">
        <f t="shared" ref="F5:F34" si="4">D5*E5</f>
        <v>20592</v>
      </c>
      <c r="G5" s="1">
        <f t="shared" si="1"/>
        <v>3326.6558966074313</v>
      </c>
      <c r="H5" s="3">
        <v>2695</v>
      </c>
      <c r="I5" s="37">
        <f t="shared" si="2"/>
        <v>8965337.641357027</v>
      </c>
      <c r="J5" s="3">
        <v>20000</v>
      </c>
      <c r="K5" s="3">
        <f t="shared" si="3"/>
        <v>14400000</v>
      </c>
      <c r="L5" s="3">
        <f t="shared" ref="L5:L34" si="5">K5-I5</f>
        <v>5434662.358642973</v>
      </c>
    </row>
    <row r="6" spans="1:12" x14ac:dyDescent="0.2">
      <c r="A6" s="2" t="s">
        <v>221</v>
      </c>
      <c r="B6" s="1" t="s">
        <v>7</v>
      </c>
      <c r="C6" s="1">
        <v>6.19</v>
      </c>
      <c r="D6" s="1">
        <v>190</v>
      </c>
      <c r="E6" s="1">
        <v>27</v>
      </c>
      <c r="F6" s="1">
        <f t="shared" si="4"/>
        <v>5130</v>
      </c>
      <c r="G6" s="1">
        <f t="shared" si="1"/>
        <v>828.75605815831977</v>
      </c>
      <c r="H6" s="3">
        <v>2695</v>
      </c>
      <c r="I6" s="37">
        <f t="shared" si="2"/>
        <v>2233497.5767366723</v>
      </c>
      <c r="J6" s="3">
        <v>18000</v>
      </c>
      <c r="K6" s="3">
        <f t="shared" si="3"/>
        <v>3420000</v>
      </c>
      <c r="L6" s="37">
        <f t="shared" si="5"/>
        <v>1186502.4232633277</v>
      </c>
    </row>
    <row r="7" spans="1:12" x14ac:dyDescent="0.2">
      <c r="A7" s="2" t="s">
        <v>222</v>
      </c>
      <c r="B7" s="1" t="s">
        <v>7</v>
      </c>
      <c r="C7" s="1">
        <v>6.19</v>
      </c>
      <c r="D7" s="1">
        <v>213</v>
      </c>
      <c r="E7" s="1">
        <v>25</v>
      </c>
      <c r="F7" s="1">
        <f t="shared" si="4"/>
        <v>5325</v>
      </c>
      <c r="G7" s="1">
        <f t="shared" si="1"/>
        <v>860.25848142164773</v>
      </c>
      <c r="H7" s="3">
        <v>2695</v>
      </c>
      <c r="I7" s="37">
        <f t="shared" si="2"/>
        <v>2318396.6074313405</v>
      </c>
      <c r="J7" s="29">
        <v>16000</v>
      </c>
      <c r="K7" s="29">
        <f t="shared" si="3"/>
        <v>3408000</v>
      </c>
      <c r="L7" s="29">
        <f t="shared" si="5"/>
        <v>1089603.3925686595</v>
      </c>
    </row>
    <row r="8" spans="1:12" x14ac:dyDescent="0.2">
      <c r="A8" s="2" t="s">
        <v>223</v>
      </c>
      <c r="B8" s="1" t="s">
        <v>7</v>
      </c>
      <c r="C8" s="1">
        <v>6.19</v>
      </c>
      <c r="D8" s="1">
        <v>220</v>
      </c>
      <c r="E8" s="1">
        <v>22</v>
      </c>
      <c r="F8" s="1">
        <f t="shared" si="4"/>
        <v>4840</v>
      </c>
      <c r="G8" s="1">
        <f t="shared" si="1"/>
        <v>781.90630048465266</v>
      </c>
      <c r="H8" s="3">
        <v>2695</v>
      </c>
      <c r="I8" s="37">
        <f t="shared" si="2"/>
        <v>2107237.4798061387</v>
      </c>
      <c r="J8" s="29">
        <v>17000</v>
      </c>
      <c r="K8" s="29">
        <f t="shared" si="3"/>
        <v>3740000</v>
      </c>
      <c r="L8" s="29">
        <f t="shared" si="5"/>
        <v>1632762.5201938613</v>
      </c>
    </row>
    <row r="9" spans="1:12" x14ac:dyDescent="0.2">
      <c r="A9" s="2" t="s">
        <v>224</v>
      </c>
      <c r="B9" s="1" t="s">
        <v>7</v>
      </c>
      <c r="C9" s="1">
        <v>6.19</v>
      </c>
      <c r="D9" s="1">
        <v>310</v>
      </c>
      <c r="E9" s="1">
        <v>20</v>
      </c>
      <c r="F9" s="1">
        <f t="shared" si="4"/>
        <v>6200</v>
      </c>
      <c r="G9" s="1">
        <f t="shared" si="1"/>
        <v>1001.6155088852988</v>
      </c>
      <c r="H9" s="3">
        <v>2695</v>
      </c>
      <c r="I9" s="37">
        <f t="shared" si="2"/>
        <v>2699353.7964458801</v>
      </c>
      <c r="J9" s="29">
        <v>17000</v>
      </c>
      <c r="K9" s="29">
        <f t="shared" si="3"/>
        <v>5270000</v>
      </c>
      <c r="L9" s="29">
        <f t="shared" si="5"/>
        <v>2570646.2035541199</v>
      </c>
    </row>
    <row r="10" spans="1:12" x14ac:dyDescent="0.2">
      <c r="A10" s="2" t="s">
        <v>225</v>
      </c>
      <c r="B10" s="1" t="s">
        <v>7</v>
      </c>
      <c r="C10" s="1">
        <v>6.19</v>
      </c>
      <c r="D10" s="1">
        <v>40</v>
      </c>
      <c r="E10" s="1">
        <v>15</v>
      </c>
      <c r="F10" s="1">
        <f t="shared" si="4"/>
        <v>600</v>
      </c>
      <c r="G10" s="1">
        <f t="shared" si="1"/>
        <v>96.930533117932143</v>
      </c>
      <c r="H10" s="3">
        <v>2695</v>
      </c>
      <c r="I10" s="37">
        <f t="shared" si="2"/>
        <v>261227.78675282712</v>
      </c>
      <c r="J10" s="29">
        <v>16000</v>
      </c>
      <c r="K10" s="29">
        <f t="shared" si="3"/>
        <v>640000</v>
      </c>
      <c r="L10" s="29">
        <f t="shared" si="5"/>
        <v>378772.21324717288</v>
      </c>
    </row>
    <row r="11" spans="1:12" x14ac:dyDescent="0.2">
      <c r="A11" s="2" t="s">
        <v>225</v>
      </c>
      <c r="B11" s="1" t="s">
        <v>16</v>
      </c>
      <c r="C11" s="1">
        <v>6.19</v>
      </c>
      <c r="D11" s="1">
        <v>250</v>
      </c>
      <c r="E11" s="1">
        <v>26</v>
      </c>
      <c r="F11" s="1">
        <f t="shared" si="4"/>
        <v>6500</v>
      </c>
      <c r="G11" s="1">
        <f t="shared" si="1"/>
        <v>1050.0807754442649</v>
      </c>
      <c r="H11" s="3">
        <v>2695</v>
      </c>
      <c r="I11" s="37">
        <f t="shared" si="2"/>
        <v>2829967.6898222938</v>
      </c>
      <c r="J11" s="29">
        <v>18000</v>
      </c>
      <c r="K11" s="29">
        <f t="shared" si="3"/>
        <v>4500000</v>
      </c>
      <c r="L11" s="29">
        <f t="shared" si="5"/>
        <v>1670032.3101777062</v>
      </c>
    </row>
    <row r="12" spans="1:12" x14ac:dyDescent="0.2">
      <c r="A12" s="2" t="s">
        <v>226</v>
      </c>
      <c r="B12" s="1" t="s">
        <v>16</v>
      </c>
      <c r="C12" s="1">
        <v>6.19</v>
      </c>
      <c r="D12" s="1">
        <v>250</v>
      </c>
      <c r="E12" s="1">
        <v>26</v>
      </c>
      <c r="F12" s="1">
        <f t="shared" si="4"/>
        <v>6500</v>
      </c>
      <c r="G12" s="1">
        <f t="shared" si="1"/>
        <v>1050.0807754442649</v>
      </c>
      <c r="H12" s="3">
        <v>2695</v>
      </c>
      <c r="I12" s="37">
        <f t="shared" si="2"/>
        <v>2829967.6898222938</v>
      </c>
      <c r="J12" s="29">
        <v>18000</v>
      </c>
      <c r="K12" s="29">
        <f t="shared" si="3"/>
        <v>4500000</v>
      </c>
      <c r="L12" s="29">
        <f t="shared" si="5"/>
        <v>1670032.3101777062</v>
      </c>
    </row>
    <row r="13" spans="1:12" x14ac:dyDescent="0.2">
      <c r="A13" s="2" t="s">
        <v>227</v>
      </c>
      <c r="B13" s="1" t="s">
        <v>16</v>
      </c>
      <c r="C13" s="1">
        <v>6.19</v>
      </c>
      <c r="D13" s="1">
        <v>250</v>
      </c>
      <c r="E13" s="1">
        <v>25</v>
      </c>
      <c r="F13" s="1">
        <f t="shared" si="4"/>
        <v>6250</v>
      </c>
      <c r="G13" s="1">
        <f t="shared" si="1"/>
        <v>1009.6930533117932</v>
      </c>
      <c r="H13" s="3">
        <v>2695</v>
      </c>
      <c r="I13" s="37">
        <f t="shared" si="2"/>
        <v>2721122.7786752824</v>
      </c>
      <c r="J13" s="29">
        <v>18000</v>
      </c>
      <c r="K13" s="29">
        <f t="shared" si="3"/>
        <v>4500000</v>
      </c>
      <c r="L13" s="29">
        <f t="shared" si="5"/>
        <v>1778877.2213247176</v>
      </c>
    </row>
    <row r="14" spans="1:12" x14ac:dyDescent="0.2">
      <c r="A14" s="2" t="s">
        <v>228</v>
      </c>
      <c r="B14" s="1" t="s">
        <v>7</v>
      </c>
      <c r="C14" s="1">
        <v>6.19</v>
      </c>
      <c r="D14" s="1">
        <v>150</v>
      </c>
      <c r="E14" s="1">
        <v>25</v>
      </c>
      <c r="F14" s="1">
        <f t="shared" si="4"/>
        <v>3750</v>
      </c>
      <c r="G14" s="1">
        <f t="shared" si="1"/>
        <v>605.81583198707585</v>
      </c>
      <c r="H14" s="3">
        <v>2695</v>
      </c>
      <c r="I14" s="37">
        <f t="shared" si="2"/>
        <v>1632673.6672051696</v>
      </c>
      <c r="J14" s="29">
        <v>16000</v>
      </c>
      <c r="K14" s="29">
        <f t="shared" si="3"/>
        <v>2400000</v>
      </c>
      <c r="L14" s="29">
        <f t="shared" si="5"/>
        <v>767326.33279483044</v>
      </c>
    </row>
    <row r="15" spans="1:12" x14ac:dyDescent="0.2">
      <c r="A15" s="2" t="s">
        <v>229</v>
      </c>
      <c r="B15" s="1" t="s">
        <v>7</v>
      </c>
      <c r="C15" s="1">
        <v>6.19</v>
      </c>
      <c r="D15" s="1">
        <v>200</v>
      </c>
      <c r="E15" s="1">
        <v>24</v>
      </c>
      <c r="F15" s="1">
        <f t="shared" si="4"/>
        <v>4800</v>
      </c>
      <c r="G15" s="1">
        <f t="shared" si="1"/>
        <v>775.44426494345714</v>
      </c>
      <c r="H15" s="3">
        <v>2695</v>
      </c>
      <c r="I15" s="37">
        <f t="shared" si="2"/>
        <v>2089822.2940226169</v>
      </c>
      <c r="J15" s="29">
        <v>16000</v>
      </c>
      <c r="K15" s="29">
        <f t="shared" si="3"/>
        <v>3200000</v>
      </c>
      <c r="L15" s="29">
        <f t="shared" si="5"/>
        <v>1110177.7059773831</v>
      </c>
    </row>
    <row r="16" spans="1:12" x14ac:dyDescent="0.2">
      <c r="A16" s="2" t="s">
        <v>230</v>
      </c>
      <c r="B16" s="1" t="s">
        <v>16</v>
      </c>
      <c r="C16" s="1">
        <v>6.19</v>
      </c>
      <c r="D16" s="1">
        <v>200</v>
      </c>
      <c r="E16" s="1">
        <v>26</v>
      </c>
      <c r="F16" s="1">
        <f t="shared" si="4"/>
        <v>5200</v>
      </c>
      <c r="G16" s="1">
        <f t="shared" si="1"/>
        <v>840.06462035541188</v>
      </c>
      <c r="H16" s="3">
        <v>2695</v>
      </c>
      <c r="I16" s="37">
        <f t="shared" si="2"/>
        <v>2263974.1518578352</v>
      </c>
      <c r="J16" s="29">
        <v>18000</v>
      </c>
      <c r="K16" s="29">
        <f t="shared" si="3"/>
        <v>3600000</v>
      </c>
      <c r="L16" s="29">
        <f t="shared" si="5"/>
        <v>1336025.8481421648</v>
      </c>
    </row>
    <row r="17" spans="1:12" x14ac:dyDescent="0.2">
      <c r="A17" s="2" t="s">
        <v>231</v>
      </c>
      <c r="B17" s="1" t="s">
        <v>7</v>
      </c>
      <c r="C17" s="1">
        <v>6.19</v>
      </c>
      <c r="D17" s="1">
        <v>436</v>
      </c>
      <c r="E17" s="1">
        <v>25</v>
      </c>
      <c r="F17" s="1">
        <f t="shared" si="4"/>
        <v>10900</v>
      </c>
      <c r="G17" s="1">
        <f t="shared" si="1"/>
        <v>1760.9046849757672</v>
      </c>
      <c r="H17" s="3">
        <v>2695</v>
      </c>
      <c r="I17" s="37">
        <f t="shared" si="2"/>
        <v>4745638.1260096924</v>
      </c>
      <c r="J17" s="29">
        <v>17000</v>
      </c>
      <c r="K17" s="29">
        <f t="shared" si="3"/>
        <v>7412000</v>
      </c>
      <c r="L17" s="29">
        <f t="shared" si="5"/>
        <v>2666361.8739903076</v>
      </c>
    </row>
    <row r="18" spans="1:12" x14ac:dyDescent="0.2">
      <c r="A18" s="2" t="s">
        <v>232</v>
      </c>
      <c r="B18" s="1" t="s">
        <v>7</v>
      </c>
      <c r="C18" s="1">
        <v>6.19</v>
      </c>
      <c r="D18" s="1">
        <v>200</v>
      </c>
      <c r="E18" s="1">
        <v>23</v>
      </c>
      <c r="F18" s="1">
        <f t="shared" si="4"/>
        <v>4600</v>
      </c>
      <c r="G18" s="1">
        <f t="shared" si="1"/>
        <v>743.13408723747978</v>
      </c>
      <c r="H18" s="3">
        <v>2695</v>
      </c>
      <c r="I18" s="37">
        <f t="shared" si="2"/>
        <v>2002746.3651050078</v>
      </c>
      <c r="J18" s="29">
        <v>18000</v>
      </c>
      <c r="K18" s="29">
        <f t="shared" si="3"/>
        <v>3600000</v>
      </c>
      <c r="L18" s="29">
        <f t="shared" si="5"/>
        <v>1597253.6348949922</v>
      </c>
    </row>
    <row r="19" spans="1:12" x14ac:dyDescent="0.2">
      <c r="A19" s="2" t="s">
        <v>233</v>
      </c>
      <c r="B19" s="1" t="s">
        <v>7</v>
      </c>
      <c r="C19" s="1">
        <v>6.19</v>
      </c>
      <c r="D19" s="1">
        <v>600</v>
      </c>
      <c r="E19" s="1">
        <v>22</v>
      </c>
      <c r="F19" s="1">
        <f t="shared" si="4"/>
        <v>13200</v>
      </c>
      <c r="G19" s="1">
        <f t="shared" si="1"/>
        <v>2132.4717285945071</v>
      </c>
      <c r="H19" s="3">
        <v>2695</v>
      </c>
      <c r="I19" s="37">
        <f t="shared" si="2"/>
        <v>5747011.3085621968</v>
      </c>
      <c r="J19" s="29">
        <v>16000</v>
      </c>
      <c r="K19" s="29">
        <f t="shared" si="3"/>
        <v>9600000</v>
      </c>
      <c r="L19" s="29">
        <f t="shared" si="5"/>
        <v>3852988.6914378032</v>
      </c>
    </row>
    <row r="20" spans="1:12" x14ac:dyDescent="0.2">
      <c r="A20" s="2" t="s">
        <v>234</v>
      </c>
      <c r="B20" s="1" t="s">
        <v>7</v>
      </c>
      <c r="C20" s="1">
        <v>6.19</v>
      </c>
      <c r="D20" s="1">
        <v>300</v>
      </c>
      <c r="E20" s="1">
        <v>22</v>
      </c>
      <c r="F20" s="1">
        <f t="shared" si="4"/>
        <v>6600</v>
      </c>
      <c r="G20" s="1">
        <f t="shared" si="1"/>
        <v>1066.2358642972536</v>
      </c>
      <c r="H20" s="3">
        <v>2695</v>
      </c>
      <c r="I20" s="37">
        <f t="shared" si="2"/>
        <v>2873505.6542810984</v>
      </c>
      <c r="J20" s="29">
        <v>18000</v>
      </c>
      <c r="K20" s="29">
        <f t="shared" si="3"/>
        <v>5400000</v>
      </c>
      <c r="L20" s="29">
        <f t="shared" si="5"/>
        <v>2526494.3457189016</v>
      </c>
    </row>
    <row r="21" spans="1:12" x14ac:dyDescent="0.2">
      <c r="A21" s="2" t="s">
        <v>235</v>
      </c>
      <c r="B21" s="1" t="s">
        <v>7</v>
      </c>
      <c r="C21" s="1">
        <v>6.19</v>
      </c>
      <c r="D21" s="1">
        <v>215</v>
      </c>
      <c r="E21" s="1">
        <v>5</v>
      </c>
      <c r="F21" s="1">
        <f t="shared" si="4"/>
        <v>1075</v>
      </c>
      <c r="G21" s="1">
        <f t="shared" si="1"/>
        <v>173.66720516962843</v>
      </c>
      <c r="H21" s="3">
        <v>2695</v>
      </c>
      <c r="I21" s="37">
        <f t="shared" si="2"/>
        <v>468033.11793214857</v>
      </c>
      <c r="J21" s="29">
        <v>16000</v>
      </c>
      <c r="K21" s="29">
        <f t="shared" si="3"/>
        <v>3440000</v>
      </c>
      <c r="L21" s="29">
        <f t="shared" si="5"/>
        <v>2971966.8820678513</v>
      </c>
    </row>
    <row r="22" spans="1:12" x14ac:dyDescent="0.2">
      <c r="A22" s="2" t="s">
        <v>236</v>
      </c>
      <c r="B22" s="1" t="s">
        <v>7</v>
      </c>
      <c r="C22" s="1">
        <v>6.19</v>
      </c>
      <c r="D22" s="1">
        <v>48</v>
      </c>
      <c r="E22" s="1">
        <v>15</v>
      </c>
      <c r="F22" s="1">
        <f t="shared" si="4"/>
        <v>720</v>
      </c>
      <c r="G22" s="1">
        <f t="shared" si="1"/>
        <v>116.31663974151857</v>
      </c>
      <c r="H22" s="3">
        <v>2695</v>
      </c>
      <c r="I22" s="37">
        <f t="shared" si="2"/>
        <v>313473.34410339256</v>
      </c>
      <c r="J22" s="29">
        <v>16000</v>
      </c>
      <c r="K22" s="29">
        <f t="shared" si="3"/>
        <v>768000</v>
      </c>
      <c r="L22" s="29">
        <f t="shared" si="5"/>
        <v>454526.65589660744</v>
      </c>
    </row>
    <row r="23" spans="1:12" x14ac:dyDescent="0.2">
      <c r="A23" s="2" t="s">
        <v>237</v>
      </c>
      <c r="B23" s="1" t="s">
        <v>7</v>
      </c>
      <c r="C23" s="1">
        <v>6.19</v>
      </c>
      <c r="D23" s="1">
        <v>68</v>
      </c>
      <c r="E23" s="1">
        <v>16</v>
      </c>
      <c r="F23" s="1">
        <f t="shared" si="4"/>
        <v>1088</v>
      </c>
      <c r="G23" s="1">
        <f t="shared" si="1"/>
        <v>175.76736672051695</v>
      </c>
      <c r="H23" s="3">
        <v>2695</v>
      </c>
      <c r="I23" s="37">
        <f t="shared" si="2"/>
        <v>473693.05331179319</v>
      </c>
      <c r="J23" s="29">
        <v>16000</v>
      </c>
      <c r="K23" s="29">
        <f t="shared" si="3"/>
        <v>1088000</v>
      </c>
      <c r="L23" s="29">
        <f t="shared" si="5"/>
        <v>614306.94668820687</v>
      </c>
    </row>
    <row r="24" spans="1:12" x14ac:dyDescent="0.2">
      <c r="A24" s="2" t="s">
        <v>235</v>
      </c>
      <c r="B24" s="1" t="s">
        <v>7</v>
      </c>
      <c r="C24" s="1">
        <v>6.19</v>
      </c>
      <c r="D24" s="1">
        <v>400</v>
      </c>
      <c r="E24" s="1">
        <v>24</v>
      </c>
      <c r="F24" s="1">
        <f t="shared" si="4"/>
        <v>9600</v>
      </c>
      <c r="G24" s="1">
        <f t="shared" si="1"/>
        <v>1550.8885298869143</v>
      </c>
      <c r="H24" s="3">
        <v>2695</v>
      </c>
      <c r="I24" s="37">
        <f t="shared" si="2"/>
        <v>4179644.5880452339</v>
      </c>
      <c r="J24" s="29">
        <v>16000</v>
      </c>
      <c r="K24" s="29">
        <f t="shared" si="3"/>
        <v>6400000</v>
      </c>
      <c r="L24" s="29">
        <f t="shared" si="5"/>
        <v>2220355.4119547661</v>
      </c>
    </row>
    <row r="25" spans="1:12" x14ac:dyDescent="0.2">
      <c r="A25" s="2" t="s">
        <v>236</v>
      </c>
      <c r="B25" s="1" t="s">
        <v>7</v>
      </c>
      <c r="C25" s="1">
        <v>6.19</v>
      </c>
      <c r="D25" s="1">
        <v>200</v>
      </c>
      <c r="E25" s="1">
        <v>25</v>
      </c>
      <c r="F25" s="1">
        <f t="shared" si="4"/>
        <v>5000</v>
      </c>
      <c r="G25" s="1">
        <f t="shared" si="1"/>
        <v>807.75444264943451</v>
      </c>
      <c r="H25" s="3">
        <v>2695</v>
      </c>
      <c r="I25" s="37">
        <f t="shared" si="2"/>
        <v>2176898.2229402261</v>
      </c>
      <c r="J25" s="29">
        <v>17000</v>
      </c>
      <c r="K25" s="29">
        <f t="shared" si="3"/>
        <v>3400000</v>
      </c>
      <c r="L25" s="29">
        <f t="shared" si="5"/>
        <v>1223101.7770597739</v>
      </c>
    </row>
    <row r="26" spans="1:12" x14ac:dyDescent="0.2">
      <c r="A26" s="2" t="s">
        <v>237</v>
      </c>
      <c r="B26" s="1" t="s">
        <v>7</v>
      </c>
      <c r="C26" s="1">
        <v>6.19</v>
      </c>
      <c r="D26" s="1">
        <v>200</v>
      </c>
      <c r="E26" s="1">
        <v>27</v>
      </c>
      <c r="F26" s="1">
        <f t="shared" si="4"/>
        <v>5400</v>
      </c>
      <c r="G26" s="1">
        <f t="shared" si="1"/>
        <v>872.37479806138924</v>
      </c>
      <c r="H26" s="3">
        <v>2695</v>
      </c>
      <c r="I26" s="37">
        <f t="shared" si="2"/>
        <v>2351050.0807754444</v>
      </c>
      <c r="J26" s="29">
        <v>17000</v>
      </c>
      <c r="K26" s="29">
        <f t="shared" si="3"/>
        <v>3400000</v>
      </c>
      <c r="L26" s="29">
        <f t="shared" si="5"/>
        <v>1048949.9192245556</v>
      </c>
    </row>
    <row r="27" spans="1:12" x14ac:dyDescent="0.2">
      <c r="A27" s="2" t="s">
        <v>238</v>
      </c>
      <c r="B27" s="1" t="s">
        <v>7</v>
      </c>
      <c r="C27" s="1">
        <v>6.19</v>
      </c>
      <c r="D27" s="1">
        <v>200</v>
      </c>
      <c r="E27" s="1">
        <v>25</v>
      </c>
      <c r="F27" s="1">
        <f t="shared" si="4"/>
        <v>5000</v>
      </c>
      <c r="G27" s="1">
        <f t="shared" si="1"/>
        <v>807.75444264943451</v>
      </c>
      <c r="H27" s="3">
        <v>2695</v>
      </c>
      <c r="I27" s="37">
        <f t="shared" si="2"/>
        <v>2176898.2229402261</v>
      </c>
      <c r="J27" s="29">
        <v>17000</v>
      </c>
      <c r="K27" s="29">
        <f t="shared" si="3"/>
        <v>3400000</v>
      </c>
      <c r="L27" s="29">
        <f t="shared" si="5"/>
        <v>1223101.7770597739</v>
      </c>
    </row>
    <row r="28" spans="1:12" x14ac:dyDescent="0.2">
      <c r="A28" s="2" t="s">
        <v>239</v>
      </c>
      <c r="B28" s="1" t="s">
        <v>7</v>
      </c>
      <c r="C28" s="1">
        <v>6.19</v>
      </c>
      <c r="D28" s="1">
        <v>150</v>
      </c>
      <c r="E28" s="1">
        <v>25</v>
      </c>
      <c r="F28" s="1">
        <f t="shared" si="4"/>
        <v>3750</v>
      </c>
      <c r="G28" s="1">
        <f t="shared" si="1"/>
        <v>605.81583198707585</v>
      </c>
      <c r="H28" s="3">
        <v>2695</v>
      </c>
      <c r="I28" s="37">
        <f t="shared" si="2"/>
        <v>1632673.6672051696</v>
      </c>
      <c r="J28" s="29">
        <v>16000</v>
      </c>
      <c r="K28" s="29">
        <f t="shared" si="3"/>
        <v>2400000</v>
      </c>
      <c r="L28" s="29">
        <f t="shared" si="5"/>
        <v>767326.33279483044</v>
      </c>
    </row>
    <row r="29" spans="1:12" x14ac:dyDescent="0.2">
      <c r="A29" s="2" t="s">
        <v>240</v>
      </c>
      <c r="B29" s="1" t="s">
        <v>7</v>
      </c>
      <c r="C29" s="1">
        <v>6.19</v>
      </c>
      <c r="D29" s="1">
        <v>200</v>
      </c>
      <c r="E29" s="1">
        <v>25</v>
      </c>
      <c r="F29" s="1">
        <f t="shared" si="4"/>
        <v>5000</v>
      </c>
      <c r="G29" s="1">
        <f t="shared" si="1"/>
        <v>807.75444264943451</v>
      </c>
      <c r="H29" s="3">
        <v>2695</v>
      </c>
      <c r="I29" s="37">
        <f t="shared" si="2"/>
        <v>2176898.2229402261</v>
      </c>
      <c r="J29" s="29">
        <v>16000</v>
      </c>
      <c r="K29" s="29">
        <f t="shared" si="3"/>
        <v>3200000</v>
      </c>
      <c r="L29" s="29">
        <f t="shared" si="5"/>
        <v>1023101.7770597739</v>
      </c>
    </row>
    <row r="30" spans="1:12" x14ac:dyDescent="0.2">
      <c r="A30" s="2" t="s">
        <v>241</v>
      </c>
      <c r="B30" s="1" t="s">
        <v>7</v>
      </c>
      <c r="C30" s="1">
        <v>6.19</v>
      </c>
      <c r="D30" s="1">
        <v>200</v>
      </c>
      <c r="E30" s="1">
        <v>26</v>
      </c>
      <c r="F30" s="1">
        <f t="shared" si="4"/>
        <v>5200</v>
      </c>
      <c r="G30" s="1">
        <f t="shared" si="1"/>
        <v>840.06462035541188</v>
      </c>
      <c r="H30" s="3">
        <v>2695</v>
      </c>
      <c r="I30" s="37">
        <f t="shared" si="2"/>
        <v>2263974.1518578352</v>
      </c>
      <c r="J30" s="29">
        <v>17000</v>
      </c>
      <c r="K30" s="29">
        <f t="shared" si="3"/>
        <v>3400000</v>
      </c>
      <c r="L30" s="29">
        <f t="shared" si="5"/>
        <v>1136025.8481421648</v>
      </c>
    </row>
    <row r="31" spans="1:12" x14ac:dyDescent="0.2">
      <c r="A31" s="2" t="s">
        <v>240</v>
      </c>
      <c r="B31" s="1" t="s">
        <v>23</v>
      </c>
      <c r="C31" s="1">
        <v>6.19</v>
      </c>
      <c r="D31" s="1">
        <v>900</v>
      </c>
      <c r="E31" s="1">
        <v>22.5</v>
      </c>
      <c r="F31" s="1">
        <f t="shared" si="4"/>
        <v>20250</v>
      </c>
      <c r="G31" s="1">
        <f t="shared" si="1"/>
        <v>3271.40549273021</v>
      </c>
      <c r="H31" s="3">
        <v>2695</v>
      </c>
      <c r="I31" s="37">
        <f t="shared" si="2"/>
        <v>8816437.8029079158</v>
      </c>
      <c r="J31" s="29">
        <v>15000</v>
      </c>
      <c r="K31" s="29">
        <f t="shared" si="3"/>
        <v>13500000</v>
      </c>
      <c r="L31" s="29">
        <f t="shared" si="5"/>
        <v>4683562.1970920842</v>
      </c>
    </row>
    <row r="32" spans="1:12" x14ac:dyDescent="0.2">
      <c r="A32" s="2" t="s">
        <v>241</v>
      </c>
      <c r="B32" s="1" t="s">
        <v>161</v>
      </c>
      <c r="C32" s="1">
        <v>6.19</v>
      </c>
      <c r="D32" s="1">
        <v>720</v>
      </c>
      <c r="E32" s="1">
        <v>24</v>
      </c>
      <c r="F32" s="1">
        <f t="shared" si="4"/>
        <v>17280</v>
      </c>
      <c r="G32" s="1">
        <f t="shared" si="1"/>
        <v>2791.5993537964455</v>
      </c>
      <c r="H32" s="3">
        <v>2695</v>
      </c>
      <c r="I32" s="37">
        <f t="shared" si="2"/>
        <v>7523360.2584814206</v>
      </c>
      <c r="J32" s="29">
        <v>18000</v>
      </c>
      <c r="K32" s="29">
        <f t="shared" si="3"/>
        <v>12960000</v>
      </c>
      <c r="L32" s="29">
        <f t="shared" si="5"/>
        <v>5436639.7415185794</v>
      </c>
    </row>
    <row r="33" spans="1:12" x14ac:dyDescent="0.2">
      <c r="A33" s="2" t="s">
        <v>242</v>
      </c>
      <c r="B33" s="1" t="s">
        <v>7</v>
      </c>
      <c r="C33" s="1">
        <v>6.19</v>
      </c>
      <c r="D33" s="1">
        <v>200</v>
      </c>
      <c r="E33" s="1">
        <v>19</v>
      </c>
      <c r="F33" s="1">
        <f t="shared" si="4"/>
        <v>3800</v>
      </c>
      <c r="G33" s="1">
        <f t="shared" si="1"/>
        <v>613.89337641357019</v>
      </c>
      <c r="H33" s="3">
        <v>2695</v>
      </c>
      <c r="I33" s="37">
        <f t="shared" si="2"/>
        <v>1654442.6494345716</v>
      </c>
      <c r="J33" s="29">
        <v>17000</v>
      </c>
      <c r="K33" s="29">
        <f t="shared" si="3"/>
        <v>3400000</v>
      </c>
      <c r="L33" s="29">
        <f t="shared" si="5"/>
        <v>1745557.3505654284</v>
      </c>
    </row>
    <row r="34" spans="1:12" x14ac:dyDescent="0.2">
      <c r="A34" s="2" t="s">
        <v>243</v>
      </c>
      <c r="B34" s="1" t="s">
        <v>7</v>
      </c>
      <c r="C34" s="1">
        <v>6.19</v>
      </c>
      <c r="D34" s="1">
        <v>160</v>
      </c>
      <c r="E34" s="1">
        <v>25</v>
      </c>
      <c r="F34" s="1">
        <f t="shared" si="4"/>
        <v>4000</v>
      </c>
      <c r="G34" s="1">
        <f t="shared" si="1"/>
        <v>646.20355411954756</v>
      </c>
      <c r="H34" s="3">
        <v>2695</v>
      </c>
      <c r="I34" s="37">
        <f t="shared" si="2"/>
        <v>1741518.5783521808</v>
      </c>
      <c r="J34" s="29">
        <v>16000</v>
      </c>
      <c r="K34" s="29">
        <f t="shared" si="3"/>
        <v>2560000</v>
      </c>
      <c r="L34" s="29">
        <f t="shared" si="5"/>
        <v>818481.42164781922</v>
      </c>
    </row>
    <row r="35" spans="1:12" x14ac:dyDescent="0.2">
      <c r="D35" s="54">
        <f>SUM(D3:D31)</f>
        <v>7770</v>
      </c>
      <c r="F35" s="52">
        <f>SUM(F3:F34)</f>
        <v>210390</v>
      </c>
      <c r="G35" s="51">
        <f>SUM(G3:G34)</f>
        <v>33988.691437802911</v>
      </c>
      <c r="I35" s="49">
        <f>SUM(I3:I34)</f>
        <v>91599523.424878836</v>
      </c>
      <c r="K35" s="50">
        <f>SUM(K3:K34)</f>
        <v>150406000</v>
      </c>
      <c r="L35" s="48">
        <f>SUM(L3:L34)</f>
        <v>58806476.575121149</v>
      </c>
    </row>
    <row r="41" spans="1:12" x14ac:dyDescent="0.2">
      <c r="G41" s="53" t="s">
        <v>209</v>
      </c>
      <c r="H41" s="3" t="s">
        <v>25</v>
      </c>
      <c r="I41" s="15">
        <v>91599523</v>
      </c>
    </row>
    <row r="42" spans="1:12" x14ac:dyDescent="0.2">
      <c r="G42" s="53" t="s">
        <v>244</v>
      </c>
      <c r="H42" s="3" t="s">
        <v>27</v>
      </c>
      <c r="I42" s="9">
        <v>5000000</v>
      </c>
    </row>
    <row r="43" spans="1:12" x14ac:dyDescent="0.2">
      <c r="H43" s="3" t="s">
        <v>26</v>
      </c>
      <c r="I43" s="3">
        <v>3013000</v>
      </c>
    </row>
    <row r="44" spans="1:12" x14ac:dyDescent="0.2">
      <c r="H44" s="3" t="s">
        <v>33</v>
      </c>
      <c r="I44" s="3">
        <v>500000</v>
      </c>
    </row>
    <row r="45" spans="1:12" x14ac:dyDescent="0.2">
      <c r="H45" s="3" t="s">
        <v>31</v>
      </c>
      <c r="I45" s="3">
        <v>5500000</v>
      </c>
    </row>
    <row r="46" spans="1:12" x14ac:dyDescent="0.2">
      <c r="H46" s="3" t="s">
        <v>36</v>
      </c>
      <c r="I46" s="3">
        <v>4000000</v>
      </c>
    </row>
    <row r="47" spans="1:12" x14ac:dyDescent="0.2">
      <c r="H47" s="3" t="s">
        <v>29</v>
      </c>
      <c r="I47" s="23">
        <v>9600000</v>
      </c>
    </row>
    <row r="48" spans="1:12" x14ac:dyDescent="0.2">
      <c r="H48" s="3" t="s">
        <v>34</v>
      </c>
      <c r="I48" s="26">
        <f>SUM(I41:I47)</f>
        <v>119212523</v>
      </c>
    </row>
    <row r="49" spans="8:9" x14ac:dyDescent="0.2">
      <c r="H49" s="3" t="s">
        <v>6</v>
      </c>
      <c r="I49" s="55">
        <v>150406000</v>
      </c>
    </row>
    <row r="50" spans="8:9" ht="18" x14ac:dyDescent="0.35">
      <c r="H50" s="3" t="s">
        <v>35</v>
      </c>
      <c r="I50" s="21">
        <f>I49-I48</f>
        <v>31193477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52"/>
  <sheetViews>
    <sheetView workbookViewId="0"/>
  </sheetViews>
  <sheetFormatPr baseColWidth="10" defaultColWidth="9.1640625" defaultRowHeight="15" x14ac:dyDescent="0.2"/>
  <cols>
    <col min="2" max="2" width="13" customWidth="1"/>
    <col min="5" max="5" width="9.83203125" customWidth="1"/>
    <col min="6" max="6" width="14.83203125" customWidth="1"/>
    <col min="7" max="7" width="11.83203125" customWidth="1"/>
    <col min="8" max="8" width="14.33203125" customWidth="1"/>
    <col min="9" max="9" width="15.1640625" customWidth="1"/>
    <col min="10" max="10" width="14.6640625" customWidth="1"/>
    <col min="11" max="11" width="12.6640625" customWidth="1"/>
    <col min="12" max="12" width="13.1640625" customWidth="1"/>
  </cols>
  <sheetData>
    <row r="1" spans="1:12" ht="31" x14ac:dyDescent="0.35">
      <c r="A1" s="56" t="s">
        <v>212</v>
      </c>
      <c r="B1" s="56"/>
      <c r="C1" s="56"/>
      <c r="D1" s="56"/>
      <c r="E1" s="57"/>
      <c r="F1" s="57"/>
      <c r="G1" s="57"/>
      <c r="H1" s="57"/>
      <c r="I1" s="57"/>
      <c r="J1" s="57"/>
      <c r="K1" s="57"/>
      <c r="L1" s="57" t="s">
        <v>860</v>
      </c>
    </row>
    <row r="2" spans="1:12" x14ac:dyDescent="0.2">
      <c r="A2" s="58" t="s">
        <v>0</v>
      </c>
      <c r="B2" s="58" t="s">
        <v>1</v>
      </c>
      <c r="C2" s="58" t="s">
        <v>2</v>
      </c>
      <c r="D2" s="58" t="s">
        <v>3</v>
      </c>
      <c r="E2" s="58" t="s">
        <v>11</v>
      </c>
      <c r="F2" s="59" t="s">
        <v>8</v>
      </c>
      <c r="G2" s="58" t="s">
        <v>77</v>
      </c>
      <c r="H2" s="59" t="s">
        <v>41</v>
      </c>
      <c r="I2" s="59" t="s">
        <v>9</v>
      </c>
      <c r="J2" s="59" t="s">
        <v>10</v>
      </c>
      <c r="K2" s="59" t="s">
        <v>6</v>
      </c>
      <c r="L2" s="59" t="s">
        <v>12</v>
      </c>
    </row>
    <row r="3" spans="1:12" x14ac:dyDescent="0.2">
      <c r="A3" s="2" t="s">
        <v>213</v>
      </c>
      <c r="B3" s="1" t="s">
        <v>214</v>
      </c>
      <c r="C3" s="1">
        <v>6.2</v>
      </c>
      <c r="D3" s="1">
        <v>200</v>
      </c>
      <c r="E3" s="1">
        <v>15</v>
      </c>
      <c r="F3" s="44">
        <f t="shared" ref="F3" si="0">D3*E3</f>
        <v>3000</v>
      </c>
      <c r="G3" s="5">
        <f t="shared" ref="G3:G37" si="1">F3/C3</f>
        <v>483.87096774193549</v>
      </c>
      <c r="H3" s="3">
        <v>2680</v>
      </c>
      <c r="I3" s="3">
        <f t="shared" ref="I3:I34" si="2">E3/C3*H3*D3</f>
        <v>1296774.1935483871</v>
      </c>
      <c r="J3" s="3">
        <v>15000</v>
      </c>
      <c r="K3" s="44">
        <f t="shared" ref="K3:K37" si="3">J3*D3</f>
        <v>3000000</v>
      </c>
      <c r="L3" s="3">
        <f>K3-I3</f>
        <v>1703225.8064516129</v>
      </c>
    </row>
    <row r="4" spans="1:12" x14ac:dyDescent="0.2">
      <c r="A4" s="2" t="s">
        <v>213</v>
      </c>
      <c r="B4" s="1" t="s">
        <v>21</v>
      </c>
      <c r="C4" s="1">
        <v>6.2</v>
      </c>
      <c r="D4" s="1">
        <v>170</v>
      </c>
      <c r="E4" s="1">
        <v>28.6</v>
      </c>
      <c r="F4" s="1">
        <f>D4*E4</f>
        <v>4862</v>
      </c>
      <c r="G4" s="1">
        <f t="shared" si="1"/>
        <v>784.19354838709671</v>
      </c>
      <c r="H4" s="3">
        <v>2680</v>
      </c>
      <c r="I4" s="37">
        <f t="shared" si="2"/>
        <v>2101638.7096774196</v>
      </c>
      <c r="J4" s="3">
        <v>20000</v>
      </c>
      <c r="K4" s="44">
        <f t="shared" si="3"/>
        <v>3400000</v>
      </c>
      <c r="L4" s="3">
        <f>K4-I4</f>
        <v>1298361.2903225804</v>
      </c>
    </row>
    <row r="5" spans="1:12" x14ac:dyDescent="0.2">
      <c r="A5" s="2" t="s">
        <v>213</v>
      </c>
      <c r="B5" s="1" t="s">
        <v>7</v>
      </c>
      <c r="C5" s="1">
        <v>6.2</v>
      </c>
      <c r="D5" s="1">
        <v>150</v>
      </c>
      <c r="E5" s="1">
        <v>22</v>
      </c>
      <c r="F5" s="1">
        <f t="shared" ref="F5:F37" si="4">D5*E5</f>
        <v>3300</v>
      </c>
      <c r="G5" s="1">
        <f t="shared" si="1"/>
        <v>532.25806451612902</v>
      </c>
      <c r="H5" s="3">
        <v>2680</v>
      </c>
      <c r="I5" s="37">
        <f t="shared" si="2"/>
        <v>1426451.6129032259</v>
      </c>
      <c r="J5" s="3">
        <v>16000</v>
      </c>
      <c r="K5" s="44">
        <f t="shared" si="3"/>
        <v>2400000</v>
      </c>
      <c r="L5" s="3">
        <f t="shared" ref="L5:L36" si="5">K5-I5</f>
        <v>973548.38709677407</v>
      </c>
    </row>
    <row r="6" spans="1:12" x14ac:dyDescent="0.2">
      <c r="A6" s="2" t="s">
        <v>213</v>
      </c>
      <c r="B6" s="1" t="s">
        <v>7</v>
      </c>
      <c r="C6" s="1">
        <v>6.2</v>
      </c>
      <c r="D6" s="1">
        <v>200</v>
      </c>
      <c r="E6" s="1">
        <v>26</v>
      </c>
      <c r="F6" s="1">
        <f t="shared" si="4"/>
        <v>5200</v>
      </c>
      <c r="G6" s="1">
        <f t="shared" si="1"/>
        <v>838.70967741935476</v>
      </c>
      <c r="H6" s="3">
        <v>2680</v>
      </c>
      <c r="I6" s="37">
        <f t="shared" si="2"/>
        <v>2247741.935483871</v>
      </c>
      <c r="J6" s="3">
        <v>17000</v>
      </c>
      <c r="K6" s="44">
        <f t="shared" si="3"/>
        <v>3400000</v>
      </c>
      <c r="L6" s="37">
        <f t="shared" si="5"/>
        <v>1152258.064516129</v>
      </c>
    </row>
    <row r="7" spans="1:12" x14ac:dyDescent="0.2">
      <c r="A7" s="2" t="s">
        <v>213</v>
      </c>
      <c r="B7" s="1" t="s">
        <v>7</v>
      </c>
      <c r="C7" s="1">
        <v>6.2</v>
      </c>
      <c r="D7" s="1">
        <v>665</v>
      </c>
      <c r="E7" s="1">
        <v>25</v>
      </c>
      <c r="F7" s="1">
        <f t="shared" si="4"/>
        <v>16625</v>
      </c>
      <c r="G7" s="1">
        <f t="shared" si="1"/>
        <v>2681.4516129032259</v>
      </c>
      <c r="H7" s="3">
        <v>2680</v>
      </c>
      <c r="I7" s="37">
        <f t="shared" si="2"/>
        <v>7186290.3225806449</v>
      </c>
      <c r="J7" s="29">
        <v>16000</v>
      </c>
      <c r="K7" s="64">
        <f t="shared" si="3"/>
        <v>10640000</v>
      </c>
      <c r="L7" s="29">
        <f t="shared" si="5"/>
        <v>3453709.6774193551</v>
      </c>
    </row>
    <row r="8" spans="1:12" x14ac:dyDescent="0.2">
      <c r="A8" s="2" t="s">
        <v>213</v>
      </c>
      <c r="B8" s="1" t="s">
        <v>7</v>
      </c>
      <c r="C8" s="1">
        <v>6.2</v>
      </c>
      <c r="D8" s="1">
        <v>160</v>
      </c>
      <c r="E8" s="1">
        <v>26</v>
      </c>
      <c r="F8" s="1">
        <f t="shared" si="4"/>
        <v>4160</v>
      </c>
      <c r="G8" s="1">
        <f t="shared" si="1"/>
        <v>670.9677419354839</v>
      </c>
      <c r="H8" s="3">
        <v>2680</v>
      </c>
      <c r="I8" s="37">
        <f t="shared" si="2"/>
        <v>1798193.5483870967</v>
      </c>
      <c r="J8" s="29">
        <v>17000</v>
      </c>
      <c r="K8" s="64">
        <f t="shared" si="3"/>
        <v>2720000</v>
      </c>
      <c r="L8" s="29">
        <f t="shared" si="5"/>
        <v>921806.45161290327</v>
      </c>
    </row>
    <row r="9" spans="1:12" x14ac:dyDescent="0.2">
      <c r="A9" s="2" t="s">
        <v>213</v>
      </c>
      <c r="B9" s="1" t="s">
        <v>7</v>
      </c>
      <c r="C9" s="1">
        <v>6.2</v>
      </c>
      <c r="D9" s="1">
        <v>200</v>
      </c>
      <c r="E9" s="1">
        <v>23</v>
      </c>
      <c r="F9" s="1">
        <f t="shared" si="4"/>
        <v>4600</v>
      </c>
      <c r="G9" s="1">
        <f t="shared" si="1"/>
        <v>741.93548387096769</v>
      </c>
      <c r="H9" s="3">
        <v>2680</v>
      </c>
      <c r="I9" s="37">
        <f t="shared" si="2"/>
        <v>1988387.0967741935</v>
      </c>
      <c r="J9" s="29">
        <v>16000</v>
      </c>
      <c r="K9" s="64">
        <f t="shared" si="3"/>
        <v>3200000</v>
      </c>
      <c r="L9" s="29">
        <f t="shared" si="5"/>
        <v>1211612.9032258065</v>
      </c>
    </row>
    <row r="10" spans="1:12" x14ac:dyDescent="0.2">
      <c r="A10" s="2" t="s">
        <v>213</v>
      </c>
      <c r="B10" s="1" t="s">
        <v>7</v>
      </c>
      <c r="C10" s="1">
        <v>6.2</v>
      </c>
      <c r="D10" s="1">
        <v>900</v>
      </c>
      <c r="E10" s="1">
        <v>26</v>
      </c>
      <c r="F10" s="1">
        <f t="shared" si="4"/>
        <v>23400</v>
      </c>
      <c r="G10" s="1">
        <f t="shared" si="1"/>
        <v>3774.1935483870966</v>
      </c>
      <c r="H10" s="3">
        <v>2680</v>
      </c>
      <c r="I10" s="37">
        <f t="shared" si="2"/>
        <v>10114838.709677419</v>
      </c>
      <c r="J10" s="29">
        <v>17000</v>
      </c>
      <c r="K10" s="64">
        <f t="shared" si="3"/>
        <v>15300000</v>
      </c>
      <c r="L10" s="29">
        <f t="shared" si="5"/>
        <v>5185161.2903225813</v>
      </c>
    </row>
    <row r="11" spans="1:12" x14ac:dyDescent="0.2">
      <c r="A11" s="2" t="s">
        <v>213</v>
      </c>
      <c r="B11" s="1" t="s">
        <v>7</v>
      </c>
      <c r="C11" s="1">
        <v>6.2</v>
      </c>
      <c r="D11" s="1">
        <v>200</v>
      </c>
      <c r="E11" s="1">
        <v>24</v>
      </c>
      <c r="F11" s="1">
        <f t="shared" si="4"/>
        <v>4800</v>
      </c>
      <c r="G11" s="1">
        <f t="shared" si="1"/>
        <v>774.19354838709671</v>
      </c>
      <c r="H11" s="3">
        <v>2680</v>
      </c>
      <c r="I11" s="37">
        <f t="shared" si="2"/>
        <v>2074838.7096774194</v>
      </c>
      <c r="J11" s="29">
        <v>16000</v>
      </c>
      <c r="K11" s="64">
        <f t="shared" si="3"/>
        <v>3200000</v>
      </c>
      <c r="L11" s="29">
        <f t="shared" si="5"/>
        <v>1125161.2903225806</v>
      </c>
    </row>
    <row r="12" spans="1:12" x14ac:dyDescent="0.2">
      <c r="A12" s="2" t="s">
        <v>213</v>
      </c>
      <c r="B12" s="1" t="s">
        <v>7</v>
      </c>
      <c r="C12" s="1">
        <v>6.2</v>
      </c>
      <c r="D12" s="1">
        <v>400</v>
      </c>
      <c r="E12" s="1">
        <v>27</v>
      </c>
      <c r="F12" s="1">
        <f t="shared" si="4"/>
        <v>10800</v>
      </c>
      <c r="G12" s="1">
        <f t="shared" si="1"/>
        <v>1741.9354838709678</v>
      </c>
      <c r="H12" s="3">
        <v>2680</v>
      </c>
      <c r="I12" s="37">
        <f t="shared" si="2"/>
        <v>4668387.0967741935</v>
      </c>
      <c r="J12" s="29">
        <v>17000</v>
      </c>
      <c r="K12" s="64">
        <f t="shared" si="3"/>
        <v>6800000</v>
      </c>
      <c r="L12" s="29">
        <f t="shared" si="5"/>
        <v>2131612.9032258065</v>
      </c>
    </row>
    <row r="13" spans="1:12" x14ac:dyDescent="0.2">
      <c r="A13" s="2" t="s">
        <v>213</v>
      </c>
      <c r="B13" s="1" t="s">
        <v>7</v>
      </c>
      <c r="C13" s="1">
        <v>6.2</v>
      </c>
      <c r="D13" s="1">
        <v>100</v>
      </c>
      <c r="E13" s="1">
        <v>25</v>
      </c>
      <c r="F13" s="1">
        <f t="shared" si="4"/>
        <v>2500</v>
      </c>
      <c r="G13" s="1">
        <f t="shared" si="1"/>
        <v>403.22580645161287</v>
      </c>
      <c r="H13" s="3">
        <v>2680</v>
      </c>
      <c r="I13" s="37">
        <f t="shared" si="2"/>
        <v>1080645.1612903224</v>
      </c>
      <c r="J13" s="29">
        <v>16000</v>
      </c>
      <c r="K13" s="64">
        <f t="shared" si="3"/>
        <v>1600000</v>
      </c>
      <c r="L13" s="29">
        <f t="shared" si="5"/>
        <v>519354.83870967757</v>
      </c>
    </row>
    <row r="14" spans="1:12" x14ac:dyDescent="0.2">
      <c r="A14" s="2" t="s">
        <v>213</v>
      </c>
      <c r="B14" s="1" t="s">
        <v>215</v>
      </c>
      <c r="C14" s="1">
        <v>6.2</v>
      </c>
      <c r="D14" s="1">
        <v>198</v>
      </c>
      <c r="E14" s="1">
        <v>16</v>
      </c>
      <c r="F14" s="1">
        <f t="shared" si="4"/>
        <v>3168</v>
      </c>
      <c r="G14" s="1">
        <f t="shared" si="1"/>
        <v>510.96774193548384</v>
      </c>
      <c r="H14" s="3">
        <v>2680</v>
      </c>
      <c r="I14" s="37">
        <f t="shared" si="2"/>
        <v>1369393.5483870967</v>
      </c>
      <c r="J14" s="29">
        <v>15000</v>
      </c>
      <c r="K14" s="64">
        <f t="shared" si="3"/>
        <v>2970000</v>
      </c>
      <c r="L14" s="29">
        <f t="shared" si="5"/>
        <v>1600606.4516129033</v>
      </c>
    </row>
    <row r="15" spans="1:12" x14ac:dyDescent="0.2">
      <c r="A15" s="2" t="s">
        <v>213</v>
      </c>
      <c r="B15" s="1" t="s">
        <v>7</v>
      </c>
      <c r="C15" s="1">
        <v>6.2</v>
      </c>
      <c r="D15" s="1">
        <v>700</v>
      </c>
      <c r="E15" s="1">
        <v>23</v>
      </c>
      <c r="F15" s="1">
        <f t="shared" si="4"/>
        <v>16100</v>
      </c>
      <c r="G15" s="1">
        <f t="shared" si="1"/>
        <v>2596.7741935483868</v>
      </c>
      <c r="H15" s="3">
        <v>2680</v>
      </c>
      <c r="I15" s="37">
        <f t="shared" si="2"/>
        <v>6959354.8387096776</v>
      </c>
      <c r="J15" s="29">
        <v>16000</v>
      </c>
      <c r="K15" s="64">
        <f t="shared" si="3"/>
        <v>11200000</v>
      </c>
      <c r="L15" s="29">
        <f t="shared" si="5"/>
        <v>4240645.1612903224</v>
      </c>
    </row>
    <row r="16" spans="1:12" x14ac:dyDescent="0.2">
      <c r="A16" s="2" t="s">
        <v>213</v>
      </c>
      <c r="B16" s="1" t="s">
        <v>7</v>
      </c>
      <c r="C16" s="1">
        <v>6.2</v>
      </c>
      <c r="D16" s="1">
        <v>200</v>
      </c>
      <c r="E16" s="1">
        <v>25</v>
      </c>
      <c r="F16" s="1">
        <f t="shared" si="4"/>
        <v>5000</v>
      </c>
      <c r="G16" s="1">
        <f t="shared" si="1"/>
        <v>806.45161290322574</v>
      </c>
      <c r="H16" s="3">
        <v>2680</v>
      </c>
      <c r="I16" s="37">
        <f t="shared" si="2"/>
        <v>2161290.3225806449</v>
      </c>
      <c r="J16" s="29">
        <v>16000</v>
      </c>
      <c r="K16" s="64">
        <f t="shared" si="3"/>
        <v>3200000</v>
      </c>
      <c r="L16" s="29">
        <f t="shared" si="5"/>
        <v>1038709.6774193551</v>
      </c>
    </row>
    <row r="17" spans="1:12" x14ac:dyDescent="0.2">
      <c r="A17" s="2" t="s">
        <v>213</v>
      </c>
      <c r="B17" s="1" t="s">
        <v>7</v>
      </c>
      <c r="C17" s="1">
        <v>6.2</v>
      </c>
      <c r="D17" s="1">
        <v>400</v>
      </c>
      <c r="E17" s="1">
        <v>23.5</v>
      </c>
      <c r="F17" s="1">
        <f t="shared" si="4"/>
        <v>9400</v>
      </c>
      <c r="G17" s="1">
        <f t="shared" si="1"/>
        <v>1516.1290322580644</v>
      </c>
      <c r="H17" s="3">
        <v>2680</v>
      </c>
      <c r="I17" s="37">
        <f t="shared" si="2"/>
        <v>4063225.8064516131</v>
      </c>
      <c r="J17" s="29">
        <v>16000</v>
      </c>
      <c r="K17" s="64">
        <f t="shared" si="3"/>
        <v>6400000</v>
      </c>
      <c r="L17" s="29">
        <f t="shared" si="5"/>
        <v>2336774.1935483869</v>
      </c>
    </row>
    <row r="18" spans="1:12" x14ac:dyDescent="0.2">
      <c r="A18" s="2" t="s">
        <v>213</v>
      </c>
      <c r="B18" s="1" t="s">
        <v>7</v>
      </c>
      <c r="C18" s="1">
        <v>6.2</v>
      </c>
      <c r="D18" s="1">
        <v>200</v>
      </c>
      <c r="E18" s="1">
        <v>22.5</v>
      </c>
      <c r="F18" s="1">
        <f t="shared" si="4"/>
        <v>4500</v>
      </c>
      <c r="G18" s="1">
        <f t="shared" si="1"/>
        <v>725.80645161290317</v>
      </c>
      <c r="H18" s="3">
        <v>2680</v>
      </c>
      <c r="I18" s="37">
        <f t="shared" si="2"/>
        <v>1945161.2903225806</v>
      </c>
      <c r="J18" s="29">
        <v>16000</v>
      </c>
      <c r="K18" s="64">
        <f t="shared" si="3"/>
        <v>3200000</v>
      </c>
      <c r="L18" s="29">
        <f t="shared" si="5"/>
        <v>1254838.7096774194</v>
      </c>
    </row>
    <row r="19" spans="1:12" x14ac:dyDescent="0.2">
      <c r="A19" s="2" t="s">
        <v>213</v>
      </c>
      <c r="B19" s="1" t="s">
        <v>15</v>
      </c>
      <c r="C19" s="1">
        <v>6.2</v>
      </c>
      <c r="D19" s="1">
        <v>150</v>
      </c>
      <c r="E19" s="1">
        <v>21</v>
      </c>
      <c r="F19" s="1">
        <f t="shared" si="4"/>
        <v>3150</v>
      </c>
      <c r="G19" s="1">
        <f t="shared" si="1"/>
        <v>508.06451612903226</v>
      </c>
      <c r="H19" s="3">
        <v>2680</v>
      </c>
      <c r="I19" s="37">
        <f t="shared" si="2"/>
        <v>1361612.9032258065</v>
      </c>
      <c r="J19" s="29">
        <v>15000</v>
      </c>
      <c r="K19" s="64">
        <f t="shared" si="3"/>
        <v>2250000</v>
      </c>
      <c r="L19" s="29">
        <f t="shared" si="5"/>
        <v>888387.09677419346</v>
      </c>
    </row>
    <row r="20" spans="1:12" x14ac:dyDescent="0.2">
      <c r="A20" s="2" t="s">
        <v>213</v>
      </c>
      <c r="B20" s="1" t="s">
        <v>15</v>
      </c>
      <c r="C20" s="1">
        <v>6.2</v>
      </c>
      <c r="D20" s="1">
        <v>200</v>
      </c>
      <c r="E20" s="1">
        <v>21</v>
      </c>
      <c r="F20" s="1">
        <f t="shared" si="4"/>
        <v>4200</v>
      </c>
      <c r="G20" s="1">
        <f t="shared" si="1"/>
        <v>677.41935483870964</v>
      </c>
      <c r="H20" s="3">
        <v>2680</v>
      </c>
      <c r="I20" s="37">
        <f t="shared" si="2"/>
        <v>1815483.8709677421</v>
      </c>
      <c r="J20" s="29">
        <v>15000</v>
      </c>
      <c r="K20" s="64">
        <f t="shared" si="3"/>
        <v>3000000</v>
      </c>
      <c r="L20" s="29">
        <f t="shared" si="5"/>
        <v>1184516.1290322579</v>
      </c>
    </row>
    <row r="21" spans="1:12" x14ac:dyDescent="0.2">
      <c r="A21" s="2" t="s">
        <v>213</v>
      </c>
      <c r="B21" s="1" t="s">
        <v>7</v>
      </c>
      <c r="C21" s="1">
        <v>6.2</v>
      </c>
      <c r="D21" s="1">
        <v>200</v>
      </c>
      <c r="E21" s="1">
        <v>23</v>
      </c>
      <c r="F21" s="1">
        <f t="shared" si="4"/>
        <v>4600</v>
      </c>
      <c r="G21" s="1">
        <f t="shared" si="1"/>
        <v>741.93548387096769</v>
      </c>
      <c r="H21" s="3">
        <v>2680</v>
      </c>
      <c r="I21" s="37">
        <f t="shared" si="2"/>
        <v>1988387.0967741935</v>
      </c>
      <c r="J21" s="29">
        <v>15000</v>
      </c>
      <c r="K21" s="64">
        <f t="shared" si="3"/>
        <v>3000000</v>
      </c>
      <c r="L21" s="29">
        <f t="shared" si="5"/>
        <v>1011612.9032258065</v>
      </c>
    </row>
    <row r="22" spans="1:12" x14ac:dyDescent="0.2">
      <c r="A22" s="2" t="s">
        <v>213</v>
      </c>
      <c r="B22" s="1" t="s">
        <v>7</v>
      </c>
      <c r="C22" s="1">
        <v>6.2</v>
      </c>
      <c r="D22" s="1">
        <v>402</v>
      </c>
      <c r="E22" s="1">
        <v>11.5</v>
      </c>
      <c r="F22" s="1">
        <f t="shared" si="4"/>
        <v>4623</v>
      </c>
      <c r="G22" s="1">
        <f t="shared" si="1"/>
        <v>745.64516129032256</v>
      </c>
      <c r="H22" s="3">
        <v>2680</v>
      </c>
      <c r="I22" s="37">
        <f t="shared" si="2"/>
        <v>1998329.0322580645</v>
      </c>
      <c r="J22" s="29">
        <v>16000</v>
      </c>
      <c r="K22" s="64">
        <f t="shared" si="3"/>
        <v>6432000</v>
      </c>
      <c r="L22" s="29">
        <f t="shared" si="5"/>
        <v>4433670.9677419355</v>
      </c>
    </row>
    <row r="23" spans="1:12" x14ac:dyDescent="0.2">
      <c r="A23" s="2" t="s">
        <v>213</v>
      </c>
      <c r="B23" s="1" t="s">
        <v>205</v>
      </c>
      <c r="C23" s="1">
        <v>6.2</v>
      </c>
      <c r="D23" s="1">
        <v>300</v>
      </c>
      <c r="E23" s="1">
        <v>40</v>
      </c>
      <c r="F23" s="1">
        <f t="shared" si="4"/>
        <v>12000</v>
      </c>
      <c r="G23" s="1">
        <f t="shared" si="1"/>
        <v>1935.483870967742</v>
      </c>
      <c r="H23" s="3">
        <v>2680</v>
      </c>
      <c r="I23" s="37">
        <f t="shared" si="2"/>
        <v>5187096.7741935477</v>
      </c>
      <c r="J23" s="29">
        <v>25000</v>
      </c>
      <c r="K23" s="64">
        <f t="shared" si="3"/>
        <v>7500000</v>
      </c>
      <c r="L23" s="29">
        <f t="shared" si="5"/>
        <v>2312903.2258064523</v>
      </c>
    </row>
    <row r="24" spans="1:12" x14ac:dyDescent="0.2">
      <c r="A24" s="2" t="s">
        <v>213</v>
      </c>
      <c r="B24" s="1" t="s">
        <v>7</v>
      </c>
      <c r="C24" s="1">
        <v>6.2</v>
      </c>
      <c r="D24" s="1">
        <v>600</v>
      </c>
      <c r="E24" s="1">
        <v>24.5</v>
      </c>
      <c r="F24" s="1">
        <f t="shared" si="4"/>
        <v>14700</v>
      </c>
      <c r="G24" s="1">
        <f t="shared" si="1"/>
        <v>2370.9677419354839</v>
      </c>
      <c r="H24" s="3">
        <v>2680</v>
      </c>
      <c r="I24" s="37">
        <f t="shared" si="2"/>
        <v>6354193.5483870963</v>
      </c>
      <c r="J24" s="29">
        <v>16000</v>
      </c>
      <c r="K24" s="64">
        <f t="shared" si="3"/>
        <v>9600000</v>
      </c>
      <c r="L24" s="29">
        <f t="shared" si="5"/>
        <v>3245806.4516129037</v>
      </c>
    </row>
    <row r="25" spans="1:12" x14ac:dyDescent="0.2">
      <c r="A25" s="2" t="s">
        <v>213</v>
      </c>
      <c r="B25" s="1" t="s">
        <v>7</v>
      </c>
      <c r="C25" s="1">
        <v>6.2</v>
      </c>
      <c r="D25" s="1">
        <v>200</v>
      </c>
      <c r="E25" s="1">
        <v>22.5</v>
      </c>
      <c r="F25" s="1">
        <f t="shared" si="4"/>
        <v>4500</v>
      </c>
      <c r="G25" s="1">
        <f t="shared" si="1"/>
        <v>725.80645161290317</v>
      </c>
      <c r="H25" s="3">
        <v>2680</v>
      </c>
      <c r="I25" s="37">
        <f t="shared" si="2"/>
        <v>1945161.2903225806</v>
      </c>
      <c r="J25" s="29">
        <v>16000</v>
      </c>
      <c r="K25" s="64">
        <f t="shared" si="3"/>
        <v>3200000</v>
      </c>
      <c r="L25" s="29">
        <f t="shared" si="5"/>
        <v>1254838.7096774194</v>
      </c>
    </row>
    <row r="26" spans="1:12" x14ac:dyDescent="0.2">
      <c r="A26" s="2" t="s">
        <v>213</v>
      </c>
      <c r="B26" s="1" t="s">
        <v>205</v>
      </c>
      <c r="C26" s="1">
        <v>6.2</v>
      </c>
      <c r="D26" s="1">
        <v>360</v>
      </c>
      <c r="E26" s="1">
        <v>21</v>
      </c>
      <c r="F26" s="1">
        <f t="shared" si="4"/>
        <v>7560</v>
      </c>
      <c r="G26" s="1">
        <f t="shared" si="1"/>
        <v>1219.3548387096773</v>
      </c>
      <c r="H26" s="3">
        <v>2680</v>
      </c>
      <c r="I26" s="37">
        <f t="shared" si="2"/>
        <v>3267870.9677419355</v>
      </c>
      <c r="J26" s="29">
        <v>15000</v>
      </c>
      <c r="K26" s="64">
        <f t="shared" si="3"/>
        <v>5400000</v>
      </c>
      <c r="L26" s="29">
        <f t="shared" si="5"/>
        <v>2132129.0322580645</v>
      </c>
    </row>
    <row r="27" spans="1:12" x14ac:dyDescent="0.2">
      <c r="A27" s="2" t="s">
        <v>213</v>
      </c>
      <c r="B27" s="1" t="s">
        <v>21</v>
      </c>
      <c r="C27" s="1">
        <v>6.2</v>
      </c>
      <c r="D27" s="1">
        <v>440</v>
      </c>
      <c r="E27" s="1">
        <v>30</v>
      </c>
      <c r="F27" s="1">
        <f t="shared" si="4"/>
        <v>13200</v>
      </c>
      <c r="G27" s="1">
        <f t="shared" si="1"/>
        <v>2129.0322580645161</v>
      </c>
      <c r="H27" s="3">
        <v>2680</v>
      </c>
      <c r="I27" s="37">
        <f t="shared" si="2"/>
        <v>5705806.4516129037</v>
      </c>
      <c r="J27" s="29">
        <v>20000</v>
      </c>
      <c r="K27" s="64">
        <f t="shared" si="3"/>
        <v>8800000</v>
      </c>
      <c r="L27" s="29">
        <f t="shared" si="5"/>
        <v>3094193.5483870963</v>
      </c>
    </row>
    <row r="28" spans="1:12" x14ac:dyDescent="0.2">
      <c r="A28" s="2" t="s">
        <v>213</v>
      </c>
      <c r="B28" s="1" t="s">
        <v>21</v>
      </c>
      <c r="C28" s="1">
        <v>6.2</v>
      </c>
      <c r="D28" s="1">
        <v>130</v>
      </c>
      <c r="E28" s="1">
        <v>28.6</v>
      </c>
      <c r="F28" s="1">
        <f t="shared" si="4"/>
        <v>3718</v>
      </c>
      <c r="G28" s="1">
        <f t="shared" si="1"/>
        <v>599.67741935483866</v>
      </c>
      <c r="H28" s="3">
        <v>2680</v>
      </c>
      <c r="I28" s="37">
        <f t="shared" si="2"/>
        <v>1607135.483870968</v>
      </c>
      <c r="J28" s="29">
        <v>20000</v>
      </c>
      <c r="K28" s="64">
        <f t="shared" si="3"/>
        <v>2600000</v>
      </c>
      <c r="L28" s="29">
        <f t="shared" si="5"/>
        <v>992864.51612903201</v>
      </c>
    </row>
    <row r="29" spans="1:12" x14ac:dyDescent="0.2">
      <c r="A29" s="2" t="s">
        <v>213</v>
      </c>
      <c r="B29" s="1" t="s">
        <v>7</v>
      </c>
      <c r="C29" s="1">
        <v>6.2</v>
      </c>
      <c r="D29" s="1">
        <v>200</v>
      </c>
      <c r="E29" s="1">
        <v>25</v>
      </c>
      <c r="F29" s="1">
        <f t="shared" si="4"/>
        <v>5000</v>
      </c>
      <c r="G29" s="1">
        <f t="shared" si="1"/>
        <v>806.45161290322574</v>
      </c>
      <c r="H29" s="3">
        <v>2680</v>
      </c>
      <c r="I29" s="37">
        <f t="shared" si="2"/>
        <v>2161290.3225806449</v>
      </c>
      <c r="J29" s="29">
        <v>16000</v>
      </c>
      <c r="K29" s="64">
        <f t="shared" si="3"/>
        <v>3200000</v>
      </c>
      <c r="L29" s="29">
        <f t="shared" si="5"/>
        <v>1038709.6774193551</v>
      </c>
    </row>
    <row r="30" spans="1:12" x14ac:dyDescent="0.2">
      <c r="A30" s="2" t="s">
        <v>213</v>
      </c>
      <c r="B30" s="1" t="s">
        <v>68</v>
      </c>
      <c r="C30" s="1">
        <v>6.2</v>
      </c>
      <c r="D30" s="1">
        <v>130</v>
      </c>
      <c r="E30" s="1">
        <v>25</v>
      </c>
      <c r="F30" s="1">
        <f t="shared" si="4"/>
        <v>3250</v>
      </c>
      <c r="G30" s="1">
        <f t="shared" si="1"/>
        <v>524.19354838709671</v>
      </c>
      <c r="H30" s="3">
        <v>2680</v>
      </c>
      <c r="I30" s="37">
        <f t="shared" si="2"/>
        <v>1404838.7096774194</v>
      </c>
      <c r="J30" s="29">
        <v>16000</v>
      </c>
      <c r="K30" s="64">
        <f t="shared" si="3"/>
        <v>2080000</v>
      </c>
      <c r="L30" s="29">
        <f t="shared" si="5"/>
        <v>675161.29032258061</v>
      </c>
    </row>
    <row r="31" spans="1:12" x14ac:dyDescent="0.2">
      <c r="A31" s="2" t="s">
        <v>213</v>
      </c>
      <c r="B31" s="1" t="s">
        <v>7</v>
      </c>
      <c r="C31" s="1">
        <v>6.2</v>
      </c>
      <c r="D31" s="1">
        <v>337</v>
      </c>
      <c r="E31" s="1">
        <v>12</v>
      </c>
      <c r="F31" s="1">
        <f t="shared" si="4"/>
        <v>4044</v>
      </c>
      <c r="G31" s="1">
        <f t="shared" si="1"/>
        <v>652.25806451612902</v>
      </c>
      <c r="H31" s="3">
        <v>2680</v>
      </c>
      <c r="I31" s="37">
        <f t="shared" si="2"/>
        <v>1748051.6129032257</v>
      </c>
      <c r="J31" s="29">
        <v>16000</v>
      </c>
      <c r="K31" s="64">
        <f t="shared" si="3"/>
        <v>5392000</v>
      </c>
      <c r="L31" s="29">
        <f t="shared" si="5"/>
        <v>3643948.3870967743</v>
      </c>
    </row>
    <row r="32" spans="1:12" x14ac:dyDescent="0.2">
      <c r="A32" s="2" t="s">
        <v>213</v>
      </c>
      <c r="B32" s="1" t="s">
        <v>23</v>
      </c>
      <c r="C32" s="1">
        <v>6.2</v>
      </c>
      <c r="D32" s="1">
        <v>619</v>
      </c>
      <c r="E32" s="1">
        <v>19</v>
      </c>
      <c r="F32" s="1">
        <f t="shared" si="4"/>
        <v>11761</v>
      </c>
      <c r="G32" s="1">
        <f t="shared" si="1"/>
        <v>1896.9354838709678</v>
      </c>
      <c r="H32" s="3">
        <v>2680</v>
      </c>
      <c r="I32" s="37">
        <f t="shared" si="2"/>
        <v>5083787.0967741935</v>
      </c>
      <c r="J32" s="29">
        <v>13000</v>
      </c>
      <c r="K32" s="64">
        <f t="shared" si="3"/>
        <v>8047000</v>
      </c>
      <c r="L32" s="29">
        <f t="shared" si="5"/>
        <v>2963212.9032258065</v>
      </c>
    </row>
    <row r="33" spans="1:12" x14ac:dyDescent="0.2">
      <c r="A33" s="2" t="s">
        <v>213</v>
      </c>
      <c r="B33" s="1" t="s">
        <v>216</v>
      </c>
      <c r="C33" s="1">
        <v>6.2</v>
      </c>
      <c r="D33" s="1">
        <v>400</v>
      </c>
      <c r="E33" s="1">
        <v>8</v>
      </c>
      <c r="F33" s="1">
        <f t="shared" si="4"/>
        <v>3200</v>
      </c>
      <c r="G33" s="5">
        <f t="shared" si="1"/>
        <v>516.12903225806451</v>
      </c>
      <c r="H33" s="3">
        <v>2680</v>
      </c>
      <c r="I33" s="17">
        <f t="shared" si="2"/>
        <v>1383225.8064516129</v>
      </c>
      <c r="J33" s="29">
        <v>10000</v>
      </c>
      <c r="K33" s="17">
        <f t="shared" si="3"/>
        <v>4000000</v>
      </c>
      <c r="L33" s="17">
        <f t="shared" si="5"/>
        <v>2616774.1935483869</v>
      </c>
    </row>
    <row r="34" spans="1:12" x14ac:dyDescent="0.2">
      <c r="A34" s="2" t="s">
        <v>213</v>
      </c>
      <c r="B34" s="1" t="s">
        <v>21</v>
      </c>
      <c r="C34" s="1">
        <v>6.2</v>
      </c>
      <c r="D34" s="1">
        <v>320</v>
      </c>
      <c r="E34" s="1">
        <v>15</v>
      </c>
      <c r="F34" s="1">
        <f t="shared" si="4"/>
        <v>4800</v>
      </c>
      <c r="G34" s="1">
        <f t="shared" si="1"/>
        <v>774.19354838709671</v>
      </c>
      <c r="H34" s="3">
        <v>2680</v>
      </c>
      <c r="I34" s="37">
        <f t="shared" si="2"/>
        <v>2074838.7096774194</v>
      </c>
      <c r="J34" s="29">
        <v>13000</v>
      </c>
      <c r="K34" s="17">
        <f t="shared" si="3"/>
        <v>4160000</v>
      </c>
      <c r="L34" s="17">
        <f t="shared" si="5"/>
        <v>2085161.2903225806</v>
      </c>
    </row>
    <row r="35" spans="1:12" x14ac:dyDescent="0.2">
      <c r="A35" s="2" t="s">
        <v>213</v>
      </c>
      <c r="B35" s="1" t="s">
        <v>7</v>
      </c>
      <c r="C35" s="1">
        <v>6.2</v>
      </c>
      <c r="D35" s="1">
        <v>270</v>
      </c>
      <c r="E35" s="1">
        <v>16</v>
      </c>
      <c r="F35" s="1">
        <f t="shared" si="4"/>
        <v>4320</v>
      </c>
      <c r="G35" s="5">
        <f t="shared" si="1"/>
        <v>696.77419354838707</v>
      </c>
      <c r="H35" s="3">
        <v>2680</v>
      </c>
      <c r="I35" s="37">
        <f>E35/C35*H35*D35</f>
        <v>1867354.8387096773</v>
      </c>
      <c r="J35" s="29">
        <v>16000</v>
      </c>
      <c r="K35" s="17">
        <f t="shared" si="3"/>
        <v>4320000</v>
      </c>
      <c r="L35" s="17">
        <f t="shared" si="5"/>
        <v>2452645.1612903224</v>
      </c>
    </row>
    <row r="36" spans="1:12" x14ac:dyDescent="0.2">
      <c r="A36" s="2" t="s">
        <v>213</v>
      </c>
      <c r="B36" s="1" t="s">
        <v>7</v>
      </c>
      <c r="C36" s="1">
        <v>6.2</v>
      </c>
      <c r="D36" s="1">
        <v>84</v>
      </c>
      <c r="E36" s="1">
        <v>14</v>
      </c>
      <c r="F36" s="1">
        <f t="shared" si="4"/>
        <v>1176</v>
      </c>
      <c r="G36" s="1">
        <f t="shared" si="1"/>
        <v>189.67741935483869</v>
      </c>
      <c r="H36" s="3">
        <v>2680</v>
      </c>
      <c r="I36" s="37">
        <f>E36/C36*H36*D36</f>
        <v>508335.4838709677</v>
      </c>
      <c r="J36" s="29">
        <v>16000</v>
      </c>
      <c r="K36" s="17">
        <f t="shared" si="3"/>
        <v>1344000</v>
      </c>
      <c r="L36" s="17">
        <f t="shared" si="5"/>
        <v>835664.51612903224</v>
      </c>
    </row>
    <row r="37" spans="1:12" x14ac:dyDescent="0.2">
      <c r="A37" s="2" t="s">
        <v>213</v>
      </c>
      <c r="B37" s="1" t="s">
        <v>7</v>
      </c>
      <c r="C37" s="1">
        <v>6.2</v>
      </c>
      <c r="D37" s="1">
        <v>218</v>
      </c>
      <c r="E37" s="1">
        <v>15</v>
      </c>
      <c r="F37" s="1">
        <f t="shared" si="4"/>
        <v>3270</v>
      </c>
      <c r="G37" s="5">
        <f t="shared" si="1"/>
        <v>527.41935483870964</v>
      </c>
      <c r="H37" s="3">
        <v>2680</v>
      </c>
      <c r="I37" s="37">
        <f>E37/C37*H37*D37</f>
        <v>1413483.8709677421</v>
      </c>
      <c r="J37" s="29">
        <v>16000</v>
      </c>
      <c r="K37" s="17">
        <f t="shared" si="3"/>
        <v>3488000</v>
      </c>
      <c r="L37" s="17">
        <f>K37-I37</f>
        <v>2074516.1290322579</v>
      </c>
    </row>
    <row r="38" spans="1:12" x14ac:dyDescent="0.2">
      <c r="A38" s="2"/>
      <c r="D38" s="41">
        <f>SUM(D3:D37)</f>
        <v>10603</v>
      </c>
      <c r="F38" s="65">
        <f>SUM(F3:F37)</f>
        <v>234487</v>
      </c>
      <c r="G38" s="65">
        <f>SUM(G3:G37)</f>
        <v>37820.483870967757</v>
      </c>
      <c r="I38" s="63">
        <f>SUM(I3:I37)</f>
        <v>101358896.77419356</v>
      </c>
      <c r="J38" s="63"/>
      <c r="K38" s="63">
        <f>SUM(K3:K37)</f>
        <v>170443000</v>
      </c>
      <c r="L38" s="48">
        <f>SUM(L3:L37)</f>
        <v>69084103.22580646</v>
      </c>
    </row>
    <row r="43" spans="1:12" x14ac:dyDescent="0.2">
      <c r="G43" s="53" t="s">
        <v>209</v>
      </c>
      <c r="H43" s="3" t="s">
        <v>25</v>
      </c>
      <c r="I43" s="15">
        <v>101358897</v>
      </c>
      <c r="J43" s="15"/>
    </row>
    <row r="44" spans="1:12" x14ac:dyDescent="0.2">
      <c r="G44" s="53" t="s">
        <v>210</v>
      </c>
      <c r="H44" s="3" t="s">
        <v>27</v>
      </c>
      <c r="I44" s="9">
        <v>5500000</v>
      </c>
      <c r="J44" s="9"/>
    </row>
    <row r="45" spans="1:12" x14ac:dyDescent="0.2">
      <c r="H45" s="3" t="s">
        <v>26</v>
      </c>
      <c r="I45" s="3">
        <v>3283000</v>
      </c>
      <c r="J45" s="3"/>
    </row>
    <row r="46" spans="1:12" x14ac:dyDescent="0.2">
      <c r="H46" s="3" t="s">
        <v>33</v>
      </c>
      <c r="I46" s="3">
        <v>2000000</v>
      </c>
      <c r="J46" s="3"/>
    </row>
    <row r="47" spans="1:12" x14ac:dyDescent="0.2">
      <c r="H47" s="3" t="s">
        <v>31</v>
      </c>
      <c r="I47" s="3">
        <v>6000000</v>
      </c>
      <c r="J47" s="3"/>
    </row>
    <row r="48" spans="1:12" x14ac:dyDescent="0.2">
      <c r="H48" s="3" t="s">
        <v>36</v>
      </c>
      <c r="I48" s="3">
        <v>3500000</v>
      </c>
      <c r="J48" s="3"/>
    </row>
    <row r="49" spans="8:10" x14ac:dyDescent="0.2">
      <c r="H49" s="3" t="s">
        <v>29</v>
      </c>
      <c r="I49" s="23">
        <v>9600000</v>
      </c>
      <c r="J49" s="23" t="s">
        <v>245</v>
      </c>
    </row>
    <row r="50" spans="8:10" x14ac:dyDescent="0.2">
      <c r="H50" s="3" t="s">
        <v>34</v>
      </c>
      <c r="I50" s="26">
        <f>SUM(I43:I49)</f>
        <v>131241897</v>
      </c>
      <c r="J50" s="26"/>
    </row>
    <row r="51" spans="8:10" x14ac:dyDescent="0.2">
      <c r="H51" s="3" t="s">
        <v>6</v>
      </c>
      <c r="I51" s="55">
        <v>171496000</v>
      </c>
      <c r="J51" s="55"/>
    </row>
    <row r="52" spans="8:10" ht="18" x14ac:dyDescent="0.35">
      <c r="H52" s="3" t="s">
        <v>35</v>
      </c>
      <c r="I52" s="21">
        <f>I51-I50</f>
        <v>40254103</v>
      </c>
      <c r="J52" s="2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22"/>
  <sheetViews>
    <sheetView topLeftCell="A74" workbookViewId="0">
      <selection activeCell="A74" sqref="A74"/>
    </sheetView>
  </sheetViews>
  <sheetFormatPr baseColWidth="10" defaultRowHeight="15" x14ac:dyDescent="0.2"/>
  <cols>
    <col min="10" max="10" width="13" customWidth="1"/>
    <col min="11" max="11" width="13.6640625" customWidth="1"/>
    <col min="12" max="12" width="12.5" customWidth="1"/>
    <col min="13" max="13" width="13.5" customWidth="1"/>
  </cols>
  <sheetData>
    <row r="1" spans="1:13" ht="31" x14ac:dyDescent="0.35">
      <c r="A1" s="56" t="s">
        <v>509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510</v>
      </c>
      <c r="D2" s="58" t="s">
        <v>2</v>
      </c>
      <c r="E2" s="58" t="s">
        <v>3</v>
      </c>
      <c r="F2" s="58" t="s">
        <v>511</v>
      </c>
      <c r="G2" s="59" t="s">
        <v>512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2" t="s">
        <v>513</v>
      </c>
      <c r="B3" s="1" t="s">
        <v>514</v>
      </c>
      <c r="C3" s="1"/>
      <c r="D3" s="1">
        <v>29.55</v>
      </c>
      <c r="E3" s="1">
        <v>39</v>
      </c>
      <c r="F3" s="1">
        <v>90</v>
      </c>
      <c r="G3" s="44">
        <f t="shared" ref="G3" si="0">E3*F3</f>
        <v>3510</v>
      </c>
      <c r="H3" s="5">
        <f>G3/D3</f>
        <v>118.78172588832487</v>
      </c>
      <c r="I3" s="3">
        <v>2651</v>
      </c>
      <c r="J3" s="3">
        <f t="shared" ref="J3:J29" si="1">F3/D3*I3*E3</f>
        <v>314890.35532994923</v>
      </c>
      <c r="K3" s="3">
        <v>13000</v>
      </c>
      <c r="L3" s="44">
        <f t="shared" ref="L3:L29" si="2">K3*E3</f>
        <v>507000</v>
      </c>
      <c r="M3" s="3">
        <f>L3-J3</f>
        <v>192109.64467005077</v>
      </c>
    </row>
    <row r="4" spans="1:13" x14ac:dyDescent="0.2">
      <c r="A4" s="2" t="s">
        <v>515</v>
      </c>
      <c r="B4" s="1" t="s">
        <v>207</v>
      </c>
      <c r="C4" s="1"/>
      <c r="D4" s="1">
        <v>29.55</v>
      </c>
      <c r="E4" s="1">
        <v>300</v>
      </c>
      <c r="F4" s="1">
        <v>110</v>
      </c>
      <c r="G4" s="1">
        <f>E4*F4</f>
        <v>33000</v>
      </c>
      <c r="H4" s="1">
        <f t="shared" ref="H4:H29" si="3">G4/D4</f>
        <v>1116.7512690355329</v>
      </c>
      <c r="I4" s="3">
        <v>2651</v>
      </c>
      <c r="J4" s="37">
        <f t="shared" si="1"/>
        <v>2960507.6142131975</v>
      </c>
      <c r="K4" s="3">
        <v>15000</v>
      </c>
      <c r="L4" s="44">
        <f t="shared" si="2"/>
        <v>4500000</v>
      </c>
      <c r="M4" s="3">
        <f>L4-J4</f>
        <v>1539492.3857868025</v>
      </c>
    </row>
    <row r="5" spans="1:13" x14ac:dyDescent="0.2">
      <c r="A5" s="2" t="s">
        <v>516</v>
      </c>
      <c r="B5" s="1" t="s">
        <v>517</v>
      </c>
      <c r="C5" s="1"/>
      <c r="D5" s="1">
        <v>29.55</v>
      </c>
      <c r="E5" s="1">
        <v>200</v>
      </c>
      <c r="F5" s="1">
        <v>100</v>
      </c>
      <c r="G5" s="1">
        <f t="shared" ref="G5:G29" si="4">E5*F5</f>
        <v>20000</v>
      </c>
      <c r="H5" s="1">
        <f t="shared" si="3"/>
        <v>676.81895093062599</v>
      </c>
      <c r="I5" s="3">
        <v>2651</v>
      </c>
      <c r="J5" s="37">
        <f t="shared" si="1"/>
        <v>1794247.0389170896</v>
      </c>
      <c r="K5" s="3">
        <v>15000</v>
      </c>
      <c r="L5" s="44">
        <f t="shared" si="2"/>
        <v>3000000</v>
      </c>
      <c r="M5" s="3">
        <f t="shared" ref="M5:M28" si="5">L5-J5</f>
        <v>1205752.9610829104</v>
      </c>
    </row>
    <row r="6" spans="1:13" x14ac:dyDescent="0.2">
      <c r="A6" s="2" t="s">
        <v>518</v>
      </c>
      <c r="B6" s="1" t="s">
        <v>514</v>
      </c>
      <c r="C6" s="1"/>
      <c r="D6" s="1">
        <v>29.55</v>
      </c>
      <c r="E6" s="1">
        <v>300</v>
      </c>
      <c r="F6" s="1">
        <v>100</v>
      </c>
      <c r="G6" s="1">
        <f t="shared" si="4"/>
        <v>30000</v>
      </c>
      <c r="H6" s="1">
        <f t="shared" si="3"/>
        <v>1015.2284263959391</v>
      </c>
      <c r="I6" s="3">
        <v>2651</v>
      </c>
      <c r="J6" s="37">
        <f t="shared" si="1"/>
        <v>2691370.5583756343</v>
      </c>
      <c r="K6" s="3">
        <v>13000</v>
      </c>
      <c r="L6" s="44">
        <f t="shared" si="2"/>
        <v>3900000</v>
      </c>
      <c r="M6" s="37">
        <f t="shared" si="5"/>
        <v>1208629.4416243657</v>
      </c>
    </row>
    <row r="7" spans="1:13" x14ac:dyDescent="0.2">
      <c r="A7" s="2" t="s">
        <v>519</v>
      </c>
      <c r="B7" s="1" t="s">
        <v>514</v>
      </c>
      <c r="C7" s="1"/>
      <c r="D7" s="1">
        <v>29.55</v>
      </c>
      <c r="E7" s="1">
        <v>200</v>
      </c>
      <c r="F7" s="1">
        <v>100</v>
      </c>
      <c r="G7" s="1">
        <f t="shared" si="4"/>
        <v>20000</v>
      </c>
      <c r="H7" s="1">
        <f t="shared" si="3"/>
        <v>676.81895093062599</v>
      </c>
      <c r="I7" s="3">
        <v>2651</v>
      </c>
      <c r="J7" s="37">
        <f t="shared" si="1"/>
        <v>1794247.0389170896</v>
      </c>
      <c r="K7" s="29">
        <v>15000</v>
      </c>
      <c r="L7" s="64">
        <f t="shared" si="2"/>
        <v>3000000</v>
      </c>
      <c r="M7" s="29">
        <f t="shared" si="5"/>
        <v>1205752.9610829104</v>
      </c>
    </row>
    <row r="8" spans="1:13" x14ac:dyDescent="0.2">
      <c r="A8" s="2" t="s">
        <v>520</v>
      </c>
      <c r="B8" s="1" t="s">
        <v>521</v>
      </c>
      <c r="C8" s="1" t="s">
        <v>522</v>
      </c>
      <c r="D8" s="1">
        <v>29.55</v>
      </c>
      <c r="E8" s="1">
        <v>401</v>
      </c>
      <c r="F8" s="1">
        <v>90</v>
      </c>
      <c r="G8" s="1">
        <f t="shared" si="4"/>
        <v>36090</v>
      </c>
      <c r="H8" s="1">
        <f t="shared" si="3"/>
        <v>1221.3197969543146</v>
      </c>
      <c r="I8" s="3">
        <v>2651</v>
      </c>
      <c r="J8" s="37">
        <f t="shared" si="1"/>
        <v>3237718.7817258881</v>
      </c>
      <c r="K8" s="29">
        <v>15000</v>
      </c>
      <c r="L8" s="64">
        <f t="shared" si="2"/>
        <v>6015000</v>
      </c>
      <c r="M8" s="29">
        <f t="shared" si="5"/>
        <v>2777281.2182741119</v>
      </c>
    </row>
    <row r="9" spans="1:13" x14ac:dyDescent="0.2">
      <c r="A9" s="2" t="s">
        <v>523</v>
      </c>
      <c r="B9" s="1" t="s">
        <v>521</v>
      </c>
      <c r="C9" s="1" t="s">
        <v>524</v>
      </c>
      <c r="D9" s="1">
        <v>29.55</v>
      </c>
      <c r="E9" s="1">
        <v>150</v>
      </c>
      <c r="F9" s="1">
        <v>100</v>
      </c>
      <c r="G9" s="1">
        <f t="shared" si="4"/>
        <v>15000</v>
      </c>
      <c r="H9" s="1">
        <f t="shared" si="3"/>
        <v>507.61421319796955</v>
      </c>
      <c r="I9" s="3">
        <v>2651</v>
      </c>
      <c r="J9" s="37">
        <f t="shared" si="1"/>
        <v>1345685.2791878171</v>
      </c>
      <c r="K9" s="29">
        <v>15000</v>
      </c>
      <c r="L9" s="64">
        <f t="shared" si="2"/>
        <v>2250000</v>
      </c>
      <c r="M9" s="29">
        <f t="shared" si="5"/>
        <v>904314.72081218287</v>
      </c>
    </row>
    <row r="10" spans="1:13" x14ac:dyDescent="0.2">
      <c r="A10" s="2" t="s">
        <v>525</v>
      </c>
      <c r="B10" s="1" t="s">
        <v>514</v>
      </c>
      <c r="C10" s="1">
        <v>66</v>
      </c>
      <c r="D10" s="1">
        <v>29.55</v>
      </c>
      <c r="E10" s="1">
        <v>100</v>
      </c>
      <c r="F10" s="1">
        <v>100</v>
      </c>
      <c r="G10" s="1">
        <f t="shared" si="4"/>
        <v>10000</v>
      </c>
      <c r="H10" s="1">
        <f t="shared" si="3"/>
        <v>338.40947546531299</v>
      </c>
      <c r="I10" s="3">
        <v>2651</v>
      </c>
      <c r="J10" s="37">
        <f t="shared" si="1"/>
        <v>897123.51945854479</v>
      </c>
      <c r="K10" s="29">
        <v>13000</v>
      </c>
      <c r="L10" s="64">
        <f t="shared" si="2"/>
        <v>1300000</v>
      </c>
      <c r="M10" s="29">
        <f t="shared" si="5"/>
        <v>402876.48054145521</v>
      </c>
    </row>
    <row r="11" spans="1:13" x14ac:dyDescent="0.2">
      <c r="A11" s="2" t="s">
        <v>526</v>
      </c>
      <c r="B11" s="1" t="s">
        <v>514</v>
      </c>
      <c r="C11" s="1">
        <v>201</v>
      </c>
      <c r="D11" s="1">
        <v>29.55</v>
      </c>
      <c r="E11" s="1">
        <v>43</v>
      </c>
      <c r="F11" s="1">
        <v>90</v>
      </c>
      <c r="G11" s="1">
        <f t="shared" si="4"/>
        <v>3870</v>
      </c>
      <c r="H11" s="1">
        <f t="shared" si="3"/>
        <v>130.96446700507613</v>
      </c>
      <c r="I11" s="3">
        <v>2651</v>
      </c>
      <c r="J11" s="37">
        <f t="shared" si="1"/>
        <v>347186.80203045683</v>
      </c>
      <c r="K11" s="29">
        <v>13000</v>
      </c>
      <c r="L11" s="64">
        <f t="shared" si="2"/>
        <v>559000</v>
      </c>
      <c r="M11" s="29">
        <f t="shared" si="5"/>
        <v>211813.19796954317</v>
      </c>
    </row>
    <row r="12" spans="1:13" x14ac:dyDescent="0.2">
      <c r="A12" s="2" t="s">
        <v>527</v>
      </c>
      <c r="B12" s="1" t="s">
        <v>514</v>
      </c>
      <c r="C12" s="1">
        <v>163.30000000000001</v>
      </c>
      <c r="D12" s="1">
        <v>29.55</v>
      </c>
      <c r="E12" s="1">
        <v>100</v>
      </c>
      <c r="F12" s="1">
        <v>100</v>
      </c>
      <c r="G12" s="1">
        <f t="shared" si="4"/>
        <v>10000</v>
      </c>
      <c r="H12" s="1">
        <f t="shared" si="3"/>
        <v>338.40947546531299</v>
      </c>
      <c r="I12" s="3">
        <v>2651</v>
      </c>
      <c r="J12" s="37">
        <f t="shared" si="1"/>
        <v>897123.51945854479</v>
      </c>
      <c r="K12" s="29">
        <v>13000</v>
      </c>
      <c r="L12" s="64">
        <f t="shared" si="2"/>
        <v>1300000</v>
      </c>
      <c r="M12" s="29">
        <f t="shared" si="5"/>
        <v>402876.48054145521</v>
      </c>
    </row>
    <row r="13" spans="1:13" x14ac:dyDescent="0.2">
      <c r="A13" s="2" t="s">
        <v>528</v>
      </c>
      <c r="B13" s="1" t="s">
        <v>529</v>
      </c>
      <c r="C13" s="1">
        <v>9021</v>
      </c>
      <c r="D13" s="1">
        <v>29.55</v>
      </c>
      <c r="E13" s="1">
        <v>150</v>
      </c>
      <c r="F13" s="1">
        <v>100</v>
      </c>
      <c r="G13" s="1">
        <f t="shared" si="4"/>
        <v>15000</v>
      </c>
      <c r="H13" s="1">
        <f t="shared" si="3"/>
        <v>507.61421319796955</v>
      </c>
      <c r="I13" s="3">
        <v>2651</v>
      </c>
      <c r="J13" s="37">
        <f t="shared" si="1"/>
        <v>1345685.2791878171</v>
      </c>
      <c r="K13" s="29">
        <v>15000</v>
      </c>
      <c r="L13" s="64">
        <f t="shared" si="2"/>
        <v>2250000</v>
      </c>
      <c r="M13" s="29">
        <f t="shared" si="5"/>
        <v>904314.72081218287</v>
      </c>
    </row>
    <row r="14" spans="1:13" x14ac:dyDescent="0.2">
      <c r="A14" s="2" t="s">
        <v>530</v>
      </c>
      <c r="B14" s="1" t="s">
        <v>207</v>
      </c>
      <c r="C14" s="1">
        <v>2</v>
      </c>
      <c r="D14" s="1">
        <v>29.55</v>
      </c>
      <c r="E14" s="1">
        <v>200</v>
      </c>
      <c r="F14" s="1">
        <v>110</v>
      </c>
      <c r="G14" s="1">
        <f t="shared" si="4"/>
        <v>22000</v>
      </c>
      <c r="H14" s="1">
        <f t="shared" si="3"/>
        <v>744.50084602368861</v>
      </c>
      <c r="I14" s="3">
        <v>2651</v>
      </c>
      <c r="J14" s="37">
        <f t="shared" si="1"/>
        <v>1973671.7428087983</v>
      </c>
      <c r="K14" s="29">
        <v>15000</v>
      </c>
      <c r="L14" s="64">
        <f t="shared" si="2"/>
        <v>3000000</v>
      </c>
      <c r="M14" s="29">
        <f t="shared" si="5"/>
        <v>1026328.2571912017</v>
      </c>
    </row>
    <row r="15" spans="1:13" x14ac:dyDescent="0.2">
      <c r="A15" s="2" t="s">
        <v>531</v>
      </c>
      <c r="B15" s="1" t="s">
        <v>532</v>
      </c>
      <c r="C15" s="1" t="s">
        <v>533</v>
      </c>
      <c r="D15" s="1">
        <v>29.55</v>
      </c>
      <c r="E15" s="1">
        <v>1800</v>
      </c>
      <c r="F15" s="1">
        <v>34</v>
      </c>
      <c r="G15" s="1">
        <f t="shared" si="4"/>
        <v>61200</v>
      </c>
      <c r="H15" s="1">
        <f t="shared" si="3"/>
        <v>2071.0659898477156</v>
      </c>
      <c r="I15" s="3">
        <v>2651</v>
      </c>
      <c r="J15" s="37">
        <f t="shared" si="1"/>
        <v>5490395.9390862947</v>
      </c>
      <c r="K15" s="29">
        <v>7000</v>
      </c>
      <c r="L15" s="64">
        <f t="shared" si="2"/>
        <v>12600000</v>
      </c>
      <c r="M15" s="29">
        <f t="shared" si="5"/>
        <v>7109604.0609137053</v>
      </c>
    </row>
    <row r="16" spans="1:13" x14ac:dyDescent="0.2">
      <c r="A16" s="2" t="s">
        <v>534</v>
      </c>
      <c r="B16" s="1" t="s">
        <v>535</v>
      </c>
      <c r="C16" s="1" t="s">
        <v>536</v>
      </c>
      <c r="D16" s="1">
        <v>29.55</v>
      </c>
      <c r="E16" s="1">
        <v>200</v>
      </c>
      <c r="F16" s="1">
        <v>80</v>
      </c>
      <c r="G16" s="1">
        <f t="shared" si="4"/>
        <v>16000</v>
      </c>
      <c r="H16" s="1">
        <f t="shared" si="3"/>
        <v>541.45516074450086</v>
      </c>
      <c r="I16" s="3">
        <v>2651</v>
      </c>
      <c r="J16" s="37">
        <f t="shared" si="1"/>
        <v>1435397.6311336716</v>
      </c>
      <c r="K16" s="29">
        <v>12000</v>
      </c>
      <c r="L16" s="64">
        <f t="shared" si="2"/>
        <v>2400000</v>
      </c>
      <c r="M16" s="29">
        <f t="shared" si="5"/>
        <v>964602.36886632838</v>
      </c>
    </row>
    <row r="17" spans="1:13" x14ac:dyDescent="0.2">
      <c r="A17" s="2" t="s">
        <v>537</v>
      </c>
      <c r="B17" s="1" t="s">
        <v>535</v>
      </c>
      <c r="C17" s="1" t="s">
        <v>538</v>
      </c>
      <c r="D17" s="1">
        <v>29.55</v>
      </c>
      <c r="E17" s="1">
        <v>200</v>
      </c>
      <c r="F17" s="1">
        <v>80</v>
      </c>
      <c r="G17" s="1">
        <f t="shared" si="4"/>
        <v>16000</v>
      </c>
      <c r="H17" s="1">
        <f t="shared" si="3"/>
        <v>541.45516074450086</v>
      </c>
      <c r="I17" s="3">
        <v>2651</v>
      </c>
      <c r="J17" s="37">
        <f t="shared" si="1"/>
        <v>1435397.6311336716</v>
      </c>
      <c r="K17" s="29">
        <v>12000</v>
      </c>
      <c r="L17" s="64">
        <f t="shared" si="2"/>
        <v>2400000</v>
      </c>
      <c r="M17" s="29">
        <f t="shared" si="5"/>
        <v>964602.36886632838</v>
      </c>
    </row>
    <row r="18" spans="1:13" x14ac:dyDescent="0.2">
      <c r="A18" s="2" t="s">
        <v>539</v>
      </c>
      <c r="B18" s="1" t="s">
        <v>540</v>
      </c>
      <c r="C18" s="1" t="s">
        <v>541</v>
      </c>
      <c r="D18" s="1">
        <v>29.55</v>
      </c>
      <c r="E18" s="1">
        <v>200</v>
      </c>
      <c r="F18" s="1">
        <v>65</v>
      </c>
      <c r="G18" s="1">
        <f t="shared" si="4"/>
        <v>13000</v>
      </c>
      <c r="H18" s="1">
        <f t="shared" si="3"/>
        <v>439.93231810490693</v>
      </c>
      <c r="I18" s="3">
        <v>2651</v>
      </c>
      <c r="J18" s="37">
        <f t="shared" si="1"/>
        <v>1166260.5752961081</v>
      </c>
      <c r="K18" s="29">
        <v>10000</v>
      </c>
      <c r="L18" s="64">
        <f t="shared" si="2"/>
        <v>2000000</v>
      </c>
      <c r="M18" s="29">
        <f t="shared" si="5"/>
        <v>833739.42470389185</v>
      </c>
    </row>
    <row r="19" spans="1:13" x14ac:dyDescent="0.2">
      <c r="A19" s="2" t="s">
        <v>542</v>
      </c>
      <c r="B19" s="1" t="s">
        <v>540</v>
      </c>
      <c r="C19" s="1" t="s">
        <v>543</v>
      </c>
      <c r="D19" s="1">
        <v>29.55</v>
      </c>
      <c r="E19" s="1">
        <v>200</v>
      </c>
      <c r="F19" s="1">
        <v>65</v>
      </c>
      <c r="G19" s="1">
        <f t="shared" si="4"/>
        <v>13000</v>
      </c>
      <c r="H19" s="1">
        <f t="shared" si="3"/>
        <v>439.93231810490693</v>
      </c>
      <c r="I19" s="3">
        <v>2651</v>
      </c>
      <c r="J19" s="37">
        <f t="shared" si="1"/>
        <v>1166260.5752961081</v>
      </c>
      <c r="K19" s="29">
        <v>10000</v>
      </c>
      <c r="L19" s="64">
        <f t="shared" si="2"/>
        <v>2000000</v>
      </c>
      <c r="M19" s="29">
        <f t="shared" si="5"/>
        <v>833739.42470389185</v>
      </c>
    </row>
    <row r="20" spans="1:13" x14ac:dyDescent="0.2">
      <c r="A20" s="2" t="s">
        <v>544</v>
      </c>
      <c r="B20" s="1" t="s">
        <v>540</v>
      </c>
      <c r="C20" s="1" t="s">
        <v>545</v>
      </c>
      <c r="D20" s="1">
        <v>29.55</v>
      </c>
      <c r="E20" s="1">
        <v>200</v>
      </c>
      <c r="F20" s="1">
        <v>65</v>
      </c>
      <c r="G20" s="1">
        <f t="shared" si="4"/>
        <v>13000</v>
      </c>
      <c r="H20" s="1">
        <f t="shared" si="3"/>
        <v>439.93231810490693</v>
      </c>
      <c r="I20" s="3">
        <v>2651</v>
      </c>
      <c r="J20" s="37">
        <f t="shared" si="1"/>
        <v>1166260.5752961081</v>
      </c>
      <c r="K20" s="29">
        <v>10000</v>
      </c>
      <c r="L20" s="64">
        <f t="shared" si="2"/>
        <v>2000000</v>
      </c>
      <c r="M20" s="29">
        <f t="shared" si="5"/>
        <v>833739.42470389185</v>
      </c>
    </row>
    <row r="21" spans="1:13" x14ac:dyDescent="0.2">
      <c r="A21" s="2" t="s">
        <v>546</v>
      </c>
      <c r="B21" s="1" t="s">
        <v>535</v>
      </c>
      <c r="C21" s="1" t="s">
        <v>547</v>
      </c>
      <c r="D21" s="1">
        <v>29.55</v>
      </c>
      <c r="E21" s="1">
        <v>200</v>
      </c>
      <c r="F21" s="1">
        <v>65</v>
      </c>
      <c r="G21" s="1">
        <f t="shared" si="4"/>
        <v>13000</v>
      </c>
      <c r="H21" s="1">
        <f t="shared" si="3"/>
        <v>439.93231810490693</v>
      </c>
      <c r="I21" s="3">
        <v>2651</v>
      </c>
      <c r="J21" s="37">
        <f t="shared" si="1"/>
        <v>1166260.5752961081</v>
      </c>
      <c r="K21" s="29">
        <v>10000</v>
      </c>
      <c r="L21" s="64">
        <f t="shared" si="2"/>
        <v>2000000</v>
      </c>
      <c r="M21" s="29">
        <f t="shared" si="5"/>
        <v>833739.42470389185</v>
      </c>
    </row>
    <row r="22" spans="1:13" x14ac:dyDescent="0.2">
      <c r="A22" s="2" t="s">
        <v>548</v>
      </c>
      <c r="B22" s="1" t="s">
        <v>540</v>
      </c>
      <c r="C22" s="1" t="s">
        <v>549</v>
      </c>
      <c r="D22" s="1">
        <v>29.55</v>
      </c>
      <c r="E22" s="1">
        <v>200</v>
      </c>
      <c r="F22" s="1">
        <v>65</v>
      </c>
      <c r="G22" s="1">
        <f t="shared" si="4"/>
        <v>13000</v>
      </c>
      <c r="H22" s="1">
        <f t="shared" si="3"/>
        <v>439.93231810490693</v>
      </c>
      <c r="I22" s="3">
        <v>2651</v>
      </c>
      <c r="J22" s="37">
        <f t="shared" si="1"/>
        <v>1166260.5752961081</v>
      </c>
      <c r="K22" s="29">
        <v>10000</v>
      </c>
      <c r="L22" s="64">
        <f t="shared" si="2"/>
        <v>2000000</v>
      </c>
      <c r="M22" s="29">
        <f t="shared" si="5"/>
        <v>833739.42470389185</v>
      </c>
    </row>
    <row r="23" spans="1:13" x14ac:dyDescent="0.2">
      <c r="A23" s="2" t="s">
        <v>550</v>
      </c>
      <c r="B23" s="1" t="s">
        <v>540</v>
      </c>
      <c r="C23" s="1" t="s">
        <v>551</v>
      </c>
      <c r="D23" s="1">
        <v>29.55</v>
      </c>
      <c r="E23" s="1">
        <v>100</v>
      </c>
      <c r="F23" s="1">
        <v>55</v>
      </c>
      <c r="G23" s="1">
        <f t="shared" si="4"/>
        <v>5500</v>
      </c>
      <c r="H23" s="1">
        <f t="shared" si="3"/>
        <v>186.12521150592215</v>
      </c>
      <c r="I23" s="3">
        <v>2651</v>
      </c>
      <c r="J23" s="37">
        <f t="shared" si="1"/>
        <v>493417.93570219958</v>
      </c>
      <c r="K23" s="29">
        <v>10000</v>
      </c>
      <c r="L23" s="64">
        <f t="shared" si="2"/>
        <v>1000000</v>
      </c>
      <c r="M23" s="29">
        <f t="shared" si="5"/>
        <v>506582.06429780042</v>
      </c>
    </row>
    <row r="24" spans="1:13" x14ac:dyDescent="0.2">
      <c r="A24" s="2" t="s">
        <v>552</v>
      </c>
      <c r="B24" s="1" t="s">
        <v>540</v>
      </c>
      <c r="C24" s="1" t="s">
        <v>553</v>
      </c>
      <c r="D24" s="1">
        <v>29.55</v>
      </c>
      <c r="E24" s="1">
        <v>100</v>
      </c>
      <c r="F24" s="1">
        <v>55</v>
      </c>
      <c r="G24" s="1">
        <f t="shared" si="4"/>
        <v>5500</v>
      </c>
      <c r="H24" s="1">
        <f t="shared" si="3"/>
        <v>186.12521150592215</v>
      </c>
      <c r="I24" s="3">
        <v>2651</v>
      </c>
      <c r="J24" s="37">
        <f t="shared" si="1"/>
        <v>493417.93570219958</v>
      </c>
      <c r="K24" s="29">
        <v>10000</v>
      </c>
      <c r="L24" s="64">
        <f t="shared" si="2"/>
        <v>1000000</v>
      </c>
      <c r="M24" s="29">
        <f t="shared" si="5"/>
        <v>506582.06429780042</v>
      </c>
    </row>
    <row r="25" spans="1:13" x14ac:dyDescent="0.2">
      <c r="A25" s="2" t="s">
        <v>552</v>
      </c>
      <c r="B25" s="1" t="s">
        <v>554</v>
      </c>
      <c r="C25" s="1" t="s">
        <v>524</v>
      </c>
      <c r="D25" s="1">
        <v>29.55</v>
      </c>
      <c r="E25" s="1">
        <v>500</v>
      </c>
      <c r="F25" s="1">
        <v>90</v>
      </c>
      <c r="G25" s="1">
        <f t="shared" si="4"/>
        <v>45000</v>
      </c>
      <c r="H25" s="1">
        <f t="shared" si="3"/>
        <v>1522.8426395939086</v>
      </c>
      <c r="I25" s="3">
        <v>2651</v>
      </c>
      <c r="J25" s="37">
        <f t="shared" si="1"/>
        <v>4037055.8375634514</v>
      </c>
      <c r="K25" s="29">
        <v>12000</v>
      </c>
      <c r="L25" s="64">
        <f t="shared" si="2"/>
        <v>6000000</v>
      </c>
      <c r="M25" s="29">
        <f t="shared" si="5"/>
        <v>1962944.1624365486</v>
      </c>
    </row>
    <row r="26" spans="1:13" x14ac:dyDescent="0.2">
      <c r="A26" s="2" t="s">
        <v>555</v>
      </c>
      <c r="B26" s="1" t="s">
        <v>554</v>
      </c>
      <c r="C26" s="1" t="s">
        <v>522</v>
      </c>
      <c r="D26" s="1">
        <v>29.55</v>
      </c>
      <c r="E26" s="1">
        <v>200</v>
      </c>
      <c r="F26" s="1">
        <v>90</v>
      </c>
      <c r="G26" s="1">
        <f t="shared" si="4"/>
        <v>18000</v>
      </c>
      <c r="H26" s="1">
        <f t="shared" si="3"/>
        <v>609.13705583756348</v>
      </c>
      <c r="I26" s="3">
        <v>2651</v>
      </c>
      <c r="J26" s="37">
        <f t="shared" si="1"/>
        <v>1614822.3350253806</v>
      </c>
      <c r="K26" s="29">
        <v>12000</v>
      </c>
      <c r="L26" s="64">
        <f t="shared" si="2"/>
        <v>2400000</v>
      </c>
      <c r="M26" s="29">
        <f t="shared" si="5"/>
        <v>785177.6649746194</v>
      </c>
    </row>
    <row r="27" spans="1:13" x14ac:dyDescent="0.2">
      <c r="A27" s="2" t="s">
        <v>556</v>
      </c>
      <c r="B27" s="1" t="s">
        <v>554</v>
      </c>
      <c r="C27" s="1" t="s">
        <v>557</v>
      </c>
      <c r="D27" s="1">
        <v>29.55</v>
      </c>
      <c r="E27" s="1">
        <v>200</v>
      </c>
      <c r="F27" s="1">
        <v>90</v>
      </c>
      <c r="G27" s="1">
        <f t="shared" si="4"/>
        <v>18000</v>
      </c>
      <c r="H27" s="1">
        <f t="shared" si="3"/>
        <v>609.13705583756348</v>
      </c>
      <c r="I27" s="3">
        <v>2651</v>
      </c>
      <c r="J27" s="37">
        <f t="shared" si="1"/>
        <v>1614822.3350253806</v>
      </c>
      <c r="K27" s="29">
        <v>12000</v>
      </c>
      <c r="L27" s="64">
        <f t="shared" si="2"/>
        <v>2400000</v>
      </c>
      <c r="M27" s="29">
        <f t="shared" si="5"/>
        <v>785177.6649746194</v>
      </c>
    </row>
    <row r="28" spans="1:13" x14ac:dyDescent="0.2">
      <c r="A28" s="2" t="s">
        <v>558</v>
      </c>
      <c r="B28" s="1" t="s">
        <v>514</v>
      </c>
      <c r="C28" s="1" t="s">
        <v>559</v>
      </c>
      <c r="D28" s="1">
        <v>29.55</v>
      </c>
      <c r="E28" s="1">
        <v>150</v>
      </c>
      <c r="F28" s="1">
        <v>100</v>
      </c>
      <c r="G28" s="1">
        <f t="shared" si="4"/>
        <v>15000</v>
      </c>
      <c r="H28" s="1">
        <f t="shared" si="3"/>
        <v>507.61421319796955</v>
      </c>
      <c r="I28" s="3">
        <v>2651</v>
      </c>
      <c r="J28" s="37">
        <f t="shared" si="1"/>
        <v>1345685.2791878171</v>
      </c>
      <c r="K28" s="29">
        <v>13000</v>
      </c>
      <c r="L28" s="64">
        <f t="shared" si="2"/>
        <v>1950000</v>
      </c>
      <c r="M28" s="29">
        <f t="shared" si="5"/>
        <v>604314.72081218287</v>
      </c>
    </row>
    <row r="29" spans="1:13" x14ac:dyDescent="0.2">
      <c r="A29" s="2" t="s">
        <v>560</v>
      </c>
      <c r="B29" s="1" t="s">
        <v>561</v>
      </c>
      <c r="C29" s="1" t="s">
        <v>562</v>
      </c>
      <c r="D29" s="1">
        <v>29.55</v>
      </c>
      <c r="E29" s="1">
        <v>600</v>
      </c>
      <c r="F29" s="1">
        <v>90</v>
      </c>
      <c r="G29" s="1">
        <f t="shared" si="4"/>
        <v>54000</v>
      </c>
      <c r="H29" s="1">
        <f t="shared" si="3"/>
        <v>1827.4111675126903</v>
      </c>
      <c r="I29" s="3">
        <v>2651</v>
      </c>
      <c r="J29" s="37">
        <f t="shared" si="1"/>
        <v>4844467.005076142</v>
      </c>
      <c r="K29" s="29">
        <v>15000</v>
      </c>
      <c r="L29" s="64">
        <f t="shared" si="2"/>
        <v>9000000</v>
      </c>
      <c r="M29" s="29">
        <f>L29-J29</f>
        <v>4155532.994923858</v>
      </c>
    </row>
    <row r="30" spans="1:13" x14ac:dyDescent="0.2">
      <c r="A30" s="2" t="s">
        <v>558</v>
      </c>
      <c r="B30" s="1" t="s">
        <v>540</v>
      </c>
      <c r="C30" s="1"/>
      <c r="D30" s="1">
        <v>29.55</v>
      </c>
      <c r="E30" s="1">
        <v>200</v>
      </c>
      <c r="F30" s="1">
        <v>80</v>
      </c>
      <c r="G30" s="1">
        <f>E30*F30</f>
        <v>16000</v>
      </c>
      <c r="H30" s="1">
        <f>G30/D30</f>
        <v>541.45516074450086</v>
      </c>
      <c r="I30" s="3">
        <v>2651</v>
      </c>
      <c r="J30" s="37">
        <f>F30/D30*I30*E30</f>
        <v>1435397.6311336716</v>
      </c>
      <c r="K30" s="29">
        <v>12000</v>
      </c>
      <c r="L30" s="64">
        <f>K30*E30</f>
        <v>2400000</v>
      </c>
      <c r="M30" s="29">
        <f>L30-J30</f>
        <v>964602.36886632838</v>
      </c>
    </row>
    <row r="31" spans="1:13" x14ac:dyDescent="0.2">
      <c r="D31" s="98"/>
      <c r="E31" s="53">
        <f>SUM(E3:E29)</f>
        <v>7233</v>
      </c>
      <c r="F31" s="63"/>
      <c r="G31" s="99">
        <f>SUM(G3:G29)</f>
        <v>537670</v>
      </c>
      <c r="H31" s="100">
        <f>SUM(H3:H29)</f>
        <v>18195.262267343489</v>
      </c>
      <c r="I31" s="52"/>
      <c r="J31" s="52">
        <f>SUM(J3:J29)</f>
        <v>48235640.27072756</v>
      </c>
      <c r="K31" s="49"/>
      <c r="L31" s="49">
        <f>SUM(L3:L29)</f>
        <v>82731000</v>
      </c>
      <c r="M31" s="48">
        <f>SUM(M3:M29)</f>
        <v>34495359.729272418</v>
      </c>
    </row>
    <row r="33" spans="1:13" x14ac:dyDescent="0.2">
      <c r="B33" s="33" t="s">
        <v>563</v>
      </c>
      <c r="C33" s="3" t="s">
        <v>25</v>
      </c>
      <c r="D33" s="15">
        <v>48235640</v>
      </c>
      <c r="E33" s="15"/>
    </row>
    <row r="34" spans="1:13" x14ac:dyDescent="0.2">
      <c r="B34" s="33" t="s">
        <v>244</v>
      </c>
      <c r="C34" s="3" t="s">
        <v>27</v>
      </c>
      <c r="D34" s="9">
        <v>2379000</v>
      </c>
      <c r="E34" s="9"/>
      <c r="I34" s="41" t="s">
        <v>564</v>
      </c>
      <c r="J34" s="41" t="s">
        <v>565</v>
      </c>
    </row>
    <row r="35" spans="1:13" x14ac:dyDescent="0.2">
      <c r="B35" s="1"/>
      <c r="C35" s="3" t="s">
        <v>26</v>
      </c>
      <c r="D35" s="3">
        <v>6242600</v>
      </c>
      <c r="E35" s="3"/>
      <c r="G35" t="s">
        <v>566</v>
      </c>
      <c r="H35" s="1" t="s">
        <v>567</v>
      </c>
      <c r="I35" s="1">
        <v>17700</v>
      </c>
      <c r="J35" s="1">
        <f>I35/D29</f>
        <v>598.98477157360401</v>
      </c>
    </row>
    <row r="36" spans="1:13" x14ac:dyDescent="0.2">
      <c r="B36" s="1"/>
      <c r="C36" s="3" t="s">
        <v>33</v>
      </c>
      <c r="D36" s="3">
        <v>300000</v>
      </c>
      <c r="E36" s="3"/>
      <c r="H36" s="1" t="s">
        <v>561</v>
      </c>
      <c r="I36" s="1">
        <v>650</v>
      </c>
      <c r="J36" s="1">
        <f>I36/D29</f>
        <v>21.996615905245346</v>
      </c>
    </row>
    <row r="37" spans="1:13" x14ac:dyDescent="0.2">
      <c r="B37" s="1"/>
      <c r="C37" s="3" t="s">
        <v>31</v>
      </c>
      <c r="D37" s="3"/>
      <c r="E37" s="3"/>
      <c r="H37" s="1" t="s">
        <v>568</v>
      </c>
      <c r="I37" s="1">
        <v>1000</v>
      </c>
      <c r="J37" s="1">
        <f>I37/D29</f>
        <v>33.840947546531304</v>
      </c>
    </row>
    <row r="38" spans="1:13" x14ac:dyDescent="0.2">
      <c r="B38" s="1"/>
      <c r="C38" s="3" t="s">
        <v>36</v>
      </c>
      <c r="D38" s="3"/>
      <c r="E38" s="3"/>
      <c r="H38" s="1" t="s">
        <v>569</v>
      </c>
      <c r="I38" s="1">
        <v>2200</v>
      </c>
      <c r="J38" s="1">
        <f>I38/D29</f>
        <v>74.450084602368861</v>
      </c>
    </row>
    <row r="39" spans="1:13" x14ac:dyDescent="0.2">
      <c r="B39" s="1"/>
      <c r="C39" s="3" t="s">
        <v>29</v>
      </c>
      <c r="D39" s="23">
        <v>6300000</v>
      </c>
      <c r="E39" s="23"/>
      <c r="H39" s="1" t="s">
        <v>570</v>
      </c>
      <c r="I39" s="1">
        <v>3900</v>
      </c>
      <c r="J39" s="1">
        <f>I39/D29</f>
        <v>131.97969543147207</v>
      </c>
    </row>
    <row r="40" spans="1:13" x14ac:dyDescent="0.2">
      <c r="B40" s="1"/>
      <c r="C40" s="3" t="s">
        <v>34</v>
      </c>
      <c r="D40" s="26">
        <f>SUM(D33:D39)</f>
        <v>63457240</v>
      </c>
      <c r="E40" s="26"/>
      <c r="H40" s="1" t="s">
        <v>571</v>
      </c>
      <c r="I40" s="1"/>
      <c r="J40" s="1">
        <v>500</v>
      </c>
    </row>
    <row r="41" spans="1:13" x14ac:dyDescent="0.2">
      <c r="B41" s="1"/>
      <c r="C41" s="3" t="s">
        <v>6</v>
      </c>
      <c r="D41" s="55">
        <v>82731000</v>
      </c>
      <c r="E41" s="55"/>
      <c r="H41" s="1" t="s">
        <v>572</v>
      </c>
      <c r="I41" s="1"/>
      <c r="J41" s="1">
        <v>960</v>
      </c>
    </row>
    <row r="42" spans="1:13" ht="18" x14ac:dyDescent="0.35">
      <c r="B42" s="1"/>
      <c r="C42" s="3" t="s">
        <v>35</v>
      </c>
      <c r="D42" s="21">
        <f>D41-D40</f>
        <v>19273760</v>
      </c>
      <c r="E42" s="21"/>
      <c r="H42" s="1" t="s">
        <v>573</v>
      </c>
      <c r="I42" s="1"/>
      <c r="J42" s="1">
        <v>915</v>
      </c>
    </row>
    <row r="43" spans="1:13" x14ac:dyDescent="0.2">
      <c r="H43" s="1" t="s">
        <v>574</v>
      </c>
      <c r="I43" s="1"/>
      <c r="J43" s="1">
        <v>80</v>
      </c>
    </row>
    <row r="44" spans="1:13" x14ac:dyDescent="0.2">
      <c r="J44" s="7">
        <f>SUM(J35:J43)</f>
        <v>3316.2521150592215</v>
      </c>
    </row>
    <row r="46" spans="1:13" ht="31" x14ac:dyDescent="0.35">
      <c r="A46" s="56" t="s">
        <v>575</v>
      </c>
      <c r="B46" s="56"/>
      <c r="C46" s="56"/>
      <c r="D46" s="56"/>
      <c r="E46" s="56"/>
      <c r="F46" s="57"/>
      <c r="G46" s="57"/>
      <c r="H46" s="58" t="s">
        <v>576</v>
      </c>
      <c r="I46" s="57"/>
      <c r="J46" s="57"/>
      <c r="K46" s="57"/>
      <c r="L46" s="57"/>
      <c r="M46" s="57"/>
    </row>
    <row r="47" spans="1:13" x14ac:dyDescent="0.2">
      <c r="A47" s="58" t="s">
        <v>0</v>
      </c>
      <c r="B47" s="58" t="s">
        <v>1</v>
      </c>
      <c r="C47" s="58" t="s">
        <v>510</v>
      </c>
      <c r="D47" s="58" t="s">
        <v>2</v>
      </c>
      <c r="E47" s="58" t="s">
        <v>3</v>
      </c>
      <c r="F47" s="58" t="s">
        <v>577</v>
      </c>
      <c r="G47" s="59" t="s">
        <v>578</v>
      </c>
      <c r="H47" s="58" t="s">
        <v>77</v>
      </c>
      <c r="I47" s="59" t="s">
        <v>41</v>
      </c>
      <c r="J47" s="59" t="s">
        <v>9</v>
      </c>
      <c r="K47" s="59" t="s">
        <v>10</v>
      </c>
      <c r="L47" s="59" t="s">
        <v>6</v>
      </c>
      <c r="M47" s="59" t="s">
        <v>12</v>
      </c>
    </row>
    <row r="48" spans="1:13" x14ac:dyDescent="0.2">
      <c r="A48" s="2" t="s">
        <v>579</v>
      </c>
      <c r="B48" s="1" t="s">
        <v>88</v>
      </c>
      <c r="C48" s="1" t="s">
        <v>580</v>
      </c>
      <c r="D48" s="1">
        <v>6.2149999999999999</v>
      </c>
      <c r="E48" s="1">
        <v>1000</v>
      </c>
      <c r="F48" s="1">
        <v>21</v>
      </c>
      <c r="G48" s="44">
        <f t="shared" ref="G48" si="6">E48*F48</f>
        <v>21000</v>
      </c>
      <c r="H48" s="5">
        <f>G48/D48</f>
        <v>3378.9219629927597</v>
      </c>
      <c r="I48" s="3">
        <v>2651</v>
      </c>
      <c r="J48" s="3">
        <f t="shared" ref="J48:J90" si="7">F48/D48*I48*E48</f>
        <v>8957522.1238938048</v>
      </c>
      <c r="K48" s="3">
        <v>16000</v>
      </c>
      <c r="L48" s="44">
        <f t="shared" ref="L48:L90" si="8">K48*E48</f>
        <v>16000000</v>
      </c>
      <c r="M48" s="3">
        <f t="shared" ref="M48:M87" si="9">L48-J48</f>
        <v>7042477.8761061952</v>
      </c>
    </row>
    <row r="49" spans="1:13" x14ac:dyDescent="0.2">
      <c r="A49" s="2" t="s">
        <v>581</v>
      </c>
      <c r="B49" s="1" t="s">
        <v>88</v>
      </c>
      <c r="C49" s="1" t="s">
        <v>582</v>
      </c>
      <c r="D49" s="1">
        <v>6.2149999999999999</v>
      </c>
      <c r="E49" s="1">
        <v>215</v>
      </c>
      <c r="F49" s="1">
        <v>23</v>
      </c>
      <c r="G49" s="1">
        <f>E49*F49</f>
        <v>4945</v>
      </c>
      <c r="H49" s="1">
        <f t="shared" ref="H49:H90" si="10">G49/D49</f>
        <v>795.65567176186642</v>
      </c>
      <c r="I49" s="3">
        <v>2651</v>
      </c>
      <c r="J49" s="37">
        <f t="shared" si="7"/>
        <v>2109283.1858407082</v>
      </c>
      <c r="K49" s="3">
        <v>16000</v>
      </c>
      <c r="L49" s="44">
        <f t="shared" si="8"/>
        <v>3440000</v>
      </c>
      <c r="M49" s="3">
        <f t="shared" si="9"/>
        <v>1330716.8141592918</v>
      </c>
    </row>
    <row r="50" spans="1:13" x14ac:dyDescent="0.2">
      <c r="A50" s="2" t="s">
        <v>583</v>
      </c>
      <c r="B50" s="1" t="s">
        <v>88</v>
      </c>
      <c r="C50" s="1" t="s">
        <v>584</v>
      </c>
      <c r="D50" s="1">
        <v>6.2149999999999999</v>
      </c>
      <c r="E50" s="1">
        <v>250</v>
      </c>
      <c r="F50" s="1">
        <v>20</v>
      </c>
      <c r="G50" s="1">
        <f t="shared" ref="G50:G90" si="11">E50*F50</f>
        <v>5000</v>
      </c>
      <c r="H50" s="1">
        <f t="shared" si="10"/>
        <v>804.50522928399039</v>
      </c>
      <c r="I50" s="3">
        <v>2651</v>
      </c>
      <c r="J50" s="37">
        <f t="shared" si="7"/>
        <v>2132743.3628318585</v>
      </c>
      <c r="K50" s="3">
        <v>16000</v>
      </c>
      <c r="L50" s="44">
        <f t="shared" si="8"/>
        <v>4000000</v>
      </c>
      <c r="M50" s="3">
        <f t="shared" si="9"/>
        <v>1867256.6371681415</v>
      </c>
    </row>
    <row r="51" spans="1:13" x14ac:dyDescent="0.2">
      <c r="A51" s="2" t="s">
        <v>585</v>
      </c>
      <c r="B51" s="1" t="s">
        <v>88</v>
      </c>
      <c r="C51" s="1" t="s">
        <v>586</v>
      </c>
      <c r="D51" s="1">
        <v>6.2149999999999999</v>
      </c>
      <c r="E51" s="1">
        <v>279</v>
      </c>
      <c r="F51" s="1">
        <v>23</v>
      </c>
      <c r="G51" s="1">
        <f t="shared" si="11"/>
        <v>6417</v>
      </c>
      <c r="H51" s="1">
        <f t="shared" si="10"/>
        <v>1032.5020112630732</v>
      </c>
      <c r="I51" s="3">
        <v>2651</v>
      </c>
      <c r="J51" s="37">
        <f t="shared" si="7"/>
        <v>2737162.8318584072</v>
      </c>
      <c r="K51" s="3">
        <v>16000</v>
      </c>
      <c r="L51" s="44">
        <f t="shared" si="8"/>
        <v>4464000</v>
      </c>
      <c r="M51" s="37">
        <f t="shared" si="9"/>
        <v>1726837.1681415928</v>
      </c>
    </row>
    <row r="52" spans="1:13" x14ac:dyDescent="0.2">
      <c r="A52" s="2" t="s">
        <v>587</v>
      </c>
      <c r="B52" s="1" t="s">
        <v>88</v>
      </c>
      <c r="C52" s="1" t="s">
        <v>588</v>
      </c>
      <c r="D52" s="1">
        <v>6.2149999999999999</v>
      </c>
      <c r="E52" s="1">
        <v>303</v>
      </c>
      <c r="F52" s="1">
        <v>23</v>
      </c>
      <c r="G52" s="1">
        <f t="shared" si="11"/>
        <v>6969</v>
      </c>
      <c r="H52" s="1">
        <f t="shared" si="10"/>
        <v>1121.3193885760259</v>
      </c>
      <c r="I52" s="3">
        <v>2651</v>
      </c>
      <c r="J52" s="37">
        <f t="shared" si="7"/>
        <v>2972617.6991150444</v>
      </c>
      <c r="K52" s="29">
        <v>16000</v>
      </c>
      <c r="L52" s="64">
        <f t="shared" si="8"/>
        <v>4848000</v>
      </c>
      <c r="M52" s="29">
        <f t="shared" si="9"/>
        <v>1875382.3008849556</v>
      </c>
    </row>
    <row r="53" spans="1:13" x14ac:dyDescent="0.2">
      <c r="A53" s="2" t="s">
        <v>589</v>
      </c>
      <c r="B53" s="1" t="s">
        <v>88</v>
      </c>
      <c r="C53" s="1" t="s">
        <v>590</v>
      </c>
      <c r="D53" s="1">
        <v>6.2149999999999999</v>
      </c>
      <c r="E53" s="1">
        <v>300</v>
      </c>
      <c r="F53" s="1">
        <v>25</v>
      </c>
      <c r="G53" s="1">
        <f t="shared" si="11"/>
        <v>7500</v>
      </c>
      <c r="H53" s="1">
        <f t="shared" si="10"/>
        <v>1206.7578439259855</v>
      </c>
      <c r="I53" s="3">
        <v>2651</v>
      </c>
      <c r="J53" s="37">
        <f t="shared" si="7"/>
        <v>3199115.0442477874</v>
      </c>
      <c r="K53" s="29">
        <v>17000</v>
      </c>
      <c r="L53" s="64">
        <f t="shared" si="8"/>
        <v>5100000</v>
      </c>
      <c r="M53" s="29">
        <f t="shared" si="9"/>
        <v>1900884.9557522126</v>
      </c>
    </row>
    <row r="54" spans="1:13" x14ac:dyDescent="0.2">
      <c r="A54" s="2" t="s">
        <v>591</v>
      </c>
      <c r="B54" s="1" t="s">
        <v>88</v>
      </c>
      <c r="C54" s="1" t="s">
        <v>592</v>
      </c>
      <c r="D54" s="1">
        <v>6.2149999999999999</v>
      </c>
      <c r="E54" s="1">
        <v>400</v>
      </c>
      <c r="F54" s="1">
        <v>23.5</v>
      </c>
      <c r="G54" s="1">
        <f t="shared" si="11"/>
        <v>9400</v>
      </c>
      <c r="H54" s="1">
        <f t="shared" si="10"/>
        <v>1512.469831053902</v>
      </c>
      <c r="I54" s="3">
        <v>2651</v>
      </c>
      <c r="J54" s="37">
        <f t="shared" si="7"/>
        <v>4009557.5221238942</v>
      </c>
      <c r="K54" s="29">
        <v>17000</v>
      </c>
      <c r="L54" s="64">
        <f t="shared" si="8"/>
        <v>6800000</v>
      </c>
      <c r="M54" s="29">
        <f t="shared" si="9"/>
        <v>2790442.4778761058</v>
      </c>
    </row>
    <row r="55" spans="1:13" x14ac:dyDescent="0.2">
      <c r="A55" s="2" t="s">
        <v>593</v>
      </c>
      <c r="B55" s="1" t="s">
        <v>88</v>
      </c>
      <c r="C55" s="1" t="s">
        <v>594</v>
      </c>
      <c r="D55" s="1">
        <v>6.2149999999999999</v>
      </c>
      <c r="E55" s="1">
        <v>200</v>
      </c>
      <c r="F55" s="1">
        <v>23</v>
      </c>
      <c r="G55" s="1">
        <f t="shared" si="11"/>
        <v>4600</v>
      </c>
      <c r="H55" s="1">
        <f t="shared" si="10"/>
        <v>740.14481094127109</v>
      </c>
      <c r="I55" s="3">
        <v>2651</v>
      </c>
      <c r="J55" s="37">
        <f t="shared" si="7"/>
        <v>1962123.8938053099</v>
      </c>
      <c r="K55" s="29">
        <v>16000</v>
      </c>
      <c r="L55" s="64">
        <f t="shared" si="8"/>
        <v>3200000</v>
      </c>
      <c r="M55" s="29">
        <f t="shared" si="9"/>
        <v>1237876.1061946901</v>
      </c>
    </row>
    <row r="56" spans="1:13" x14ac:dyDescent="0.2">
      <c r="A56" s="2" t="s">
        <v>595</v>
      </c>
      <c r="B56" s="1" t="s">
        <v>15</v>
      </c>
      <c r="C56" s="1" t="s">
        <v>596</v>
      </c>
      <c r="D56" s="1">
        <v>6.2149999999999999</v>
      </c>
      <c r="E56" s="1">
        <v>300</v>
      </c>
      <c r="F56" s="1">
        <v>20</v>
      </c>
      <c r="G56" s="1">
        <f t="shared" si="11"/>
        <v>6000</v>
      </c>
      <c r="H56" s="1">
        <f t="shared" si="10"/>
        <v>965.40627514078847</v>
      </c>
      <c r="I56" s="3">
        <v>2651</v>
      </c>
      <c r="J56" s="37">
        <f t="shared" si="7"/>
        <v>2559292.0353982304</v>
      </c>
      <c r="K56" s="29">
        <v>15000</v>
      </c>
      <c r="L56" s="64">
        <f t="shared" si="8"/>
        <v>4500000</v>
      </c>
      <c r="M56" s="29">
        <f t="shared" si="9"/>
        <v>1940707.9646017696</v>
      </c>
    </row>
    <row r="57" spans="1:13" x14ac:dyDescent="0.2">
      <c r="A57" s="2" t="s">
        <v>597</v>
      </c>
      <c r="B57" s="1" t="s">
        <v>88</v>
      </c>
      <c r="C57" s="1" t="s">
        <v>598</v>
      </c>
      <c r="D57" s="1">
        <v>6.2149999999999999</v>
      </c>
      <c r="E57" s="1">
        <v>200</v>
      </c>
      <c r="F57" s="1">
        <v>25</v>
      </c>
      <c r="G57" s="1">
        <f t="shared" si="11"/>
        <v>5000</v>
      </c>
      <c r="H57" s="1">
        <f t="shared" si="10"/>
        <v>804.50522928399039</v>
      </c>
      <c r="I57" s="3">
        <v>2651</v>
      </c>
      <c r="J57" s="37">
        <f t="shared" si="7"/>
        <v>2132743.3628318585</v>
      </c>
      <c r="K57" s="29">
        <v>17000</v>
      </c>
      <c r="L57" s="64">
        <f t="shared" si="8"/>
        <v>3400000</v>
      </c>
      <c r="M57" s="29">
        <f t="shared" si="9"/>
        <v>1267256.6371681415</v>
      </c>
    </row>
    <row r="58" spans="1:13" x14ac:dyDescent="0.2">
      <c r="A58" s="2" t="s">
        <v>599</v>
      </c>
      <c r="B58" s="1" t="s">
        <v>88</v>
      </c>
      <c r="C58" s="1" t="s">
        <v>600</v>
      </c>
      <c r="D58" s="1">
        <v>6.2149999999999999</v>
      </c>
      <c r="E58" s="1">
        <v>400</v>
      </c>
      <c r="F58" s="1">
        <v>25</v>
      </c>
      <c r="G58" s="1">
        <f t="shared" si="11"/>
        <v>10000</v>
      </c>
      <c r="H58" s="1">
        <f t="shared" si="10"/>
        <v>1609.0104585679808</v>
      </c>
      <c r="I58" s="3">
        <v>2651</v>
      </c>
      <c r="J58" s="37">
        <f t="shared" si="7"/>
        <v>4265486.7256637169</v>
      </c>
      <c r="K58" s="29">
        <v>17000</v>
      </c>
      <c r="L58" s="64">
        <f t="shared" si="8"/>
        <v>6800000</v>
      </c>
      <c r="M58" s="29">
        <f t="shared" si="9"/>
        <v>2534513.2743362831</v>
      </c>
    </row>
    <row r="59" spans="1:13" x14ac:dyDescent="0.2">
      <c r="A59" s="2" t="s">
        <v>601</v>
      </c>
      <c r="B59" s="1" t="s">
        <v>15</v>
      </c>
      <c r="C59" s="1" t="s">
        <v>602</v>
      </c>
      <c r="D59" s="1">
        <v>6.2149999999999999</v>
      </c>
      <c r="E59" s="1">
        <v>200</v>
      </c>
      <c r="F59" s="1">
        <v>22</v>
      </c>
      <c r="G59" s="1">
        <f t="shared" si="11"/>
        <v>4400</v>
      </c>
      <c r="H59" s="1">
        <f t="shared" si="10"/>
        <v>707.9646017699115</v>
      </c>
      <c r="I59" s="3">
        <v>2651</v>
      </c>
      <c r="J59" s="37">
        <f t="shared" si="7"/>
        <v>1876814.1592920355</v>
      </c>
      <c r="K59" s="29">
        <v>15000</v>
      </c>
      <c r="L59" s="64">
        <f t="shared" si="8"/>
        <v>3000000</v>
      </c>
      <c r="M59" s="29">
        <f t="shared" si="9"/>
        <v>1123185.8407079645</v>
      </c>
    </row>
    <row r="60" spans="1:13" x14ac:dyDescent="0.2">
      <c r="A60" s="2" t="s">
        <v>603</v>
      </c>
      <c r="B60" s="1" t="s">
        <v>80</v>
      </c>
      <c r="C60" s="1" t="s">
        <v>604</v>
      </c>
      <c r="D60" s="1">
        <v>6.2149999999999999</v>
      </c>
      <c r="E60" s="1">
        <v>200</v>
      </c>
      <c r="F60" s="1">
        <v>21</v>
      </c>
      <c r="G60" s="1">
        <f t="shared" si="11"/>
        <v>4200</v>
      </c>
      <c r="H60" s="1">
        <f t="shared" si="10"/>
        <v>675.7843925985519</v>
      </c>
      <c r="I60" s="3">
        <v>2651</v>
      </c>
      <c r="J60" s="37">
        <f t="shared" si="7"/>
        <v>1791504.4247787609</v>
      </c>
      <c r="K60" s="29">
        <v>15000</v>
      </c>
      <c r="L60" s="64">
        <f t="shared" si="8"/>
        <v>3000000</v>
      </c>
      <c r="M60" s="29">
        <f t="shared" si="9"/>
        <v>1208495.5752212391</v>
      </c>
    </row>
    <row r="61" spans="1:13" x14ac:dyDescent="0.2">
      <c r="A61" s="2" t="s">
        <v>605</v>
      </c>
      <c r="B61" s="1" t="s">
        <v>80</v>
      </c>
      <c r="C61" s="1" t="s">
        <v>594</v>
      </c>
      <c r="D61" s="1">
        <v>6.2149999999999999</v>
      </c>
      <c r="E61" s="1">
        <v>200</v>
      </c>
      <c r="F61" s="1">
        <v>21.5</v>
      </c>
      <c r="G61" s="1">
        <f t="shared" si="11"/>
        <v>4300</v>
      </c>
      <c r="H61" s="1">
        <f t="shared" si="10"/>
        <v>691.8744971842317</v>
      </c>
      <c r="I61" s="3">
        <v>2651</v>
      </c>
      <c r="J61" s="37">
        <f t="shared" si="7"/>
        <v>1834159.2920353981</v>
      </c>
      <c r="K61" s="29">
        <v>15000</v>
      </c>
      <c r="L61" s="64">
        <f t="shared" si="8"/>
        <v>3000000</v>
      </c>
      <c r="M61" s="29">
        <f t="shared" si="9"/>
        <v>1165840.7079646019</v>
      </c>
    </row>
    <row r="62" spans="1:13" x14ac:dyDescent="0.2">
      <c r="A62" s="2" t="s">
        <v>606</v>
      </c>
      <c r="B62" s="1" t="s">
        <v>88</v>
      </c>
      <c r="C62" s="1" t="s">
        <v>607</v>
      </c>
      <c r="D62" s="1">
        <v>6.2149999999999999</v>
      </c>
      <c r="E62" s="1">
        <v>200</v>
      </c>
      <c r="F62" s="1">
        <v>25</v>
      </c>
      <c r="G62" s="1">
        <f t="shared" si="11"/>
        <v>5000</v>
      </c>
      <c r="H62" s="1">
        <f t="shared" si="10"/>
        <v>804.50522928399039</v>
      </c>
      <c r="I62" s="3">
        <v>2651</v>
      </c>
      <c r="J62" s="37">
        <f t="shared" si="7"/>
        <v>2132743.3628318585</v>
      </c>
      <c r="K62" s="29">
        <v>17000</v>
      </c>
      <c r="L62" s="64">
        <f t="shared" si="8"/>
        <v>3400000</v>
      </c>
      <c r="M62" s="29">
        <f t="shared" si="9"/>
        <v>1267256.6371681415</v>
      </c>
    </row>
    <row r="63" spans="1:13" x14ac:dyDescent="0.2">
      <c r="A63" s="2" t="s">
        <v>608</v>
      </c>
      <c r="B63" s="1" t="s">
        <v>88</v>
      </c>
      <c r="C63" s="1" t="s">
        <v>609</v>
      </c>
      <c r="D63" s="1">
        <v>6.2149999999999999</v>
      </c>
      <c r="E63" s="1">
        <v>140</v>
      </c>
      <c r="F63" s="1">
        <v>25</v>
      </c>
      <c r="G63" s="1">
        <f t="shared" si="11"/>
        <v>3500</v>
      </c>
      <c r="H63" s="1">
        <f t="shared" si="10"/>
        <v>563.15366049879322</v>
      </c>
      <c r="I63" s="3">
        <v>2651</v>
      </c>
      <c r="J63" s="37">
        <f t="shared" si="7"/>
        <v>1492920.353982301</v>
      </c>
      <c r="K63" s="29">
        <v>16000</v>
      </c>
      <c r="L63" s="64">
        <f t="shared" si="8"/>
        <v>2240000</v>
      </c>
      <c r="M63" s="29">
        <f t="shared" si="9"/>
        <v>747079.64601769904</v>
      </c>
    </row>
    <row r="64" spans="1:13" x14ac:dyDescent="0.2">
      <c r="A64" s="2" t="s">
        <v>610</v>
      </c>
      <c r="B64" s="1" t="s">
        <v>88</v>
      </c>
      <c r="C64" s="1" t="s">
        <v>611</v>
      </c>
      <c r="D64" s="1">
        <v>6.2149999999999999</v>
      </c>
      <c r="E64" s="1">
        <v>200</v>
      </c>
      <c r="F64" s="1">
        <v>25</v>
      </c>
      <c r="G64" s="1">
        <f t="shared" si="11"/>
        <v>5000</v>
      </c>
      <c r="H64" s="1">
        <f t="shared" si="10"/>
        <v>804.50522928399039</v>
      </c>
      <c r="I64" s="3">
        <v>2651</v>
      </c>
      <c r="J64" s="37">
        <f t="shared" si="7"/>
        <v>2132743.3628318585</v>
      </c>
      <c r="K64" s="29">
        <v>16000</v>
      </c>
      <c r="L64" s="64">
        <f t="shared" si="8"/>
        <v>3200000</v>
      </c>
      <c r="M64" s="29">
        <f t="shared" si="9"/>
        <v>1067256.6371681415</v>
      </c>
    </row>
    <row r="65" spans="1:13" x14ac:dyDescent="0.2">
      <c r="A65" s="2" t="s">
        <v>612</v>
      </c>
      <c r="B65" s="1" t="s">
        <v>88</v>
      </c>
      <c r="C65" s="1" t="s">
        <v>613</v>
      </c>
      <c r="D65" s="1">
        <v>6.2149999999999999</v>
      </c>
      <c r="E65" s="1">
        <v>190</v>
      </c>
      <c r="F65" s="1">
        <v>27</v>
      </c>
      <c r="G65" s="1">
        <f t="shared" si="11"/>
        <v>5130</v>
      </c>
      <c r="H65" s="1">
        <f t="shared" si="10"/>
        <v>825.42236524537407</v>
      </c>
      <c r="I65" s="3">
        <v>2651</v>
      </c>
      <c r="J65" s="37">
        <f t="shared" si="7"/>
        <v>2188194.6902654869</v>
      </c>
      <c r="K65" s="29">
        <v>17000</v>
      </c>
      <c r="L65" s="64">
        <f t="shared" si="8"/>
        <v>3230000</v>
      </c>
      <c r="M65" s="29">
        <f t="shared" si="9"/>
        <v>1041805.3097345131</v>
      </c>
    </row>
    <row r="66" spans="1:13" x14ac:dyDescent="0.2">
      <c r="A66" s="2" t="s">
        <v>614</v>
      </c>
      <c r="B66" s="1" t="s">
        <v>88</v>
      </c>
      <c r="C66" s="1" t="s">
        <v>615</v>
      </c>
      <c r="D66" s="1">
        <v>6.2149999999999999</v>
      </c>
      <c r="E66" s="1">
        <v>200</v>
      </c>
      <c r="F66" s="1">
        <v>26</v>
      </c>
      <c r="G66" s="1">
        <f t="shared" si="11"/>
        <v>5200</v>
      </c>
      <c r="H66" s="1">
        <f t="shared" si="10"/>
        <v>836.68543845534998</v>
      </c>
      <c r="I66" s="3">
        <v>2651</v>
      </c>
      <c r="J66" s="37">
        <f t="shared" si="7"/>
        <v>2218053.0973451328</v>
      </c>
      <c r="K66" s="29">
        <v>17000</v>
      </c>
      <c r="L66" s="64">
        <f t="shared" si="8"/>
        <v>3400000</v>
      </c>
      <c r="M66" s="29">
        <f t="shared" si="9"/>
        <v>1181946.9026548672</v>
      </c>
    </row>
    <row r="67" spans="1:13" x14ac:dyDescent="0.2">
      <c r="A67" s="2" t="s">
        <v>616</v>
      </c>
      <c r="B67" s="1" t="s">
        <v>21</v>
      </c>
      <c r="C67" s="1" t="s">
        <v>617</v>
      </c>
      <c r="D67" s="1">
        <v>6.2149999999999999</v>
      </c>
      <c r="E67" s="1">
        <v>1600</v>
      </c>
      <c r="F67" s="1">
        <v>27.8</v>
      </c>
      <c r="G67" s="1">
        <f t="shared" si="11"/>
        <v>44480</v>
      </c>
      <c r="H67" s="1">
        <f t="shared" si="10"/>
        <v>7156.878519710378</v>
      </c>
      <c r="I67" s="3">
        <v>2651</v>
      </c>
      <c r="J67" s="37">
        <f t="shared" si="7"/>
        <v>18972884.955752213</v>
      </c>
      <c r="K67" s="29">
        <v>18000</v>
      </c>
      <c r="L67" s="64">
        <f t="shared" si="8"/>
        <v>28800000</v>
      </c>
      <c r="M67" s="29">
        <f t="shared" si="9"/>
        <v>9827115.0442477874</v>
      </c>
    </row>
    <row r="68" spans="1:13" x14ac:dyDescent="0.2">
      <c r="A68" s="2" t="s">
        <v>618</v>
      </c>
      <c r="B68" s="1" t="s">
        <v>88</v>
      </c>
      <c r="C68" s="1" t="s">
        <v>619</v>
      </c>
      <c r="D68" s="1">
        <v>6.2149999999999999</v>
      </c>
      <c r="E68" s="1">
        <v>500</v>
      </c>
      <c r="F68" s="1">
        <v>23</v>
      </c>
      <c r="G68" s="1">
        <f t="shared" si="11"/>
        <v>11500</v>
      </c>
      <c r="H68" s="1">
        <f t="shared" si="10"/>
        <v>1850.3620273531778</v>
      </c>
      <c r="I68" s="3">
        <v>2651</v>
      </c>
      <c r="J68" s="37">
        <f t="shared" si="7"/>
        <v>4905309.7345132744</v>
      </c>
      <c r="K68" s="29">
        <v>18000</v>
      </c>
      <c r="L68" s="64">
        <f t="shared" si="8"/>
        <v>9000000</v>
      </c>
      <c r="M68" s="29">
        <f t="shared" si="9"/>
        <v>4094690.2654867256</v>
      </c>
    </row>
    <row r="69" spans="1:13" x14ac:dyDescent="0.2">
      <c r="A69" s="2" t="s">
        <v>620</v>
      </c>
      <c r="B69" s="1" t="s">
        <v>88</v>
      </c>
      <c r="C69" s="1" t="s">
        <v>621</v>
      </c>
      <c r="D69" s="1">
        <v>6.2149999999999999</v>
      </c>
      <c r="E69" s="1">
        <v>200</v>
      </c>
      <c r="F69" s="1">
        <v>23</v>
      </c>
      <c r="G69" s="1">
        <f t="shared" si="11"/>
        <v>4600</v>
      </c>
      <c r="H69" s="1">
        <f t="shared" si="10"/>
        <v>740.14481094127109</v>
      </c>
      <c r="I69" s="3">
        <v>2651</v>
      </c>
      <c r="J69" s="37">
        <f t="shared" si="7"/>
        <v>1962123.8938053099</v>
      </c>
      <c r="K69" s="29">
        <v>17000</v>
      </c>
      <c r="L69" s="64">
        <f t="shared" si="8"/>
        <v>3400000</v>
      </c>
      <c r="M69" s="29">
        <f t="shared" si="9"/>
        <v>1437876.1061946901</v>
      </c>
    </row>
    <row r="70" spans="1:13" x14ac:dyDescent="0.2">
      <c r="A70" s="2" t="s">
        <v>622</v>
      </c>
      <c r="B70" s="1" t="s">
        <v>88</v>
      </c>
      <c r="C70" s="1" t="s">
        <v>623</v>
      </c>
      <c r="D70" s="1">
        <v>6.2149999999999999</v>
      </c>
      <c r="E70" s="1">
        <v>200</v>
      </c>
      <c r="F70" s="1">
        <v>28</v>
      </c>
      <c r="G70" s="1">
        <f t="shared" si="11"/>
        <v>5600</v>
      </c>
      <c r="H70" s="1">
        <f t="shared" si="10"/>
        <v>901.04585679806917</v>
      </c>
      <c r="I70" s="3">
        <v>2651</v>
      </c>
      <c r="J70" s="37">
        <f t="shared" si="7"/>
        <v>2388672.5663716812</v>
      </c>
      <c r="K70" s="29">
        <v>18000</v>
      </c>
      <c r="L70" s="64">
        <f t="shared" si="8"/>
        <v>3600000</v>
      </c>
      <c r="M70" s="29">
        <f t="shared" si="9"/>
        <v>1211327.4336283188</v>
      </c>
    </row>
    <row r="71" spans="1:13" x14ac:dyDescent="0.2">
      <c r="A71" s="2" t="s">
        <v>624</v>
      </c>
      <c r="B71" s="1" t="s">
        <v>88</v>
      </c>
      <c r="C71" s="1" t="s">
        <v>625</v>
      </c>
      <c r="D71" s="1">
        <v>6.2149999999999999</v>
      </c>
      <c r="E71" s="1">
        <v>200</v>
      </c>
      <c r="F71" s="1">
        <v>28</v>
      </c>
      <c r="G71" s="1">
        <f t="shared" si="11"/>
        <v>5600</v>
      </c>
      <c r="H71" s="1">
        <f t="shared" si="10"/>
        <v>901.04585679806917</v>
      </c>
      <c r="I71" s="3">
        <v>2651</v>
      </c>
      <c r="J71" s="37">
        <f t="shared" si="7"/>
        <v>2388672.5663716812</v>
      </c>
      <c r="K71" s="29">
        <v>18000</v>
      </c>
      <c r="L71" s="64">
        <f t="shared" si="8"/>
        <v>3600000</v>
      </c>
      <c r="M71" s="29">
        <f t="shared" si="9"/>
        <v>1211327.4336283188</v>
      </c>
    </row>
    <row r="72" spans="1:13" x14ac:dyDescent="0.2">
      <c r="A72" s="2" t="s">
        <v>626</v>
      </c>
      <c r="B72" s="1" t="s">
        <v>16</v>
      </c>
      <c r="C72" s="1" t="s">
        <v>627</v>
      </c>
      <c r="D72" s="1">
        <v>6.2149999999999999</v>
      </c>
      <c r="E72" s="1">
        <v>600</v>
      </c>
      <c r="F72" s="1">
        <v>26</v>
      </c>
      <c r="G72" s="1">
        <f t="shared" si="11"/>
        <v>15600</v>
      </c>
      <c r="H72" s="1">
        <f t="shared" si="10"/>
        <v>2510.0563153660501</v>
      </c>
      <c r="I72" s="3">
        <v>2651</v>
      </c>
      <c r="J72" s="37">
        <f t="shared" si="7"/>
        <v>6654159.292035399</v>
      </c>
      <c r="K72" s="29">
        <v>18000</v>
      </c>
      <c r="L72" s="64">
        <f t="shared" si="8"/>
        <v>10800000</v>
      </c>
      <c r="M72" s="29">
        <f t="shared" si="9"/>
        <v>4145840.707964601</v>
      </c>
    </row>
    <row r="73" spans="1:13" x14ac:dyDescent="0.2">
      <c r="A73" s="2" t="s">
        <v>628</v>
      </c>
      <c r="B73" s="1" t="s">
        <v>88</v>
      </c>
      <c r="C73" s="1" t="s">
        <v>629</v>
      </c>
      <c r="D73" s="1">
        <v>6.2149999999999999</v>
      </c>
      <c r="E73" s="1">
        <v>200</v>
      </c>
      <c r="F73" s="1">
        <v>24</v>
      </c>
      <c r="G73" s="1">
        <f t="shared" si="11"/>
        <v>4800</v>
      </c>
      <c r="H73" s="1">
        <f t="shared" si="10"/>
        <v>772.3250201126308</v>
      </c>
      <c r="I73" s="3">
        <v>2651</v>
      </c>
      <c r="J73" s="37">
        <f t="shared" si="7"/>
        <v>2047433.6283185843</v>
      </c>
      <c r="K73" s="29">
        <v>16000</v>
      </c>
      <c r="L73" s="64">
        <f t="shared" si="8"/>
        <v>3200000</v>
      </c>
      <c r="M73" s="29">
        <f t="shared" si="9"/>
        <v>1152566.3716814157</v>
      </c>
    </row>
    <row r="74" spans="1:13" x14ac:dyDescent="0.2">
      <c r="A74" s="2" t="s">
        <v>630</v>
      </c>
      <c r="B74" s="1" t="s">
        <v>88</v>
      </c>
      <c r="C74" s="1" t="s">
        <v>631</v>
      </c>
      <c r="D74" s="1">
        <v>6.2149999999999999</v>
      </c>
      <c r="E74" s="1">
        <v>150</v>
      </c>
      <c r="F74" s="1">
        <v>25</v>
      </c>
      <c r="G74" s="1">
        <f t="shared" si="11"/>
        <v>3750</v>
      </c>
      <c r="H74" s="1">
        <f t="shared" si="10"/>
        <v>603.37892196299276</v>
      </c>
      <c r="I74" s="3">
        <v>2651</v>
      </c>
      <c r="J74" s="37">
        <f t="shared" si="7"/>
        <v>1599557.5221238937</v>
      </c>
      <c r="K74" s="29">
        <v>16000</v>
      </c>
      <c r="L74" s="64">
        <f t="shared" si="8"/>
        <v>2400000</v>
      </c>
      <c r="M74" s="29">
        <f t="shared" si="9"/>
        <v>800442.47787610628</v>
      </c>
    </row>
    <row r="75" spans="1:13" x14ac:dyDescent="0.2">
      <c r="A75" s="2" t="s">
        <v>632</v>
      </c>
      <c r="B75" s="1" t="s">
        <v>88</v>
      </c>
      <c r="C75" s="1" t="s">
        <v>633</v>
      </c>
      <c r="D75" s="1">
        <v>6.2149999999999999</v>
      </c>
      <c r="E75" s="1">
        <v>150</v>
      </c>
      <c r="F75" s="1">
        <v>25</v>
      </c>
      <c r="G75" s="1">
        <f t="shared" si="11"/>
        <v>3750</v>
      </c>
      <c r="H75" s="1">
        <f t="shared" si="10"/>
        <v>603.37892196299276</v>
      </c>
      <c r="I75" s="3">
        <v>2651</v>
      </c>
      <c r="J75" s="37">
        <f t="shared" si="7"/>
        <v>1599557.5221238937</v>
      </c>
      <c r="K75" s="29">
        <v>16000</v>
      </c>
      <c r="L75" s="64">
        <f t="shared" si="8"/>
        <v>2400000</v>
      </c>
      <c r="M75" s="29">
        <f t="shared" si="9"/>
        <v>800442.47787610628</v>
      </c>
    </row>
    <row r="76" spans="1:13" x14ac:dyDescent="0.2">
      <c r="A76" s="2" t="s">
        <v>634</v>
      </c>
      <c r="B76" s="1" t="s">
        <v>88</v>
      </c>
      <c r="C76" s="1" t="s">
        <v>635</v>
      </c>
      <c r="D76" s="1">
        <v>6.2149999999999999</v>
      </c>
      <c r="E76" s="1">
        <v>150</v>
      </c>
      <c r="F76" s="1">
        <v>25</v>
      </c>
      <c r="G76" s="1">
        <f t="shared" si="11"/>
        <v>3750</v>
      </c>
      <c r="H76" s="1">
        <f t="shared" si="10"/>
        <v>603.37892196299276</v>
      </c>
      <c r="I76" s="3">
        <v>2651</v>
      </c>
      <c r="J76" s="37">
        <f t="shared" si="7"/>
        <v>1599557.5221238937</v>
      </c>
      <c r="K76" s="29">
        <v>16000</v>
      </c>
      <c r="L76" s="64">
        <f t="shared" si="8"/>
        <v>2400000</v>
      </c>
      <c r="M76" s="29">
        <f t="shared" si="9"/>
        <v>800442.47787610628</v>
      </c>
    </row>
    <row r="77" spans="1:13" x14ac:dyDescent="0.2">
      <c r="A77" s="2" t="s">
        <v>628</v>
      </c>
      <c r="B77" s="1" t="s">
        <v>88</v>
      </c>
      <c r="C77" s="1" t="s">
        <v>636</v>
      </c>
      <c r="D77" s="1">
        <v>6.2149999999999999</v>
      </c>
      <c r="E77" s="1">
        <v>150</v>
      </c>
      <c r="F77" s="1">
        <v>24</v>
      </c>
      <c r="G77" s="1">
        <f t="shared" si="11"/>
        <v>3600</v>
      </c>
      <c r="H77" s="1">
        <f t="shared" si="10"/>
        <v>579.24376508447301</v>
      </c>
      <c r="I77" s="3">
        <v>2651</v>
      </c>
      <c r="J77" s="37">
        <f t="shared" si="7"/>
        <v>1535575.2212389382</v>
      </c>
      <c r="K77" s="29">
        <v>16000</v>
      </c>
      <c r="L77" s="64">
        <f t="shared" si="8"/>
        <v>2400000</v>
      </c>
      <c r="M77" s="29">
        <f t="shared" si="9"/>
        <v>864424.77876106184</v>
      </c>
    </row>
    <row r="78" spans="1:13" x14ac:dyDescent="0.2">
      <c r="A78" s="2" t="s">
        <v>630</v>
      </c>
      <c r="B78" s="1" t="s">
        <v>88</v>
      </c>
      <c r="C78" s="1" t="s">
        <v>637</v>
      </c>
      <c r="D78" s="1">
        <v>6.2149999999999999</v>
      </c>
      <c r="E78" s="1">
        <v>200</v>
      </c>
      <c r="F78" s="1">
        <v>23</v>
      </c>
      <c r="G78" s="1">
        <f t="shared" si="11"/>
        <v>4600</v>
      </c>
      <c r="H78" s="1">
        <f t="shared" si="10"/>
        <v>740.14481094127109</v>
      </c>
      <c r="I78" s="3">
        <v>2651</v>
      </c>
      <c r="J78" s="37">
        <f t="shared" si="7"/>
        <v>1962123.8938053099</v>
      </c>
      <c r="K78" s="29">
        <v>16000</v>
      </c>
      <c r="L78" s="64">
        <f t="shared" si="8"/>
        <v>3200000</v>
      </c>
      <c r="M78" s="29">
        <f t="shared" si="9"/>
        <v>1237876.1061946901</v>
      </c>
    </row>
    <row r="79" spans="1:13" x14ac:dyDescent="0.2">
      <c r="A79" s="2" t="s">
        <v>632</v>
      </c>
      <c r="B79" s="1" t="s">
        <v>88</v>
      </c>
      <c r="C79" s="1" t="s">
        <v>638</v>
      </c>
      <c r="D79" s="1">
        <v>6.2149999999999999</v>
      </c>
      <c r="E79" s="1">
        <v>200</v>
      </c>
      <c r="F79" s="1">
        <v>26</v>
      </c>
      <c r="G79" s="1">
        <f t="shared" si="11"/>
        <v>5200</v>
      </c>
      <c r="H79" s="1">
        <f t="shared" si="10"/>
        <v>836.68543845534998</v>
      </c>
      <c r="I79" s="3">
        <v>2651</v>
      </c>
      <c r="J79" s="37">
        <f t="shared" si="7"/>
        <v>2218053.0973451328</v>
      </c>
      <c r="K79" s="29">
        <v>16000</v>
      </c>
      <c r="L79" s="64">
        <f t="shared" si="8"/>
        <v>3200000</v>
      </c>
      <c r="M79" s="29">
        <f t="shared" si="9"/>
        <v>981946.90265486715</v>
      </c>
    </row>
    <row r="80" spans="1:13" x14ac:dyDescent="0.2">
      <c r="A80" s="2" t="s">
        <v>634</v>
      </c>
      <c r="B80" s="1" t="s">
        <v>88</v>
      </c>
      <c r="C80" s="1" t="s">
        <v>639</v>
      </c>
      <c r="D80" s="1">
        <v>6.2149999999999999</v>
      </c>
      <c r="E80" s="1">
        <v>150</v>
      </c>
      <c r="F80" s="1">
        <v>25.5</v>
      </c>
      <c r="G80" s="1">
        <f t="shared" si="11"/>
        <v>3825</v>
      </c>
      <c r="H80" s="1">
        <f t="shared" si="10"/>
        <v>615.44650040225258</v>
      </c>
      <c r="I80" s="3">
        <v>2651</v>
      </c>
      <c r="J80" s="37">
        <f t="shared" si="7"/>
        <v>1631548.6725663717</v>
      </c>
      <c r="K80" s="29">
        <v>16000</v>
      </c>
      <c r="L80" s="64">
        <f t="shared" si="8"/>
        <v>2400000</v>
      </c>
      <c r="M80" s="29">
        <f t="shared" si="9"/>
        <v>768451.32743362826</v>
      </c>
    </row>
    <row r="81" spans="1:13" x14ac:dyDescent="0.2">
      <c r="A81" s="2" t="s">
        <v>640</v>
      </c>
      <c r="B81" s="1" t="s">
        <v>88</v>
      </c>
      <c r="C81" s="1" t="s">
        <v>641</v>
      </c>
      <c r="D81" s="1">
        <v>6.2149999999999999</v>
      </c>
      <c r="E81" s="1">
        <v>500</v>
      </c>
      <c r="F81" s="1">
        <v>26</v>
      </c>
      <c r="G81" s="1">
        <f t="shared" si="11"/>
        <v>13000</v>
      </c>
      <c r="H81" s="1">
        <f t="shared" si="10"/>
        <v>2091.7135961383751</v>
      </c>
      <c r="I81" s="3">
        <v>2651</v>
      </c>
      <c r="J81" s="37">
        <f t="shared" si="7"/>
        <v>5545132.7433628319</v>
      </c>
      <c r="K81" s="29">
        <v>17000</v>
      </c>
      <c r="L81" s="64">
        <f t="shared" si="8"/>
        <v>8500000</v>
      </c>
      <c r="M81" s="29">
        <f t="shared" si="9"/>
        <v>2954867.2566371681</v>
      </c>
    </row>
    <row r="82" spans="1:13" x14ac:dyDescent="0.2">
      <c r="A82" s="2" t="s">
        <v>642</v>
      </c>
      <c r="B82" s="1" t="s">
        <v>561</v>
      </c>
      <c r="C82" s="1" t="s">
        <v>643</v>
      </c>
      <c r="D82" s="1">
        <v>6.2149999999999999</v>
      </c>
      <c r="E82" s="1">
        <v>300</v>
      </c>
      <c r="F82" s="1">
        <v>20</v>
      </c>
      <c r="G82" s="1">
        <f t="shared" si="11"/>
        <v>6000</v>
      </c>
      <c r="H82" s="1">
        <f t="shared" si="10"/>
        <v>965.40627514078847</v>
      </c>
      <c r="I82" s="3">
        <v>2651</v>
      </c>
      <c r="J82" s="37">
        <f t="shared" si="7"/>
        <v>2559292.0353982304</v>
      </c>
      <c r="K82" s="29">
        <v>15000</v>
      </c>
      <c r="L82" s="64">
        <f t="shared" si="8"/>
        <v>4500000</v>
      </c>
      <c r="M82" s="29">
        <f t="shared" si="9"/>
        <v>1940707.9646017696</v>
      </c>
    </row>
    <row r="83" spans="1:13" x14ac:dyDescent="0.2">
      <c r="A83" s="2" t="s">
        <v>644</v>
      </c>
      <c r="B83" s="1" t="s">
        <v>561</v>
      </c>
      <c r="C83" s="1" t="s">
        <v>645</v>
      </c>
      <c r="D83" s="1">
        <v>6.2149999999999999</v>
      </c>
      <c r="E83" s="1">
        <v>200</v>
      </c>
      <c r="F83" s="1">
        <v>20</v>
      </c>
      <c r="G83" s="1">
        <f t="shared" si="11"/>
        <v>4000</v>
      </c>
      <c r="H83" s="1">
        <f t="shared" si="10"/>
        <v>643.60418342719231</v>
      </c>
      <c r="I83" s="3">
        <v>2651</v>
      </c>
      <c r="J83" s="37">
        <f t="shared" si="7"/>
        <v>1706194.6902654869</v>
      </c>
      <c r="K83" s="29">
        <v>15000</v>
      </c>
      <c r="L83" s="64">
        <f t="shared" si="8"/>
        <v>3000000</v>
      </c>
      <c r="M83" s="29">
        <f t="shared" si="9"/>
        <v>1293805.3097345131</v>
      </c>
    </row>
    <row r="84" spans="1:13" x14ac:dyDescent="0.2">
      <c r="A84" s="2" t="s">
        <v>646</v>
      </c>
      <c r="B84" s="1" t="s">
        <v>647</v>
      </c>
      <c r="C84" s="1" t="s">
        <v>648</v>
      </c>
      <c r="D84" s="1">
        <v>6.2149999999999999</v>
      </c>
      <c r="E84" s="1">
        <v>200</v>
      </c>
      <c r="F84" s="1">
        <v>17</v>
      </c>
      <c r="G84" s="1">
        <f t="shared" si="11"/>
        <v>3400</v>
      </c>
      <c r="H84" s="1">
        <f t="shared" si="10"/>
        <v>547.06355591311342</v>
      </c>
      <c r="I84" s="3">
        <v>2651</v>
      </c>
      <c r="J84" s="37">
        <f t="shared" si="7"/>
        <v>1450265.4867256638</v>
      </c>
      <c r="K84" s="29">
        <v>13000</v>
      </c>
      <c r="L84" s="64">
        <f t="shared" si="8"/>
        <v>2600000</v>
      </c>
      <c r="M84" s="29">
        <f t="shared" si="9"/>
        <v>1149734.5132743362</v>
      </c>
    </row>
    <row r="85" spans="1:13" x14ac:dyDescent="0.2">
      <c r="A85" s="2" t="s">
        <v>649</v>
      </c>
      <c r="B85" s="1" t="s">
        <v>88</v>
      </c>
      <c r="C85" s="1" t="s">
        <v>406</v>
      </c>
      <c r="D85" s="1">
        <v>6.2149999999999999</v>
      </c>
      <c r="E85" s="1">
        <v>351</v>
      </c>
      <c r="F85" s="1">
        <v>12</v>
      </c>
      <c r="G85" s="1">
        <f t="shared" si="11"/>
        <v>4212</v>
      </c>
      <c r="H85" s="1">
        <f t="shared" si="10"/>
        <v>677.71520514883343</v>
      </c>
      <c r="I85" s="3">
        <v>2651</v>
      </c>
      <c r="J85" s="37">
        <f t="shared" si="7"/>
        <v>1796623.0088495577</v>
      </c>
      <c r="K85" s="29">
        <v>16000</v>
      </c>
      <c r="L85" s="64">
        <f t="shared" si="8"/>
        <v>5616000</v>
      </c>
      <c r="M85" s="29">
        <f t="shared" si="9"/>
        <v>3819376.9911504425</v>
      </c>
    </row>
    <row r="86" spans="1:13" x14ac:dyDescent="0.2">
      <c r="A86" s="2" t="s">
        <v>650</v>
      </c>
      <c r="B86" s="1" t="s">
        <v>88</v>
      </c>
      <c r="C86" s="1" t="s">
        <v>651</v>
      </c>
      <c r="D86" s="1">
        <v>6.2149999999999999</v>
      </c>
      <c r="E86" s="1">
        <v>75</v>
      </c>
      <c r="F86" s="1">
        <v>15</v>
      </c>
      <c r="G86" s="1">
        <f t="shared" si="11"/>
        <v>1125</v>
      </c>
      <c r="H86" s="1">
        <f t="shared" si="10"/>
        <v>181.01367658889782</v>
      </c>
      <c r="I86" s="3">
        <v>2651</v>
      </c>
      <c r="J86" s="37">
        <f t="shared" si="7"/>
        <v>479867.25663716818</v>
      </c>
      <c r="K86" s="29">
        <v>16000</v>
      </c>
      <c r="L86" s="64">
        <f t="shared" si="8"/>
        <v>1200000</v>
      </c>
      <c r="M86" s="29">
        <f t="shared" si="9"/>
        <v>720132.74336283188</v>
      </c>
    </row>
    <row r="87" spans="1:13" x14ac:dyDescent="0.2">
      <c r="A87" s="2" t="s">
        <v>652</v>
      </c>
      <c r="B87" s="1" t="s">
        <v>23</v>
      </c>
      <c r="C87" s="1" t="s">
        <v>653</v>
      </c>
      <c r="D87" s="1">
        <v>6.2149999999999999</v>
      </c>
      <c r="E87" s="1">
        <v>200</v>
      </c>
      <c r="F87" s="1">
        <v>10</v>
      </c>
      <c r="G87" s="1">
        <f t="shared" si="11"/>
        <v>2000</v>
      </c>
      <c r="H87" s="1">
        <f t="shared" si="10"/>
        <v>321.80209171359616</v>
      </c>
      <c r="I87" s="3">
        <v>2651</v>
      </c>
      <c r="J87" s="37">
        <f t="shared" si="7"/>
        <v>853097.34513274347</v>
      </c>
      <c r="K87" s="29">
        <v>12000</v>
      </c>
      <c r="L87" s="64">
        <f t="shared" si="8"/>
        <v>2400000</v>
      </c>
      <c r="M87" s="29">
        <f t="shared" si="9"/>
        <v>1546902.6548672565</v>
      </c>
    </row>
    <row r="88" spans="1:13" x14ac:dyDescent="0.2">
      <c r="A88" s="2" t="s">
        <v>654</v>
      </c>
      <c r="B88" s="1" t="s">
        <v>88</v>
      </c>
      <c r="C88" s="1" t="s">
        <v>655</v>
      </c>
      <c r="D88" s="1">
        <v>6.2149999999999999</v>
      </c>
      <c r="E88" s="1">
        <v>100</v>
      </c>
      <c r="F88" s="1">
        <v>21</v>
      </c>
      <c r="G88" s="1">
        <f t="shared" si="11"/>
        <v>2100</v>
      </c>
      <c r="H88" s="1">
        <f t="shared" si="10"/>
        <v>337.89219629927595</v>
      </c>
      <c r="I88" s="3">
        <v>2651</v>
      </c>
      <c r="J88" s="37">
        <f t="shared" si="7"/>
        <v>895752.21238938044</v>
      </c>
      <c r="K88" s="29">
        <v>17000</v>
      </c>
      <c r="L88" s="64">
        <f t="shared" si="8"/>
        <v>1700000</v>
      </c>
      <c r="M88" s="29">
        <f>L88-J88</f>
        <v>804247.78761061956</v>
      </c>
    </row>
    <row r="89" spans="1:13" x14ac:dyDescent="0.2">
      <c r="A89" s="2" t="s">
        <v>656</v>
      </c>
      <c r="B89" s="1" t="s">
        <v>657</v>
      </c>
      <c r="C89" s="1" t="s">
        <v>557</v>
      </c>
      <c r="D89" s="1">
        <v>6.2149999999999999</v>
      </c>
      <c r="E89" s="1">
        <v>10</v>
      </c>
      <c r="F89" s="1">
        <v>105</v>
      </c>
      <c r="G89" s="1">
        <f t="shared" si="11"/>
        <v>1050</v>
      </c>
      <c r="H89" s="1">
        <f t="shared" si="10"/>
        <v>168.94609814963798</v>
      </c>
      <c r="I89" s="3">
        <v>2651</v>
      </c>
      <c r="J89" s="37">
        <f t="shared" si="7"/>
        <v>447876.10619469022</v>
      </c>
      <c r="K89" s="29">
        <v>150000</v>
      </c>
      <c r="L89" s="64">
        <f t="shared" si="8"/>
        <v>1500000</v>
      </c>
      <c r="M89" s="29">
        <f>L89-J89</f>
        <v>1052123.8938053097</v>
      </c>
    </row>
    <row r="90" spans="1:13" x14ac:dyDescent="0.2">
      <c r="A90" s="2" t="s">
        <v>658</v>
      </c>
      <c r="B90" s="1" t="s">
        <v>657</v>
      </c>
      <c r="C90" s="1" t="s">
        <v>659</v>
      </c>
      <c r="D90" s="1">
        <v>6.2149999999999999</v>
      </c>
      <c r="E90" s="1">
        <v>12</v>
      </c>
      <c r="F90" s="1">
        <v>140</v>
      </c>
      <c r="G90" s="1">
        <f t="shared" si="11"/>
        <v>1680</v>
      </c>
      <c r="H90" s="1">
        <f t="shared" si="10"/>
        <v>270.31375703942075</v>
      </c>
      <c r="I90" s="3">
        <v>2651</v>
      </c>
      <c r="J90" s="37">
        <f t="shared" si="7"/>
        <v>716601.76991150447</v>
      </c>
      <c r="K90" s="29">
        <v>230000</v>
      </c>
      <c r="L90" s="64">
        <f t="shared" si="8"/>
        <v>2760000</v>
      </c>
      <c r="M90" s="29">
        <f>L90-J90</f>
        <v>2043398.2300884956</v>
      </c>
    </row>
    <row r="91" spans="1:13" x14ac:dyDescent="0.2">
      <c r="B91" s="101"/>
      <c r="E91" s="99">
        <f>SUM(E48:E90)</f>
        <v>11975</v>
      </c>
      <c r="F91" s="102"/>
      <c r="G91" s="103">
        <f>SUM(G48:G90)</f>
        <v>282783</v>
      </c>
      <c r="H91" s="104">
        <f>SUM(H48:H90)</f>
        <v>45500.08045052291</v>
      </c>
      <c r="I91" s="48"/>
      <c r="J91" s="52">
        <f>SUM(J48:J90)</f>
        <v>120620713.27433625</v>
      </c>
      <c r="L91" s="49">
        <f>SUM(L48:L90)</f>
        <v>201598000</v>
      </c>
      <c r="M91" s="48">
        <f>SUM(M48:M90)</f>
        <v>80977286.725663722</v>
      </c>
    </row>
    <row r="92" spans="1:13" x14ac:dyDescent="0.2">
      <c r="G92" s="105"/>
    </row>
    <row r="95" spans="1:13" x14ac:dyDescent="0.2">
      <c r="I95" s="33" t="s">
        <v>660</v>
      </c>
      <c r="J95" s="3" t="s">
        <v>25</v>
      </c>
      <c r="K95" s="15">
        <v>120620713</v>
      </c>
      <c r="L95" s="15"/>
    </row>
    <row r="96" spans="1:13" x14ac:dyDescent="0.2">
      <c r="I96" s="33" t="s">
        <v>661</v>
      </c>
      <c r="J96" s="3" t="s">
        <v>27</v>
      </c>
      <c r="K96" s="9">
        <v>7065010</v>
      </c>
      <c r="L96" s="9"/>
    </row>
    <row r="97" spans="3:12" x14ac:dyDescent="0.2">
      <c r="I97" s="1"/>
      <c r="J97" s="3" t="s">
        <v>26</v>
      </c>
      <c r="K97" s="3">
        <v>3486065</v>
      </c>
      <c r="L97" s="3"/>
    </row>
    <row r="98" spans="3:12" x14ac:dyDescent="0.2">
      <c r="I98" s="1"/>
      <c r="J98" s="3" t="s">
        <v>33</v>
      </c>
      <c r="K98" s="3">
        <v>2000000</v>
      </c>
      <c r="L98" s="3"/>
    </row>
    <row r="99" spans="3:12" x14ac:dyDescent="0.2">
      <c r="I99" s="1"/>
      <c r="J99" s="3" t="s">
        <v>31</v>
      </c>
      <c r="K99" s="3">
        <v>6000000</v>
      </c>
      <c r="L99" s="3"/>
    </row>
    <row r="100" spans="3:12" x14ac:dyDescent="0.2">
      <c r="I100" s="1"/>
      <c r="J100" s="3" t="s">
        <v>36</v>
      </c>
      <c r="K100" s="3">
        <v>3500000</v>
      </c>
      <c r="L100" s="3"/>
    </row>
    <row r="101" spans="3:12" x14ac:dyDescent="0.2">
      <c r="I101" s="1"/>
      <c r="J101" s="3" t="s">
        <v>29</v>
      </c>
      <c r="K101" s="23">
        <v>14000000</v>
      </c>
      <c r="L101" s="23" t="s">
        <v>245</v>
      </c>
    </row>
    <row r="102" spans="3:12" x14ac:dyDescent="0.2">
      <c r="I102" s="1"/>
      <c r="J102" s="3" t="s">
        <v>34</v>
      </c>
      <c r="K102" s="26">
        <f>SUM(K95:K101)</f>
        <v>156671788</v>
      </c>
      <c r="L102" s="26"/>
    </row>
    <row r="103" spans="3:12" x14ac:dyDescent="0.2">
      <c r="I103" s="1"/>
      <c r="J103" s="3" t="s">
        <v>6</v>
      </c>
      <c r="K103" s="55">
        <v>201598000</v>
      </c>
      <c r="L103" s="55"/>
    </row>
    <row r="104" spans="3:12" ht="18" x14ac:dyDescent="0.35">
      <c r="I104" s="1"/>
      <c r="J104" s="3" t="s">
        <v>35</v>
      </c>
      <c r="K104" s="21">
        <f>K103-K102</f>
        <v>44926212</v>
      </c>
      <c r="L104" s="21"/>
    </row>
    <row r="106" spans="3:12" x14ac:dyDescent="0.2">
      <c r="C106" s="41" t="s">
        <v>662</v>
      </c>
      <c r="H106" t="s">
        <v>566</v>
      </c>
      <c r="I106" s="39" t="s">
        <v>342</v>
      </c>
      <c r="J106" s="39" t="s">
        <v>663</v>
      </c>
      <c r="K106" s="39" t="s">
        <v>565</v>
      </c>
    </row>
    <row r="107" spans="3:12" x14ac:dyDescent="0.2">
      <c r="C107" t="s">
        <v>664</v>
      </c>
      <c r="H107" t="s">
        <v>665</v>
      </c>
      <c r="I107" s="1" t="s">
        <v>666</v>
      </c>
      <c r="J107" s="1">
        <v>250</v>
      </c>
      <c r="K107" s="1">
        <f>J107/D82</f>
        <v>40.225261464199519</v>
      </c>
    </row>
    <row r="108" spans="3:12" x14ac:dyDescent="0.2">
      <c r="C108" t="s">
        <v>667</v>
      </c>
      <c r="I108" s="1" t="s">
        <v>668</v>
      </c>
      <c r="J108" s="1">
        <v>1400</v>
      </c>
      <c r="K108" s="1">
        <f>J108/D82</f>
        <v>225.26146419951729</v>
      </c>
    </row>
    <row r="109" spans="3:12" x14ac:dyDescent="0.2">
      <c r="I109" s="1" t="s">
        <v>669</v>
      </c>
      <c r="J109" s="1">
        <v>430</v>
      </c>
      <c r="K109" s="1">
        <f>J109/D85</f>
        <v>69.187449718423167</v>
      </c>
    </row>
    <row r="110" spans="3:12" x14ac:dyDescent="0.2">
      <c r="I110" s="1" t="s">
        <v>670</v>
      </c>
      <c r="J110" s="1">
        <v>120</v>
      </c>
      <c r="K110" s="1">
        <f>J110/D82</f>
        <v>19.30812550281577</v>
      </c>
    </row>
    <row r="111" spans="3:12" x14ac:dyDescent="0.2">
      <c r="I111" s="1" t="s">
        <v>671</v>
      </c>
      <c r="J111" s="1">
        <v>680</v>
      </c>
      <c r="K111" s="1">
        <f>J111/D85</f>
        <v>109.41271118262269</v>
      </c>
    </row>
    <row r="112" spans="3:12" x14ac:dyDescent="0.2">
      <c r="I112" s="1" t="s">
        <v>570</v>
      </c>
      <c r="J112" s="1">
        <v>2400</v>
      </c>
      <c r="K112" s="1">
        <f>J112/D82</f>
        <v>386.1625100563154</v>
      </c>
    </row>
    <row r="113" spans="9:11" x14ac:dyDescent="0.2">
      <c r="I113" s="1" t="s">
        <v>672</v>
      </c>
      <c r="J113" s="1">
        <v>520</v>
      </c>
      <c r="K113" s="1">
        <f>J113/D85</f>
        <v>83.668543845534998</v>
      </c>
    </row>
    <row r="114" spans="9:11" x14ac:dyDescent="0.2">
      <c r="I114" s="1" t="s">
        <v>673</v>
      </c>
      <c r="J114" s="1">
        <v>380</v>
      </c>
      <c r="K114" s="1">
        <f>J114/D86</f>
        <v>61.142397425583269</v>
      </c>
    </row>
    <row r="115" spans="9:11" x14ac:dyDescent="0.2">
      <c r="I115" s="1" t="s">
        <v>670</v>
      </c>
      <c r="J115" s="1">
        <v>120</v>
      </c>
      <c r="K115" s="1">
        <f>J115/D86</f>
        <v>19.30812550281577</v>
      </c>
    </row>
    <row r="116" spans="9:11" x14ac:dyDescent="0.2">
      <c r="I116" s="1" t="s">
        <v>674</v>
      </c>
      <c r="J116" s="1">
        <v>700</v>
      </c>
      <c r="K116" s="1">
        <f>J116/D85</f>
        <v>112.63073209975865</v>
      </c>
    </row>
    <row r="117" spans="9:11" x14ac:dyDescent="0.2">
      <c r="I117" s="1" t="s">
        <v>675</v>
      </c>
      <c r="J117" s="1">
        <v>100</v>
      </c>
      <c r="K117" s="1">
        <f>J117/D86</f>
        <v>16.090104585679807</v>
      </c>
    </row>
    <row r="118" spans="9:11" x14ac:dyDescent="0.2">
      <c r="I118" s="1" t="s">
        <v>676</v>
      </c>
      <c r="J118" s="1">
        <v>250</v>
      </c>
      <c r="K118" s="1">
        <f>J118/D87</f>
        <v>40.225261464199519</v>
      </c>
    </row>
    <row r="119" spans="9:11" x14ac:dyDescent="0.2">
      <c r="I119" s="1" t="s">
        <v>666</v>
      </c>
      <c r="J119" s="1">
        <v>400</v>
      </c>
      <c r="K119" s="1">
        <f>J119/D89</f>
        <v>64.360418342719228</v>
      </c>
    </row>
    <row r="120" spans="9:11" x14ac:dyDescent="0.2">
      <c r="I120" s="1" t="s">
        <v>677</v>
      </c>
      <c r="J120" s="1">
        <v>130</v>
      </c>
      <c r="K120" s="1">
        <f>J120/D84</f>
        <v>20.91713596138375</v>
      </c>
    </row>
    <row r="121" spans="9:11" x14ac:dyDescent="0.2">
      <c r="I121" s="1" t="s">
        <v>678</v>
      </c>
      <c r="J121" s="1">
        <v>2600</v>
      </c>
      <c r="K121" s="1">
        <f>J121/D88</f>
        <v>418.34271922767499</v>
      </c>
    </row>
    <row r="122" spans="9:11" x14ac:dyDescent="0.2">
      <c r="K122" s="7">
        <f>SUM(K107:K121)</f>
        <v>1686.2429605792438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65"/>
  <sheetViews>
    <sheetView workbookViewId="0">
      <selection activeCell="D35" sqref="D35"/>
    </sheetView>
  </sheetViews>
  <sheetFormatPr baseColWidth="10" defaultRowHeight="15" x14ac:dyDescent="0.2"/>
  <cols>
    <col min="10" max="10" width="13.6640625" customWidth="1"/>
    <col min="11" max="12" width="12.5" customWidth="1"/>
    <col min="13" max="13" width="12.33203125" customWidth="1"/>
  </cols>
  <sheetData>
    <row r="1" spans="1:13" ht="31" x14ac:dyDescent="0.35">
      <c r="A1" s="56" t="s">
        <v>679</v>
      </c>
      <c r="B1" s="56"/>
      <c r="C1" s="56"/>
      <c r="D1" s="56"/>
      <c r="E1" s="56"/>
      <c r="F1" s="57"/>
      <c r="G1" s="57"/>
      <c r="H1" s="58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510</v>
      </c>
      <c r="D2" s="58" t="s">
        <v>2</v>
      </c>
      <c r="E2" s="58" t="s">
        <v>3</v>
      </c>
      <c r="F2" s="58" t="s">
        <v>577</v>
      </c>
      <c r="G2" s="59" t="s">
        <v>578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2" t="s">
        <v>680</v>
      </c>
      <c r="B3" s="1" t="s">
        <v>88</v>
      </c>
      <c r="C3" s="1" t="s">
        <v>681</v>
      </c>
      <c r="D3" s="1">
        <v>6.16</v>
      </c>
      <c r="E3" s="1">
        <v>200</v>
      </c>
      <c r="F3" s="1">
        <v>27</v>
      </c>
      <c r="G3" s="44">
        <f t="shared" ref="G3" si="0">E3*F3</f>
        <v>5400</v>
      </c>
      <c r="H3" s="5">
        <f>G3/D3</f>
        <v>876.62337662337666</v>
      </c>
      <c r="I3" s="3">
        <v>2560</v>
      </c>
      <c r="J3" s="3">
        <f t="shared" ref="J3:J40" si="1">F3/D3*I3*E3</f>
        <v>2244155.8441558443</v>
      </c>
      <c r="K3" s="3">
        <v>18000</v>
      </c>
      <c r="L3" s="44">
        <f t="shared" ref="L3:L40" si="2">K3*E3</f>
        <v>3600000</v>
      </c>
      <c r="M3" s="3">
        <f t="shared" ref="M3:M40" si="3">L3-J3</f>
        <v>1355844.1558441557</v>
      </c>
    </row>
    <row r="4" spans="1:13" x14ac:dyDescent="0.2">
      <c r="A4" s="2" t="s">
        <v>682</v>
      </c>
      <c r="B4" s="1" t="s">
        <v>88</v>
      </c>
      <c r="C4" s="1" t="s">
        <v>253</v>
      </c>
      <c r="D4" s="1">
        <v>6.16</v>
      </c>
      <c r="E4" s="1">
        <v>200</v>
      </c>
      <c r="F4" s="1">
        <v>28</v>
      </c>
      <c r="G4" s="1">
        <f>E4*F4</f>
        <v>5600</v>
      </c>
      <c r="H4" s="1">
        <f t="shared" ref="H4:H40" si="4">G4/D4</f>
        <v>909.09090909090912</v>
      </c>
      <c r="I4" s="3">
        <v>2560</v>
      </c>
      <c r="J4" s="37">
        <f t="shared" si="1"/>
        <v>2327272.7272727271</v>
      </c>
      <c r="K4" s="3">
        <v>18000</v>
      </c>
      <c r="L4" s="44">
        <f t="shared" si="2"/>
        <v>3600000</v>
      </c>
      <c r="M4" s="3">
        <f t="shared" si="3"/>
        <v>1272727.2727272729</v>
      </c>
    </row>
    <row r="5" spans="1:13" x14ac:dyDescent="0.2">
      <c r="A5" s="2" t="s">
        <v>683</v>
      </c>
      <c r="B5" s="1" t="s">
        <v>88</v>
      </c>
      <c r="C5" s="1" t="s">
        <v>253</v>
      </c>
      <c r="D5" s="1">
        <v>6.16</v>
      </c>
      <c r="E5" s="1">
        <v>200</v>
      </c>
      <c r="F5" s="1">
        <v>28</v>
      </c>
      <c r="G5" s="1">
        <f t="shared" ref="G5:G40" si="5">E5*F5</f>
        <v>5600</v>
      </c>
      <c r="H5" s="1">
        <f t="shared" si="4"/>
        <v>909.09090909090912</v>
      </c>
      <c r="I5" s="3">
        <v>2560</v>
      </c>
      <c r="J5" s="37">
        <f t="shared" si="1"/>
        <v>2327272.7272727271</v>
      </c>
      <c r="K5" s="3">
        <v>18000</v>
      </c>
      <c r="L5" s="44">
        <f t="shared" si="2"/>
        <v>3600000</v>
      </c>
      <c r="M5" s="3">
        <f t="shared" si="3"/>
        <v>1272727.2727272729</v>
      </c>
    </row>
    <row r="6" spans="1:13" x14ac:dyDescent="0.2">
      <c r="A6" s="2" t="s">
        <v>684</v>
      </c>
      <c r="B6" s="1" t="s">
        <v>88</v>
      </c>
      <c r="C6" s="1" t="s">
        <v>253</v>
      </c>
      <c r="D6" s="1">
        <v>6.16</v>
      </c>
      <c r="E6" s="1">
        <v>184</v>
      </c>
      <c r="F6" s="1">
        <v>28</v>
      </c>
      <c r="G6" s="1">
        <f t="shared" si="5"/>
        <v>5152</v>
      </c>
      <c r="H6" s="1">
        <f t="shared" si="4"/>
        <v>836.36363636363637</v>
      </c>
      <c r="I6" s="3">
        <v>2560</v>
      </c>
      <c r="J6" s="37">
        <f t="shared" si="1"/>
        <v>2141090.9090909092</v>
      </c>
      <c r="K6" s="3">
        <v>18000</v>
      </c>
      <c r="L6" s="44">
        <f t="shared" si="2"/>
        <v>3312000</v>
      </c>
      <c r="M6" s="37">
        <f t="shared" si="3"/>
        <v>1170909.0909090908</v>
      </c>
    </row>
    <row r="7" spans="1:13" x14ac:dyDescent="0.2">
      <c r="A7" s="2" t="s">
        <v>685</v>
      </c>
      <c r="B7" s="1" t="s">
        <v>88</v>
      </c>
      <c r="C7" s="1" t="s">
        <v>686</v>
      </c>
      <c r="D7" s="1">
        <v>6.16</v>
      </c>
      <c r="E7" s="1">
        <v>770</v>
      </c>
      <c r="F7" s="1">
        <v>22.5</v>
      </c>
      <c r="G7" s="1">
        <f t="shared" si="5"/>
        <v>17325</v>
      </c>
      <c r="H7" s="1">
        <f t="shared" si="4"/>
        <v>2812.5</v>
      </c>
      <c r="I7" s="3">
        <v>2560</v>
      </c>
      <c r="J7" s="37">
        <f t="shared" si="1"/>
        <v>7199999.9999999991</v>
      </c>
      <c r="K7" s="29">
        <v>16000</v>
      </c>
      <c r="L7" s="64">
        <f t="shared" si="2"/>
        <v>12320000</v>
      </c>
      <c r="M7" s="29">
        <f t="shared" si="3"/>
        <v>5120000.0000000009</v>
      </c>
    </row>
    <row r="8" spans="1:13" x14ac:dyDescent="0.2">
      <c r="A8" s="2" t="s">
        <v>687</v>
      </c>
      <c r="B8" s="1" t="s">
        <v>88</v>
      </c>
      <c r="C8" s="1" t="s">
        <v>688</v>
      </c>
      <c r="D8" s="1">
        <v>6.16</v>
      </c>
      <c r="E8" s="1">
        <v>200</v>
      </c>
      <c r="F8" s="1">
        <v>20</v>
      </c>
      <c r="G8" s="1">
        <f t="shared" si="5"/>
        <v>4000</v>
      </c>
      <c r="H8" s="1">
        <f t="shared" si="4"/>
        <v>649.35064935064929</v>
      </c>
      <c r="I8" s="3">
        <v>2560</v>
      </c>
      <c r="J8" s="37">
        <f t="shared" si="1"/>
        <v>1662337.6623376622</v>
      </c>
      <c r="K8" s="29">
        <v>16000</v>
      </c>
      <c r="L8" s="64">
        <f t="shared" si="2"/>
        <v>3200000</v>
      </c>
      <c r="M8" s="29">
        <f t="shared" si="3"/>
        <v>1537662.3376623378</v>
      </c>
    </row>
    <row r="9" spans="1:13" x14ac:dyDescent="0.2">
      <c r="A9" s="2" t="s">
        <v>689</v>
      </c>
      <c r="B9" s="1" t="s">
        <v>88</v>
      </c>
      <c r="C9" s="1" t="s">
        <v>690</v>
      </c>
      <c r="D9" s="1">
        <v>6.16</v>
      </c>
      <c r="E9" s="1">
        <v>200</v>
      </c>
      <c r="F9" s="1">
        <v>20</v>
      </c>
      <c r="G9" s="1">
        <f t="shared" si="5"/>
        <v>4000</v>
      </c>
      <c r="H9" s="1">
        <f t="shared" si="4"/>
        <v>649.35064935064929</v>
      </c>
      <c r="I9" s="3">
        <v>2560</v>
      </c>
      <c r="J9" s="37">
        <f t="shared" si="1"/>
        <v>1662337.6623376622</v>
      </c>
      <c r="K9" s="29">
        <v>16000</v>
      </c>
      <c r="L9" s="64">
        <f t="shared" si="2"/>
        <v>3200000</v>
      </c>
      <c r="M9" s="29">
        <f t="shared" si="3"/>
        <v>1537662.3376623378</v>
      </c>
    </row>
    <row r="10" spans="1:13" x14ac:dyDescent="0.2">
      <c r="A10" s="2" t="s">
        <v>691</v>
      </c>
      <c r="B10" s="1" t="s">
        <v>88</v>
      </c>
      <c r="C10" s="1" t="s">
        <v>692</v>
      </c>
      <c r="D10" s="1">
        <v>6.16</v>
      </c>
      <c r="E10" s="1">
        <v>200</v>
      </c>
      <c r="F10" s="1">
        <v>20</v>
      </c>
      <c r="G10" s="1">
        <f t="shared" si="5"/>
        <v>4000</v>
      </c>
      <c r="H10" s="1">
        <f t="shared" si="4"/>
        <v>649.35064935064929</v>
      </c>
      <c r="I10" s="3">
        <v>2560</v>
      </c>
      <c r="J10" s="37">
        <f t="shared" si="1"/>
        <v>1662337.6623376622</v>
      </c>
      <c r="K10" s="29">
        <v>16000</v>
      </c>
      <c r="L10" s="64">
        <f t="shared" si="2"/>
        <v>3200000</v>
      </c>
      <c r="M10" s="29">
        <f t="shared" si="3"/>
        <v>1537662.3376623378</v>
      </c>
    </row>
    <row r="11" spans="1:13" x14ac:dyDescent="0.2">
      <c r="A11" s="2" t="s">
        <v>693</v>
      </c>
      <c r="B11" s="1" t="s">
        <v>88</v>
      </c>
      <c r="C11" s="1" t="s">
        <v>694</v>
      </c>
      <c r="D11" s="1">
        <v>6.16</v>
      </c>
      <c r="E11" s="1">
        <v>150</v>
      </c>
      <c r="F11" s="1">
        <v>20</v>
      </c>
      <c r="G11" s="1">
        <f t="shared" si="5"/>
        <v>3000</v>
      </c>
      <c r="H11" s="1">
        <f t="shared" si="4"/>
        <v>487.01298701298703</v>
      </c>
      <c r="I11" s="3">
        <v>2560</v>
      </c>
      <c r="J11" s="37">
        <f t="shared" si="1"/>
        <v>1246753.2467532465</v>
      </c>
      <c r="K11" s="29">
        <v>16000</v>
      </c>
      <c r="L11" s="64">
        <f t="shared" si="2"/>
        <v>2400000</v>
      </c>
      <c r="M11" s="29">
        <f t="shared" si="3"/>
        <v>1153246.7532467535</v>
      </c>
    </row>
    <row r="12" spans="1:13" x14ac:dyDescent="0.2">
      <c r="A12" s="2" t="s">
        <v>695</v>
      </c>
      <c r="B12" s="1" t="s">
        <v>696</v>
      </c>
      <c r="C12" s="1"/>
      <c r="D12" s="1">
        <v>6.16</v>
      </c>
      <c r="E12" s="1">
        <v>500</v>
      </c>
      <c r="F12" s="1">
        <v>10</v>
      </c>
      <c r="G12" s="1">
        <f t="shared" si="5"/>
        <v>5000</v>
      </c>
      <c r="H12" s="1">
        <f t="shared" si="4"/>
        <v>811.68831168831161</v>
      </c>
      <c r="I12" s="3">
        <v>2560</v>
      </c>
      <c r="J12" s="37">
        <f t="shared" si="1"/>
        <v>2077922.0779220778</v>
      </c>
      <c r="K12" s="29">
        <v>10000</v>
      </c>
      <c r="L12" s="64">
        <f t="shared" si="2"/>
        <v>5000000</v>
      </c>
      <c r="M12" s="29">
        <f t="shared" si="3"/>
        <v>2922077.9220779222</v>
      </c>
    </row>
    <row r="13" spans="1:13" x14ac:dyDescent="0.2">
      <c r="A13" s="2" t="s">
        <v>697</v>
      </c>
      <c r="B13" s="1" t="s">
        <v>23</v>
      </c>
      <c r="C13" s="1" t="s">
        <v>698</v>
      </c>
      <c r="D13" s="1">
        <v>6.16</v>
      </c>
      <c r="E13" s="1">
        <v>310</v>
      </c>
      <c r="F13" s="1">
        <v>24</v>
      </c>
      <c r="G13" s="1">
        <f t="shared" si="5"/>
        <v>7440</v>
      </c>
      <c r="H13" s="1">
        <f t="shared" si="4"/>
        <v>1207.7922077922078</v>
      </c>
      <c r="I13" s="3">
        <v>2560</v>
      </c>
      <c r="J13" s="37">
        <f t="shared" si="1"/>
        <v>3091948.0519480519</v>
      </c>
      <c r="K13" s="29">
        <v>15000</v>
      </c>
      <c r="L13" s="64">
        <f t="shared" si="2"/>
        <v>4650000</v>
      </c>
      <c r="M13" s="29">
        <f t="shared" si="3"/>
        <v>1558051.9480519481</v>
      </c>
    </row>
    <row r="14" spans="1:13" x14ac:dyDescent="0.2">
      <c r="A14" s="2" t="s">
        <v>699</v>
      </c>
      <c r="B14" s="1" t="s">
        <v>88</v>
      </c>
      <c r="C14" s="1" t="s">
        <v>303</v>
      </c>
      <c r="D14" s="1">
        <v>6.16</v>
      </c>
      <c r="E14" s="1">
        <v>600</v>
      </c>
      <c r="F14" s="1">
        <v>22.5</v>
      </c>
      <c r="G14" s="1">
        <f t="shared" si="5"/>
        <v>13500</v>
      </c>
      <c r="H14" s="1">
        <f t="shared" si="4"/>
        <v>2191.5584415584417</v>
      </c>
      <c r="I14" s="3">
        <v>2560</v>
      </c>
      <c r="J14" s="37">
        <f t="shared" si="1"/>
        <v>5610389.6103896098</v>
      </c>
      <c r="K14" s="29">
        <v>15000</v>
      </c>
      <c r="L14" s="64">
        <f t="shared" si="2"/>
        <v>9000000</v>
      </c>
      <c r="M14" s="29">
        <f t="shared" si="3"/>
        <v>3389610.3896103902</v>
      </c>
    </row>
    <row r="15" spans="1:13" x14ac:dyDescent="0.2">
      <c r="A15" s="2" t="s">
        <v>700</v>
      </c>
      <c r="B15" s="1" t="s">
        <v>88</v>
      </c>
      <c r="C15" s="1" t="s">
        <v>701</v>
      </c>
      <c r="D15" s="1">
        <v>6.16</v>
      </c>
      <c r="E15" s="1">
        <v>200</v>
      </c>
      <c r="F15" s="1">
        <v>26</v>
      </c>
      <c r="G15" s="1">
        <f t="shared" si="5"/>
        <v>5200</v>
      </c>
      <c r="H15" s="1">
        <f t="shared" si="4"/>
        <v>844.15584415584419</v>
      </c>
      <c r="I15" s="3">
        <v>2560</v>
      </c>
      <c r="J15" s="37">
        <f t="shared" si="1"/>
        <v>2161038.9610389611</v>
      </c>
      <c r="K15" s="29">
        <v>16000</v>
      </c>
      <c r="L15" s="64">
        <f t="shared" si="2"/>
        <v>3200000</v>
      </c>
      <c r="M15" s="29">
        <f t="shared" si="3"/>
        <v>1038961.0389610389</v>
      </c>
    </row>
    <row r="16" spans="1:13" x14ac:dyDescent="0.2">
      <c r="A16" s="2" t="s">
        <v>702</v>
      </c>
      <c r="B16" s="1" t="s">
        <v>703</v>
      </c>
      <c r="C16" s="1" t="s">
        <v>253</v>
      </c>
      <c r="D16" s="1">
        <v>6.16</v>
      </c>
      <c r="E16" s="1">
        <v>170</v>
      </c>
      <c r="F16" s="1">
        <v>24.5</v>
      </c>
      <c r="G16" s="1">
        <f t="shared" si="5"/>
        <v>4165</v>
      </c>
      <c r="H16" s="1">
        <f t="shared" si="4"/>
        <v>676.13636363636363</v>
      </c>
      <c r="I16" s="3">
        <v>2560</v>
      </c>
      <c r="J16" s="37">
        <f t="shared" si="1"/>
        <v>1730909.0909090908</v>
      </c>
      <c r="K16" s="29">
        <v>16000</v>
      </c>
      <c r="L16" s="64">
        <f t="shared" si="2"/>
        <v>2720000</v>
      </c>
      <c r="M16" s="29">
        <f t="shared" si="3"/>
        <v>989090.90909090918</v>
      </c>
    </row>
    <row r="17" spans="1:13" x14ac:dyDescent="0.2">
      <c r="A17" s="2" t="s">
        <v>704</v>
      </c>
      <c r="B17" s="1" t="s">
        <v>703</v>
      </c>
      <c r="C17" s="1" t="s">
        <v>253</v>
      </c>
      <c r="D17" s="1">
        <v>6.16</v>
      </c>
      <c r="E17" s="1">
        <v>170</v>
      </c>
      <c r="F17" s="1">
        <v>24.5</v>
      </c>
      <c r="G17" s="1">
        <f t="shared" si="5"/>
        <v>4165</v>
      </c>
      <c r="H17" s="1">
        <f t="shared" si="4"/>
        <v>676.13636363636363</v>
      </c>
      <c r="I17" s="3">
        <v>2560</v>
      </c>
      <c r="J17" s="37">
        <f t="shared" si="1"/>
        <v>1730909.0909090908</v>
      </c>
      <c r="K17" s="29">
        <v>16000</v>
      </c>
      <c r="L17" s="64">
        <f t="shared" si="2"/>
        <v>2720000</v>
      </c>
      <c r="M17" s="29">
        <f t="shared" si="3"/>
        <v>989090.90909090918</v>
      </c>
    </row>
    <row r="18" spans="1:13" x14ac:dyDescent="0.2">
      <c r="A18" s="2" t="s">
        <v>705</v>
      </c>
      <c r="B18" s="1" t="s">
        <v>535</v>
      </c>
      <c r="C18" s="1" t="s">
        <v>706</v>
      </c>
      <c r="D18" s="1">
        <v>6.16</v>
      </c>
      <c r="E18" s="1">
        <v>400</v>
      </c>
      <c r="F18" s="1">
        <v>21</v>
      </c>
      <c r="G18" s="1">
        <f t="shared" si="5"/>
        <v>8400</v>
      </c>
      <c r="H18" s="1">
        <f t="shared" si="4"/>
        <v>1363.6363636363635</v>
      </c>
      <c r="I18" s="3">
        <v>2560</v>
      </c>
      <c r="J18" s="37">
        <f t="shared" si="1"/>
        <v>3490909.0909090913</v>
      </c>
      <c r="K18" s="29">
        <v>13000</v>
      </c>
      <c r="L18" s="64">
        <f t="shared" si="2"/>
        <v>5200000</v>
      </c>
      <c r="M18" s="29">
        <f t="shared" si="3"/>
        <v>1709090.9090909087</v>
      </c>
    </row>
    <row r="19" spans="1:13" x14ac:dyDescent="0.2">
      <c r="A19" s="2" t="s">
        <v>707</v>
      </c>
      <c r="B19" s="1" t="s">
        <v>535</v>
      </c>
      <c r="C19" s="1" t="s">
        <v>708</v>
      </c>
      <c r="D19" s="1">
        <v>6.16</v>
      </c>
      <c r="E19" s="1">
        <v>450</v>
      </c>
      <c r="F19" s="1">
        <v>21.5</v>
      </c>
      <c r="G19" s="1">
        <f t="shared" si="5"/>
        <v>9675</v>
      </c>
      <c r="H19" s="1">
        <f t="shared" si="4"/>
        <v>1570.6168831168832</v>
      </c>
      <c r="I19" s="3">
        <v>2560</v>
      </c>
      <c r="J19" s="37">
        <f t="shared" si="1"/>
        <v>4020779.2207792206</v>
      </c>
      <c r="K19" s="29">
        <v>13000</v>
      </c>
      <c r="L19" s="64">
        <f t="shared" si="2"/>
        <v>5850000</v>
      </c>
      <c r="M19" s="29">
        <f t="shared" si="3"/>
        <v>1829220.7792207794</v>
      </c>
    </row>
    <row r="20" spans="1:13" x14ac:dyDescent="0.2">
      <c r="A20" s="2" t="s">
        <v>709</v>
      </c>
      <c r="B20" s="1" t="s">
        <v>535</v>
      </c>
      <c r="C20" s="1" t="s">
        <v>710</v>
      </c>
      <c r="D20" s="1">
        <v>6.16</v>
      </c>
      <c r="E20" s="1">
        <v>300</v>
      </c>
      <c r="F20" s="1">
        <v>21</v>
      </c>
      <c r="G20" s="1">
        <f t="shared" si="5"/>
        <v>6300</v>
      </c>
      <c r="H20" s="1">
        <f t="shared" si="4"/>
        <v>1022.7272727272727</v>
      </c>
      <c r="I20" s="3">
        <v>2560</v>
      </c>
      <c r="J20" s="37">
        <f t="shared" si="1"/>
        <v>2618181.8181818184</v>
      </c>
      <c r="K20" s="29">
        <v>13000</v>
      </c>
      <c r="L20" s="64">
        <f t="shared" si="2"/>
        <v>3900000</v>
      </c>
      <c r="M20" s="29">
        <f t="shared" si="3"/>
        <v>1281818.1818181816</v>
      </c>
    </row>
    <row r="21" spans="1:13" x14ac:dyDescent="0.2">
      <c r="A21" s="2" t="s">
        <v>711</v>
      </c>
      <c r="B21" s="1" t="s">
        <v>21</v>
      </c>
      <c r="C21" s="1" t="s">
        <v>712</v>
      </c>
      <c r="D21" s="1">
        <v>6.16</v>
      </c>
      <c r="E21" s="1">
        <v>300</v>
      </c>
      <c r="F21" s="1">
        <v>23</v>
      </c>
      <c r="G21" s="1">
        <f t="shared" si="5"/>
        <v>6900</v>
      </c>
      <c r="H21" s="1">
        <f t="shared" si="4"/>
        <v>1120.1298701298701</v>
      </c>
      <c r="I21" s="3">
        <v>2560</v>
      </c>
      <c r="J21" s="37">
        <f t="shared" si="1"/>
        <v>2867532.4675324676</v>
      </c>
      <c r="K21" s="29">
        <v>16000</v>
      </c>
      <c r="L21" s="64">
        <f t="shared" si="2"/>
        <v>4800000</v>
      </c>
      <c r="M21" s="29">
        <f t="shared" si="3"/>
        <v>1932467.5324675324</v>
      </c>
    </row>
    <row r="22" spans="1:13" x14ac:dyDescent="0.2">
      <c r="A22" s="2" t="s">
        <v>713</v>
      </c>
      <c r="B22" s="1" t="s">
        <v>21</v>
      </c>
      <c r="C22" s="1" t="s">
        <v>714</v>
      </c>
      <c r="D22" s="1">
        <v>6.16</v>
      </c>
      <c r="E22" s="1">
        <v>1000</v>
      </c>
      <c r="F22" s="1">
        <v>24</v>
      </c>
      <c r="G22" s="1">
        <f t="shared" si="5"/>
        <v>24000</v>
      </c>
      <c r="H22" s="1">
        <f t="shared" si="4"/>
        <v>3896.1038961038962</v>
      </c>
      <c r="I22" s="3">
        <v>2560</v>
      </c>
      <c r="J22" s="37">
        <f t="shared" si="1"/>
        <v>9974025.9740259741</v>
      </c>
      <c r="K22" s="29">
        <v>16000</v>
      </c>
      <c r="L22" s="64">
        <f t="shared" si="2"/>
        <v>16000000</v>
      </c>
      <c r="M22" s="29">
        <f t="shared" si="3"/>
        <v>6025974.0259740259</v>
      </c>
    </row>
    <row r="23" spans="1:13" x14ac:dyDescent="0.2">
      <c r="A23" s="2" t="s">
        <v>715</v>
      </c>
      <c r="B23" s="1" t="s">
        <v>21</v>
      </c>
      <c r="C23" s="1" t="s">
        <v>716</v>
      </c>
      <c r="D23" s="1">
        <v>6.16</v>
      </c>
      <c r="E23" s="1">
        <v>300</v>
      </c>
      <c r="F23" s="1">
        <v>22</v>
      </c>
      <c r="G23" s="1">
        <f t="shared" si="5"/>
        <v>6600</v>
      </c>
      <c r="H23" s="1">
        <f t="shared" si="4"/>
        <v>1071.4285714285713</v>
      </c>
      <c r="I23" s="3">
        <v>2560</v>
      </c>
      <c r="J23" s="37">
        <f t="shared" si="1"/>
        <v>2742857.1428571423</v>
      </c>
      <c r="K23" s="29">
        <v>15000</v>
      </c>
      <c r="L23" s="64">
        <f t="shared" si="2"/>
        <v>4500000</v>
      </c>
      <c r="M23" s="29">
        <f t="shared" si="3"/>
        <v>1757142.8571428577</v>
      </c>
    </row>
    <row r="24" spans="1:13" x14ac:dyDescent="0.2">
      <c r="A24" s="2" t="s">
        <v>717</v>
      </c>
      <c r="B24" s="1" t="s">
        <v>21</v>
      </c>
      <c r="C24" s="1" t="s">
        <v>718</v>
      </c>
      <c r="D24" s="1">
        <v>6.16</v>
      </c>
      <c r="E24" s="1">
        <v>500</v>
      </c>
      <c r="F24" s="1">
        <v>23</v>
      </c>
      <c r="G24" s="1">
        <f t="shared" si="5"/>
        <v>11500</v>
      </c>
      <c r="H24" s="1">
        <f t="shared" si="4"/>
        <v>1866.8831168831168</v>
      </c>
      <c r="I24" s="3">
        <v>2560</v>
      </c>
      <c r="J24" s="37">
        <f t="shared" si="1"/>
        <v>4779220.7792207794</v>
      </c>
      <c r="K24" s="29">
        <v>18000</v>
      </c>
      <c r="L24" s="64">
        <f t="shared" si="2"/>
        <v>9000000</v>
      </c>
      <c r="M24" s="29">
        <f t="shared" si="3"/>
        <v>4220779.2207792206</v>
      </c>
    </row>
    <row r="25" spans="1:13" x14ac:dyDescent="0.2">
      <c r="A25" s="2" t="s">
        <v>719</v>
      </c>
      <c r="B25" s="1" t="s">
        <v>647</v>
      </c>
      <c r="C25" s="1">
        <v>316</v>
      </c>
      <c r="D25" s="1">
        <v>6.16</v>
      </c>
      <c r="E25" s="1">
        <v>200</v>
      </c>
      <c r="F25" s="1">
        <v>17</v>
      </c>
      <c r="G25" s="1">
        <f t="shared" si="5"/>
        <v>3400</v>
      </c>
      <c r="H25" s="1">
        <f t="shared" si="4"/>
        <v>551.9480519480519</v>
      </c>
      <c r="I25" s="3">
        <v>2560</v>
      </c>
      <c r="J25" s="37">
        <f t="shared" si="1"/>
        <v>1412987.012987013</v>
      </c>
      <c r="K25" s="29">
        <v>15000</v>
      </c>
      <c r="L25" s="64">
        <f t="shared" si="2"/>
        <v>3000000</v>
      </c>
      <c r="M25" s="29">
        <f t="shared" si="3"/>
        <v>1587012.987012987</v>
      </c>
    </row>
    <row r="26" spans="1:13" x14ac:dyDescent="0.2">
      <c r="A26" s="2" t="s">
        <v>720</v>
      </c>
      <c r="B26" s="1" t="s">
        <v>21</v>
      </c>
      <c r="C26" s="1" t="s">
        <v>721</v>
      </c>
      <c r="D26" s="1">
        <v>6.16</v>
      </c>
      <c r="E26" s="1">
        <v>950</v>
      </c>
      <c r="F26" s="1">
        <v>26.8</v>
      </c>
      <c r="G26" s="1">
        <f t="shared" si="5"/>
        <v>25460</v>
      </c>
      <c r="H26" s="1">
        <f t="shared" si="4"/>
        <v>4133.1168831168834</v>
      </c>
      <c r="I26" s="3">
        <v>2560</v>
      </c>
      <c r="J26" s="37">
        <f t="shared" si="1"/>
        <v>10580779.220779222</v>
      </c>
      <c r="K26" s="29">
        <v>18000</v>
      </c>
      <c r="L26" s="64">
        <f t="shared" si="2"/>
        <v>17100000</v>
      </c>
      <c r="M26" s="29">
        <f t="shared" si="3"/>
        <v>6519220.7792207785</v>
      </c>
    </row>
    <row r="27" spans="1:13" x14ac:dyDescent="0.2">
      <c r="A27" s="2" t="s">
        <v>722</v>
      </c>
      <c r="B27" s="1" t="s">
        <v>21</v>
      </c>
      <c r="C27" s="1" t="s">
        <v>723</v>
      </c>
      <c r="D27" s="1">
        <v>6.16</v>
      </c>
      <c r="E27" s="1">
        <v>550</v>
      </c>
      <c r="F27" s="1">
        <v>22.8</v>
      </c>
      <c r="G27" s="1">
        <f t="shared" si="5"/>
        <v>12540</v>
      </c>
      <c r="H27" s="1">
        <f t="shared" si="4"/>
        <v>2035.7142857142858</v>
      </c>
      <c r="I27" s="3">
        <v>2560</v>
      </c>
      <c r="J27" s="37">
        <f t="shared" si="1"/>
        <v>5211428.5714285709</v>
      </c>
      <c r="K27" s="29">
        <v>16000</v>
      </c>
      <c r="L27" s="64">
        <f t="shared" si="2"/>
        <v>8800000</v>
      </c>
      <c r="M27" s="29">
        <f t="shared" si="3"/>
        <v>3588571.4285714291</v>
      </c>
    </row>
    <row r="28" spans="1:13" x14ac:dyDescent="0.2">
      <c r="A28" s="2" t="s">
        <v>724</v>
      </c>
      <c r="B28" s="1" t="s">
        <v>21</v>
      </c>
      <c r="C28" s="1" t="s">
        <v>725</v>
      </c>
      <c r="D28" s="1">
        <v>6.16</v>
      </c>
      <c r="E28" s="1">
        <v>500</v>
      </c>
      <c r="F28" s="1">
        <v>31</v>
      </c>
      <c r="G28" s="1">
        <f t="shared" si="5"/>
        <v>15500</v>
      </c>
      <c r="H28" s="1">
        <f t="shared" si="4"/>
        <v>2516.2337662337663</v>
      </c>
      <c r="I28" s="3">
        <v>2560</v>
      </c>
      <c r="J28" s="37">
        <f t="shared" si="1"/>
        <v>6441558.4415584421</v>
      </c>
      <c r="K28" s="29">
        <v>25000</v>
      </c>
      <c r="L28" s="64">
        <f t="shared" si="2"/>
        <v>12500000</v>
      </c>
      <c r="M28" s="29">
        <f t="shared" si="3"/>
        <v>6058441.5584415579</v>
      </c>
    </row>
    <row r="29" spans="1:13" x14ac:dyDescent="0.2">
      <c r="A29" s="2" t="s">
        <v>726</v>
      </c>
      <c r="B29" s="1" t="s">
        <v>23</v>
      </c>
      <c r="C29" s="1">
        <v>22185</v>
      </c>
      <c r="D29" s="1">
        <v>6.16</v>
      </c>
      <c r="E29" s="1">
        <v>200</v>
      </c>
      <c r="F29" s="1">
        <v>12</v>
      </c>
      <c r="G29" s="1">
        <f t="shared" si="5"/>
        <v>2400</v>
      </c>
      <c r="H29" s="1">
        <f t="shared" si="4"/>
        <v>389.61038961038957</v>
      </c>
      <c r="I29" s="3">
        <v>2560</v>
      </c>
      <c r="J29" s="37">
        <f t="shared" si="1"/>
        <v>997402.59740259731</v>
      </c>
      <c r="K29" s="29">
        <v>10000</v>
      </c>
      <c r="L29" s="64">
        <f t="shared" si="2"/>
        <v>2000000</v>
      </c>
      <c r="M29" s="29">
        <f t="shared" si="3"/>
        <v>1002597.4025974027</v>
      </c>
    </row>
    <row r="30" spans="1:13" x14ac:dyDescent="0.2">
      <c r="A30" s="2" t="s">
        <v>727</v>
      </c>
      <c r="B30" s="1" t="s">
        <v>23</v>
      </c>
      <c r="C30" s="1">
        <v>407</v>
      </c>
      <c r="D30" s="1">
        <v>6.16</v>
      </c>
      <c r="E30" s="1">
        <v>200</v>
      </c>
      <c r="F30" s="1">
        <v>12</v>
      </c>
      <c r="G30" s="1">
        <f t="shared" si="5"/>
        <v>2400</v>
      </c>
      <c r="H30" s="1">
        <f t="shared" si="4"/>
        <v>389.61038961038957</v>
      </c>
      <c r="I30" s="3">
        <v>2560</v>
      </c>
      <c r="J30" s="37">
        <f t="shared" si="1"/>
        <v>997402.59740259731</v>
      </c>
      <c r="K30" s="29">
        <v>10000</v>
      </c>
      <c r="L30" s="64">
        <f t="shared" si="2"/>
        <v>2000000</v>
      </c>
      <c r="M30" s="29">
        <f t="shared" si="3"/>
        <v>1002597.4025974027</v>
      </c>
    </row>
    <row r="31" spans="1:13" x14ac:dyDescent="0.2">
      <c r="A31" s="2" t="s">
        <v>728</v>
      </c>
      <c r="B31" s="1" t="s">
        <v>23</v>
      </c>
      <c r="C31" s="1">
        <v>116</v>
      </c>
      <c r="D31" s="1">
        <v>6.16</v>
      </c>
      <c r="E31" s="1">
        <v>204</v>
      </c>
      <c r="F31" s="1">
        <v>19</v>
      </c>
      <c r="G31" s="1">
        <f t="shared" si="5"/>
        <v>3876</v>
      </c>
      <c r="H31" s="1">
        <f t="shared" si="4"/>
        <v>629.22077922077915</v>
      </c>
      <c r="I31" s="3">
        <v>2560</v>
      </c>
      <c r="J31" s="37">
        <f t="shared" si="1"/>
        <v>1610805.1948051946</v>
      </c>
      <c r="K31" s="29">
        <v>15000</v>
      </c>
      <c r="L31" s="64">
        <f t="shared" si="2"/>
        <v>3060000</v>
      </c>
      <c r="M31" s="29">
        <f t="shared" si="3"/>
        <v>1449194.8051948054</v>
      </c>
    </row>
    <row r="32" spans="1:13" x14ac:dyDescent="0.2">
      <c r="A32" s="2" t="s">
        <v>729</v>
      </c>
      <c r="B32" s="1" t="s">
        <v>535</v>
      </c>
      <c r="C32" s="1">
        <v>708</v>
      </c>
      <c r="D32" s="1">
        <v>6.16</v>
      </c>
      <c r="E32" s="1">
        <v>204</v>
      </c>
      <c r="F32" s="1">
        <v>16</v>
      </c>
      <c r="G32" s="1">
        <f t="shared" si="5"/>
        <v>3264</v>
      </c>
      <c r="H32" s="1">
        <f t="shared" si="4"/>
        <v>529.87012987012986</v>
      </c>
      <c r="I32" s="3">
        <v>2560</v>
      </c>
      <c r="J32" s="37">
        <f t="shared" si="1"/>
        <v>1356467.5324675324</v>
      </c>
      <c r="K32" s="29">
        <v>12000</v>
      </c>
      <c r="L32" s="64">
        <f t="shared" si="2"/>
        <v>2448000</v>
      </c>
      <c r="M32" s="29">
        <f t="shared" si="3"/>
        <v>1091532.4675324676</v>
      </c>
    </row>
    <row r="33" spans="1:13" x14ac:dyDescent="0.2">
      <c r="A33" s="2" t="s">
        <v>730</v>
      </c>
      <c r="B33" s="1" t="s">
        <v>535</v>
      </c>
      <c r="C33" s="1" t="s">
        <v>731</v>
      </c>
      <c r="D33" s="1">
        <v>6.16</v>
      </c>
      <c r="E33" s="1">
        <v>200</v>
      </c>
      <c r="F33" s="1">
        <v>14</v>
      </c>
      <c r="G33" s="1">
        <f t="shared" si="5"/>
        <v>2800</v>
      </c>
      <c r="H33" s="1">
        <f t="shared" si="4"/>
        <v>454.54545454545456</v>
      </c>
      <c r="I33" s="3">
        <v>2560</v>
      </c>
      <c r="J33" s="37">
        <f t="shared" si="1"/>
        <v>1163636.3636363635</v>
      </c>
      <c r="K33" s="29">
        <v>12000</v>
      </c>
      <c r="L33" s="64">
        <f t="shared" si="2"/>
        <v>2400000</v>
      </c>
      <c r="M33" s="29">
        <f t="shared" si="3"/>
        <v>1236363.6363636365</v>
      </c>
    </row>
    <row r="34" spans="1:13" x14ac:dyDescent="0.2">
      <c r="A34" s="2" t="s">
        <v>732</v>
      </c>
      <c r="B34" s="1" t="s">
        <v>535</v>
      </c>
      <c r="C34" s="1" t="s">
        <v>733</v>
      </c>
      <c r="D34" s="1">
        <v>6.16</v>
      </c>
      <c r="E34" s="1">
        <v>100</v>
      </c>
      <c r="F34" s="1">
        <v>20</v>
      </c>
      <c r="G34" s="1">
        <f t="shared" si="5"/>
        <v>2000</v>
      </c>
      <c r="H34" s="1">
        <f t="shared" si="4"/>
        <v>324.67532467532465</v>
      </c>
      <c r="I34" s="3">
        <v>2560</v>
      </c>
      <c r="J34" s="37">
        <f t="shared" si="1"/>
        <v>831168.83116883109</v>
      </c>
      <c r="K34" s="29">
        <v>15000</v>
      </c>
      <c r="L34" s="64">
        <f t="shared" si="2"/>
        <v>1500000</v>
      </c>
      <c r="M34" s="29">
        <f t="shared" si="3"/>
        <v>668831.16883116891</v>
      </c>
    </row>
    <row r="35" spans="1:13" x14ac:dyDescent="0.2">
      <c r="A35" s="2" t="s">
        <v>732</v>
      </c>
      <c r="B35" s="1" t="s">
        <v>734</v>
      </c>
      <c r="C35" s="1">
        <v>3383</v>
      </c>
      <c r="D35" s="1">
        <v>6.16</v>
      </c>
      <c r="E35" s="1">
        <v>400</v>
      </c>
      <c r="F35" s="1">
        <v>22</v>
      </c>
      <c r="G35" s="1">
        <f t="shared" si="5"/>
        <v>8800</v>
      </c>
      <c r="H35" s="1">
        <f t="shared" si="4"/>
        <v>1428.5714285714284</v>
      </c>
      <c r="I35" s="3">
        <v>2560</v>
      </c>
      <c r="J35" s="37">
        <f t="shared" si="1"/>
        <v>3657142.8571428563</v>
      </c>
      <c r="K35" s="29">
        <v>20000</v>
      </c>
      <c r="L35" s="64">
        <f t="shared" si="2"/>
        <v>8000000</v>
      </c>
      <c r="M35" s="29">
        <f t="shared" si="3"/>
        <v>4342857.1428571437</v>
      </c>
    </row>
    <row r="36" spans="1:13" x14ac:dyDescent="0.2">
      <c r="A36" s="2" t="s">
        <v>735</v>
      </c>
      <c r="B36" s="1" t="s">
        <v>215</v>
      </c>
      <c r="C36" s="1" t="s">
        <v>736</v>
      </c>
      <c r="D36" s="1">
        <v>6.16</v>
      </c>
      <c r="E36" s="1">
        <v>97</v>
      </c>
      <c r="F36" s="1">
        <v>32</v>
      </c>
      <c r="G36" s="1">
        <f t="shared" si="5"/>
        <v>3104</v>
      </c>
      <c r="H36" s="1">
        <f t="shared" si="4"/>
        <v>503.89610389610391</v>
      </c>
      <c r="I36" s="3">
        <v>2560</v>
      </c>
      <c r="J36" s="37">
        <f t="shared" si="1"/>
        <v>1289974.0259740259</v>
      </c>
      <c r="K36" s="29">
        <v>25000</v>
      </c>
      <c r="L36" s="64">
        <f t="shared" si="2"/>
        <v>2425000</v>
      </c>
      <c r="M36" s="29">
        <f t="shared" si="3"/>
        <v>1135025.9740259741</v>
      </c>
    </row>
    <row r="37" spans="1:13" x14ac:dyDescent="0.2">
      <c r="A37" s="2" t="s">
        <v>737</v>
      </c>
      <c r="B37" s="1" t="s">
        <v>738</v>
      </c>
      <c r="C37" s="1" t="s">
        <v>736</v>
      </c>
      <c r="D37" s="1">
        <v>6.16</v>
      </c>
      <c r="E37" s="1">
        <v>60</v>
      </c>
      <c r="F37" s="1">
        <v>28</v>
      </c>
      <c r="G37" s="1">
        <f t="shared" si="5"/>
        <v>1680</v>
      </c>
      <c r="H37" s="1">
        <f t="shared" si="4"/>
        <v>272.72727272727275</v>
      </c>
      <c r="I37" s="3">
        <v>2560</v>
      </c>
      <c r="J37" s="37">
        <f t="shared" si="1"/>
        <v>698181.81818181812</v>
      </c>
      <c r="K37" s="29">
        <v>25000</v>
      </c>
      <c r="L37" s="64">
        <f t="shared" si="2"/>
        <v>1500000</v>
      </c>
      <c r="M37" s="29">
        <f t="shared" si="3"/>
        <v>801818.18181818188</v>
      </c>
    </row>
    <row r="38" spans="1:13" x14ac:dyDescent="0.2">
      <c r="A38" s="2" t="s">
        <v>735</v>
      </c>
      <c r="B38" s="1" t="s">
        <v>535</v>
      </c>
      <c r="C38" s="1" t="s">
        <v>739</v>
      </c>
      <c r="D38" s="1">
        <v>6.16</v>
      </c>
      <c r="E38" s="1">
        <v>1320</v>
      </c>
      <c r="F38" s="1">
        <v>14</v>
      </c>
      <c r="G38" s="1">
        <f t="shared" si="5"/>
        <v>18480</v>
      </c>
      <c r="H38" s="1">
        <f t="shared" si="4"/>
        <v>3000</v>
      </c>
      <c r="I38" s="3">
        <v>2560</v>
      </c>
      <c r="J38" s="37">
        <f t="shared" si="1"/>
        <v>7680000</v>
      </c>
      <c r="K38" s="29">
        <v>10000</v>
      </c>
      <c r="L38" s="64">
        <f t="shared" si="2"/>
        <v>13200000</v>
      </c>
      <c r="M38" s="29">
        <f t="shared" si="3"/>
        <v>5520000</v>
      </c>
    </row>
    <row r="39" spans="1:13" x14ac:dyDescent="0.2">
      <c r="A39" s="2" t="s">
        <v>737</v>
      </c>
      <c r="B39" s="1" t="s">
        <v>535</v>
      </c>
      <c r="C39" s="1" t="s">
        <v>736</v>
      </c>
      <c r="D39" s="1">
        <v>6.16</v>
      </c>
      <c r="E39" s="1">
        <v>200</v>
      </c>
      <c r="F39" s="1">
        <v>19</v>
      </c>
      <c r="G39" s="1">
        <f t="shared" si="5"/>
        <v>3800</v>
      </c>
      <c r="H39" s="1">
        <f t="shared" si="4"/>
        <v>616.88311688311683</v>
      </c>
      <c r="I39" s="3">
        <v>2560</v>
      </c>
      <c r="J39" s="37">
        <f t="shared" si="1"/>
        <v>1579220.7792207792</v>
      </c>
      <c r="K39" s="29">
        <v>15000</v>
      </c>
      <c r="L39" s="64">
        <f t="shared" si="2"/>
        <v>3000000</v>
      </c>
      <c r="M39" s="29">
        <f t="shared" si="3"/>
        <v>1420779.2207792208</v>
      </c>
    </row>
    <row r="40" spans="1:13" x14ac:dyDescent="0.2">
      <c r="A40" s="2" t="s">
        <v>735</v>
      </c>
      <c r="B40" s="1" t="s">
        <v>561</v>
      </c>
      <c r="C40" s="1" t="s">
        <v>740</v>
      </c>
      <c r="D40" s="1">
        <v>6.16</v>
      </c>
      <c r="E40" s="1">
        <v>360</v>
      </c>
      <c r="F40" s="1">
        <v>13</v>
      </c>
      <c r="G40" s="1">
        <f t="shared" si="5"/>
        <v>4680</v>
      </c>
      <c r="H40" s="1">
        <f t="shared" si="4"/>
        <v>759.74025974025972</v>
      </c>
      <c r="I40" s="3">
        <v>2560</v>
      </c>
      <c r="J40" s="37">
        <f t="shared" si="1"/>
        <v>1944935.0649350651</v>
      </c>
      <c r="K40" s="29">
        <v>13000</v>
      </c>
      <c r="L40" s="64">
        <f t="shared" si="2"/>
        <v>4680000</v>
      </c>
      <c r="M40" s="29">
        <f t="shared" si="3"/>
        <v>2735064.9350649351</v>
      </c>
    </row>
    <row r="41" spans="1:13" x14ac:dyDescent="0.2">
      <c r="E41" s="54">
        <f>SUM(E3:E40)</f>
        <v>13249</v>
      </c>
      <c r="G41" s="106">
        <f>SUM(G3:G40)</f>
        <v>281106</v>
      </c>
      <c r="H41" s="100">
        <f>SUM(H3:H40)</f>
        <v>45634.090909090904</v>
      </c>
      <c r="J41" s="50">
        <f>SUM(J3:J40)</f>
        <v>116823272.72727269</v>
      </c>
      <c r="L41" s="49">
        <f>SUM(L3:L40)</f>
        <v>202585000</v>
      </c>
      <c r="M41" s="48">
        <f>SUM(M3:M40)</f>
        <v>85761727.272727311</v>
      </c>
    </row>
    <row r="44" spans="1:13" x14ac:dyDescent="0.2">
      <c r="I44" s="33" t="s">
        <v>563</v>
      </c>
      <c r="J44" s="3" t="s">
        <v>25</v>
      </c>
      <c r="K44" s="15">
        <v>116823273</v>
      </c>
      <c r="L44" s="15"/>
    </row>
    <row r="45" spans="1:13" x14ac:dyDescent="0.2">
      <c r="I45" s="33" t="s">
        <v>244</v>
      </c>
      <c r="J45" s="3" t="s">
        <v>27</v>
      </c>
      <c r="K45" s="9">
        <v>4388000</v>
      </c>
      <c r="L45" s="9"/>
    </row>
    <row r="46" spans="1:13" x14ac:dyDescent="0.2">
      <c r="I46" s="1"/>
      <c r="J46" s="3" t="s">
        <v>26</v>
      </c>
      <c r="K46" s="3">
        <v>3328150</v>
      </c>
      <c r="L46" s="3"/>
    </row>
    <row r="47" spans="1:13" x14ac:dyDescent="0.2">
      <c r="I47" s="1"/>
      <c r="J47" s="3" t="s">
        <v>33</v>
      </c>
      <c r="K47" s="3">
        <v>2000000</v>
      </c>
      <c r="L47" s="3"/>
    </row>
    <row r="48" spans="1:13" x14ac:dyDescent="0.2">
      <c r="I48" s="1"/>
      <c r="J48" s="3" t="s">
        <v>31</v>
      </c>
      <c r="K48" s="3">
        <v>6000000</v>
      </c>
      <c r="L48" s="3"/>
    </row>
    <row r="49" spans="9:12" x14ac:dyDescent="0.2">
      <c r="I49" s="1"/>
      <c r="J49" s="3" t="s">
        <v>36</v>
      </c>
      <c r="K49" s="3">
        <v>3500000</v>
      </c>
      <c r="L49" s="3"/>
    </row>
    <row r="50" spans="9:12" x14ac:dyDescent="0.2">
      <c r="I50" s="1"/>
      <c r="J50" s="3" t="s">
        <v>29</v>
      </c>
      <c r="K50" s="23">
        <v>11054000</v>
      </c>
      <c r="L50" s="23" t="s">
        <v>741</v>
      </c>
    </row>
    <row r="51" spans="9:12" x14ac:dyDescent="0.2">
      <c r="I51" s="1"/>
      <c r="J51" s="3" t="s">
        <v>34</v>
      </c>
      <c r="K51" s="26">
        <f>SUM(K44:K50)</f>
        <v>147093423</v>
      </c>
      <c r="L51" s="26"/>
    </row>
    <row r="52" spans="9:12" x14ac:dyDescent="0.2">
      <c r="I52" s="1"/>
      <c r="J52" s="3" t="s">
        <v>6</v>
      </c>
      <c r="K52" s="55">
        <v>204005000</v>
      </c>
      <c r="L52" s="55"/>
    </row>
    <row r="53" spans="9:12" ht="18" x14ac:dyDescent="0.35">
      <c r="I53" s="1"/>
      <c r="J53" s="3" t="s">
        <v>35</v>
      </c>
      <c r="K53" s="21">
        <f>K52-K51</f>
        <v>56911577</v>
      </c>
      <c r="L53" s="21"/>
    </row>
    <row r="55" spans="9:12" x14ac:dyDescent="0.2">
      <c r="I55" s="1" t="s">
        <v>566</v>
      </c>
      <c r="J55" s="39" t="s">
        <v>342</v>
      </c>
      <c r="K55" s="39" t="s">
        <v>663</v>
      </c>
      <c r="L55" s="39" t="s">
        <v>565</v>
      </c>
    </row>
    <row r="56" spans="9:12" x14ac:dyDescent="0.2">
      <c r="I56" s="1" t="s">
        <v>665</v>
      </c>
      <c r="J56" s="1" t="s">
        <v>337</v>
      </c>
      <c r="K56" s="1">
        <v>470</v>
      </c>
      <c r="L56" s="1">
        <f>K56/D40</f>
        <v>76.298701298701303</v>
      </c>
    </row>
    <row r="57" spans="9:12" x14ac:dyDescent="0.2">
      <c r="I57" s="1"/>
      <c r="J57" s="1" t="s">
        <v>345</v>
      </c>
      <c r="K57" s="1">
        <v>2000</v>
      </c>
      <c r="L57" s="1">
        <f>K57/D35</f>
        <v>324.67532467532465</v>
      </c>
    </row>
    <row r="58" spans="9:12" x14ac:dyDescent="0.2">
      <c r="I58" s="1"/>
      <c r="J58" s="1" t="s">
        <v>666</v>
      </c>
      <c r="K58" s="1">
        <v>250</v>
      </c>
      <c r="L58" s="1">
        <f>K58/D40</f>
        <v>40.584415584415581</v>
      </c>
    </row>
    <row r="59" spans="9:12" x14ac:dyDescent="0.2">
      <c r="I59" s="1"/>
      <c r="J59" s="1" t="s">
        <v>742</v>
      </c>
      <c r="K59" s="1">
        <v>270</v>
      </c>
      <c r="L59" s="1">
        <f>K59/D38</f>
        <v>43.831168831168831</v>
      </c>
    </row>
    <row r="60" spans="9:12" x14ac:dyDescent="0.2">
      <c r="I60" s="1"/>
      <c r="J60" s="1" t="s">
        <v>743</v>
      </c>
      <c r="K60" s="1">
        <v>150</v>
      </c>
      <c r="L60" s="1">
        <f>K60/D38</f>
        <v>24.350649350649348</v>
      </c>
    </row>
    <row r="61" spans="9:12" x14ac:dyDescent="0.2">
      <c r="I61" s="1"/>
      <c r="J61" s="39" t="s">
        <v>24</v>
      </c>
      <c r="K61" s="92">
        <f>SUM(K56:K60)</f>
        <v>3140</v>
      </c>
      <c r="L61" s="92">
        <f>SUM(L56:L60)</f>
        <v>509.74025974025972</v>
      </c>
    </row>
    <row r="62" spans="9:12" x14ac:dyDescent="0.2">
      <c r="I62" s="1"/>
      <c r="J62" s="1"/>
      <c r="K62" s="1"/>
      <c r="L62" s="1"/>
    </row>
    <row r="63" spans="9:12" x14ac:dyDescent="0.2">
      <c r="I63" s="1"/>
      <c r="J63" s="1" t="s">
        <v>744</v>
      </c>
      <c r="K63" s="1">
        <v>4870</v>
      </c>
      <c r="L63" s="1">
        <f>K63/D34</f>
        <v>790.58441558441552</v>
      </c>
    </row>
    <row r="64" spans="9:12" x14ac:dyDescent="0.2">
      <c r="I64" s="1"/>
      <c r="J64" s="1"/>
      <c r="K64" s="1"/>
      <c r="L64" s="1"/>
    </row>
    <row r="65" spans="9:12" x14ac:dyDescent="0.2">
      <c r="I65" s="1"/>
      <c r="J65" s="1" t="s">
        <v>745</v>
      </c>
      <c r="K65" s="1"/>
      <c r="L65" s="1" t="s">
        <v>746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55"/>
  <sheetViews>
    <sheetView workbookViewId="0">
      <selection activeCell="A3" sqref="A3"/>
    </sheetView>
  </sheetViews>
  <sheetFormatPr baseColWidth="10" defaultRowHeight="15" x14ac:dyDescent="0.2"/>
  <cols>
    <col min="3" max="3" width="17.33203125" customWidth="1"/>
    <col min="10" max="10" width="14.33203125" customWidth="1"/>
    <col min="12" max="12" width="13" customWidth="1"/>
    <col min="13" max="13" width="12.33203125" customWidth="1"/>
  </cols>
  <sheetData>
    <row r="1" spans="1:13" ht="31" x14ac:dyDescent="0.35">
      <c r="A1" s="56" t="s">
        <v>747</v>
      </c>
      <c r="B1" s="56"/>
      <c r="C1" s="56"/>
      <c r="D1" s="56"/>
      <c r="E1" s="56"/>
      <c r="F1" s="57"/>
      <c r="G1" s="57"/>
      <c r="H1" s="58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510</v>
      </c>
      <c r="D2" s="58" t="s">
        <v>2</v>
      </c>
      <c r="E2" s="58" t="s">
        <v>3</v>
      </c>
      <c r="F2" s="58" t="s">
        <v>577</v>
      </c>
      <c r="G2" s="59" t="s">
        <v>578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2" t="s">
        <v>748</v>
      </c>
      <c r="B3" s="1" t="s">
        <v>88</v>
      </c>
      <c r="C3" s="1" t="s">
        <v>681</v>
      </c>
      <c r="D3" s="1">
        <v>6.12</v>
      </c>
      <c r="E3" s="1">
        <v>300</v>
      </c>
      <c r="F3" s="1">
        <v>26</v>
      </c>
      <c r="G3" s="44">
        <f t="shared" ref="G3" si="0">E3*F3</f>
        <v>7800</v>
      </c>
      <c r="H3" s="5">
        <f>G3/D3</f>
        <v>1274.5098039215686</v>
      </c>
      <c r="I3" s="3">
        <v>2600</v>
      </c>
      <c r="J3" s="3">
        <f t="shared" ref="J3:J41" si="1">F3/D3*I3*E3</f>
        <v>3313725.4901960786</v>
      </c>
      <c r="K3" s="3">
        <v>17000</v>
      </c>
      <c r="L3" s="44">
        <f t="shared" ref="L3:L42" si="2">K3*E3</f>
        <v>5100000</v>
      </c>
      <c r="M3" s="3">
        <f t="shared" ref="M3:M41" si="3">L3-J3</f>
        <v>1786274.5098039214</v>
      </c>
    </row>
    <row r="4" spans="1:13" x14ac:dyDescent="0.2">
      <c r="A4" s="2" t="s">
        <v>749</v>
      </c>
      <c r="B4" s="1" t="s">
        <v>88</v>
      </c>
      <c r="C4" s="1" t="s">
        <v>253</v>
      </c>
      <c r="D4" s="1">
        <v>6.12</v>
      </c>
      <c r="E4" s="1">
        <v>200</v>
      </c>
      <c r="F4" s="1">
        <v>22</v>
      </c>
      <c r="G4" s="1">
        <f>E4*F4</f>
        <v>4400</v>
      </c>
      <c r="H4" s="1">
        <f t="shared" ref="H4:H42" si="4">G4/D4</f>
        <v>718.95424836601308</v>
      </c>
      <c r="I4" s="3">
        <v>2600</v>
      </c>
      <c r="J4" s="37">
        <f t="shared" si="1"/>
        <v>1869281.0457516341</v>
      </c>
      <c r="K4" s="3">
        <v>16000</v>
      </c>
      <c r="L4" s="44">
        <f t="shared" si="2"/>
        <v>3200000</v>
      </c>
      <c r="M4" s="3">
        <f t="shared" si="3"/>
        <v>1330718.9542483659</v>
      </c>
    </row>
    <row r="5" spans="1:13" x14ac:dyDescent="0.2">
      <c r="A5" s="2" t="s">
        <v>750</v>
      </c>
      <c r="B5" s="1" t="s">
        <v>88</v>
      </c>
      <c r="C5" s="1" t="s">
        <v>253</v>
      </c>
      <c r="D5" s="1">
        <v>6.12</v>
      </c>
      <c r="E5" s="1">
        <v>200</v>
      </c>
      <c r="F5" s="1">
        <v>28</v>
      </c>
      <c r="G5" s="1">
        <f t="shared" ref="G5:G42" si="5">E5*F5</f>
        <v>5600</v>
      </c>
      <c r="H5" s="1">
        <f t="shared" si="4"/>
        <v>915.03267973856202</v>
      </c>
      <c r="I5" s="3">
        <v>2600</v>
      </c>
      <c r="J5" s="37">
        <f t="shared" si="1"/>
        <v>2379084.9673202615</v>
      </c>
      <c r="K5" s="3">
        <v>18000</v>
      </c>
      <c r="L5" s="44">
        <f t="shared" si="2"/>
        <v>3600000</v>
      </c>
      <c r="M5" s="3">
        <f t="shared" si="3"/>
        <v>1220915.0326797385</v>
      </c>
    </row>
    <row r="6" spans="1:13" x14ac:dyDescent="0.2">
      <c r="A6" s="2" t="s">
        <v>751</v>
      </c>
      <c r="B6" s="1" t="s">
        <v>88</v>
      </c>
      <c r="C6" s="1" t="s">
        <v>253</v>
      </c>
      <c r="D6" s="1">
        <v>6.12</v>
      </c>
      <c r="E6" s="1">
        <v>200</v>
      </c>
      <c r="F6" s="1">
        <v>28</v>
      </c>
      <c r="G6" s="1">
        <f t="shared" si="5"/>
        <v>5600</v>
      </c>
      <c r="H6" s="1">
        <f t="shared" si="4"/>
        <v>915.03267973856202</v>
      </c>
      <c r="I6" s="3">
        <v>2600</v>
      </c>
      <c r="J6" s="37">
        <f t="shared" si="1"/>
        <v>2379084.9673202615</v>
      </c>
      <c r="K6" s="3">
        <v>18000</v>
      </c>
      <c r="L6" s="44">
        <f t="shared" si="2"/>
        <v>3600000</v>
      </c>
      <c r="M6" s="37">
        <f t="shared" si="3"/>
        <v>1220915.0326797385</v>
      </c>
    </row>
    <row r="7" spans="1:13" x14ac:dyDescent="0.2">
      <c r="A7" s="2" t="s">
        <v>752</v>
      </c>
      <c r="B7" s="1" t="s">
        <v>88</v>
      </c>
      <c r="C7" s="1" t="s">
        <v>253</v>
      </c>
      <c r="D7" s="1">
        <v>6.12</v>
      </c>
      <c r="E7" s="1">
        <v>200</v>
      </c>
      <c r="F7" s="1">
        <v>22</v>
      </c>
      <c r="G7" s="1">
        <f t="shared" si="5"/>
        <v>4400</v>
      </c>
      <c r="H7" s="1">
        <f t="shared" si="4"/>
        <v>718.95424836601308</v>
      </c>
      <c r="I7" s="3">
        <v>2600</v>
      </c>
      <c r="J7" s="37">
        <f t="shared" si="1"/>
        <v>1869281.0457516341</v>
      </c>
      <c r="K7" s="29">
        <v>16000</v>
      </c>
      <c r="L7" s="64">
        <f t="shared" si="2"/>
        <v>3200000</v>
      </c>
      <c r="M7" s="29">
        <f t="shared" si="3"/>
        <v>1330718.9542483659</v>
      </c>
    </row>
    <row r="8" spans="1:13" x14ac:dyDescent="0.2">
      <c r="A8" s="2" t="s">
        <v>753</v>
      </c>
      <c r="B8" s="1" t="s">
        <v>88</v>
      </c>
      <c r="C8" s="1" t="s">
        <v>754</v>
      </c>
      <c r="D8" s="1">
        <v>6.12</v>
      </c>
      <c r="E8" s="1">
        <v>200</v>
      </c>
      <c r="F8" s="1">
        <v>31</v>
      </c>
      <c r="G8" s="1">
        <f t="shared" si="5"/>
        <v>6200</v>
      </c>
      <c r="H8" s="1">
        <f t="shared" si="4"/>
        <v>1013.0718954248366</v>
      </c>
      <c r="I8" s="3">
        <v>2600</v>
      </c>
      <c r="J8" s="37">
        <f t="shared" si="1"/>
        <v>2633986.9281045753</v>
      </c>
      <c r="K8" s="29">
        <v>20000</v>
      </c>
      <c r="L8" s="64">
        <f t="shared" si="2"/>
        <v>4000000</v>
      </c>
      <c r="M8" s="29">
        <f t="shared" si="3"/>
        <v>1366013.0718954247</v>
      </c>
    </row>
    <row r="9" spans="1:13" x14ac:dyDescent="0.2">
      <c r="A9" s="2" t="s">
        <v>755</v>
      </c>
      <c r="B9" s="1" t="s">
        <v>88</v>
      </c>
      <c r="C9" s="1" t="s">
        <v>379</v>
      </c>
      <c r="D9" s="1">
        <v>6.12</v>
      </c>
      <c r="E9" s="1">
        <v>200</v>
      </c>
      <c r="F9" s="1">
        <v>31</v>
      </c>
      <c r="G9" s="1">
        <f t="shared" si="5"/>
        <v>6200</v>
      </c>
      <c r="H9" s="1">
        <f t="shared" si="4"/>
        <v>1013.0718954248366</v>
      </c>
      <c r="I9" s="3">
        <v>2600</v>
      </c>
      <c r="J9" s="37">
        <f t="shared" si="1"/>
        <v>2633986.9281045753</v>
      </c>
      <c r="K9" s="29">
        <v>20000</v>
      </c>
      <c r="L9" s="64">
        <f t="shared" si="2"/>
        <v>4000000</v>
      </c>
      <c r="M9" s="29">
        <f t="shared" si="3"/>
        <v>1366013.0718954247</v>
      </c>
    </row>
    <row r="10" spans="1:13" x14ac:dyDescent="0.2">
      <c r="A10" s="2" t="s">
        <v>756</v>
      </c>
      <c r="B10" s="1" t="s">
        <v>88</v>
      </c>
      <c r="C10" s="1" t="s">
        <v>757</v>
      </c>
      <c r="D10" s="1">
        <v>6.12</v>
      </c>
      <c r="E10" s="1">
        <v>200</v>
      </c>
      <c r="F10" s="1">
        <v>32</v>
      </c>
      <c r="G10" s="1">
        <f t="shared" si="5"/>
        <v>6400</v>
      </c>
      <c r="H10" s="1">
        <f t="shared" si="4"/>
        <v>1045.751633986928</v>
      </c>
      <c r="I10" s="3">
        <v>2600</v>
      </c>
      <c r="J10" s="37">
        <f t="shared" si="1"/>
        <v>2718954.2483660132</v>
      </c>
      <c r="K10" s="29">
        <v>20000</v>
      </c>
      <c r="L10" s="64">
        <f t="shared" si="2"/>
        <v>4000000</v>
      </c>
      <c r="M10" s="29">
        <f t="shared" si="3"/>
        <v>1281045.7516339868</v>
      </c>
    </row>
    <row r="11" spans="1:13" x14ac:dyDescent="0.2">
      <c r="A11" s="2" t="s">
        <v>758</v>
      </c>
      <c r="B11" s="1" t="s">
        <v>88</v>
      </c>
      <c r="C11" s="1" t="s">
        <v>379</v>
      </c>
      <c r="D11" s="1">
        <v>6.12</v>
      </c>
      <c r="E11" s="1">
        <v>200</v>
      </c>
      <c r="F11" s="1">
        <v>25</v>
      </c>
      <c r="G11" s="1">
        <f t="shared" si="5"/>
        <v>5000</v>
      </c>
      <c r="H11" s="1">
        <f t="shared" si="4"/>
        <v>816.99346405228755</v>
      </c>
      <c r="I11" s="3">
        <v>2600</v>
      </c>
      <c r="J11" s="37">
        <f t="shared" si="1"/>
        <v>2124183.0065359473</v>
      </c>
      <c r="K11" s="29">
        <v>16000</v>
      </c>
      <c r="L11" s="64">
        <f t="shared" si="2"/>
        <v>3200000</v>
      </c>
      <c r="M11" s="29">
        <f t="shared" si="3"/>
        <v>1075816.9934640527</v>
      </c>
    </row>
    <row r="12" spans="1:13" x14ac:dyDescent="0.2">
      <c r="A12" s="2" t="s">
        <v>759</v>
      </c>
      <c r="B12" s="1" t="s">
        <v>21</v>
      </c>
      <c r="C12" s="1" t="s">
        <v>760</v>
      </c>
      <c r="D12" s="1">
        <v>6.12</v>
      </c>
      <c r="E12" s="1">
        <v>600</v>
      </c>
      <c r="F12" s="1">
        <v>23</v>
      </c>
      <c r="G12" s="1">
        <f t="shared" si="5"/>
        <v>13800</v>
      </c>
      <c r="H12" s="1">
        <f t="shared" si="4"/>
        <v>2254.9019607843138</v>
      </c>
      <c r="I12" s="3">
        <v>2600</v>
      </c>
      <c r="J12" s="37">
        <f t="shared" si="1"/>
        <v>5862745.0980392154</v>
      </c>
      <c r="K12" s="29">
        <v>18000</v>
      </c>
      <c r="L12" s="64">
        <f t="shared" si="2"/>
        <v>10800000</v>
      </c>
      <c r="M12" s="29">
        <f t="shared" si="3"/>
        <v>4937254.9019607846</v>
      </c>
    </row>
    <row r="13" spans="1:13" x14ac:dyDescent="0.2">
      <c r="A13" s="2" t="s">
        <v>761</v>
      </c>
      <c r="B13" s="1" t="s">
        <v>21</v>
      </c>
      <c r="C13" s="1" t="s">
        <v>762</v>
      </c>
      <c r="D13" s="1">
        <v>6.12</v>
      </c>
      <c r="E13" s="1">
        <v>750</v>
      </c>
      <c r="F13" s="1">
        <v>22.5</v>
      </c>
      <c r="G13" s="1">
        <f t="shared" si="5"/>
        <v>16875</v>
      </c>
      <c r="H13" s="1">
        <f t="shared" si="4"/>
        <v>2757.3529411764707</v>
      </c>
      <c r="I13" s="3">
        <v>2600</v>
      </c>
      <c r="J13" s="37">
        <f t="shared" si="1"/>
        <v>7169117.6470588231</v>
      </c>
      <c r="K13" s="29">
        <v>17000</v>
      </c>
      <c r="L13" s="64">
        <f t="shared" si="2"/>
        <v>12750000</v>
      </c>
      <c r="M13" s="29">
        <f t="shared" si="3"/>
        <v>5580882.3529411769</v>
      </c>
    </row>
    <row r="14" spans="1:13" x14ac:dyDescent="0.2">
      <c r="A14" s="2" t="s">
        <v>763</v>
      </c>
      <c r="B14" s="1" t="s">
        <v>21</v>
      </c>
      <c r="C14" s="1" t="s">
        <v>764</v>
      </c>
      <c r="D14" s="1">
        <v>6.12</v>
      </c>
      <c r="E14" s="1">
        <v>750</v>
      </c>
      <c r="F14" s="1">
        <v>26.5</v>
      </c>
      <c r="G14" s="1">
        <f t="shared" si="5"/>
        <v>19875</v>
      </c>
      <c r="H14" s="1">
        <f t="shared" si="4"/>
        <v>3247.5490196078431</v>
      </c>
      <c r="I14" s="3">
        <v>2600</v>
      </c>
      <c r="J14" s="37">
        <f t="shared" si="1"/>
        <v>8443627.4509803914</v>
      </c>
      <c r="K14" s="29">
        <v>20000</v>
      </c>
      <c r="L14" s="64">
        <f t="shared" si="2"/>
        <v>15000000</v>
      </c>
      <c r="M14" s="29">
        <f t="shared" si="3"/>
        <v>6556372.5490196086</v>
      </c>
    </row>
    <row r="15" spans="1:13" x14ac:dyDescent="0.2">
      <c r="A15" s="2" t="s">
        <v>765</v>
      </c>
      <c r="B15" s="1" t="s">
        <v>15</v>
      </c>
      <c r="C15" s="1" t="s">
        <v>766</v>
      </c>
      <c r="D15" s="1">
        <v>6.12</v>
      </c>
      <c r="E15" s="1">
        <v>300</v>
      </c>
      <c r="F15" s="1">
        <v>22</v>
      </c>
      <c r="G15" s="1">
        <f t="shared" si="5"/>
        <v>6600</v>
      </c>
      <c r="H15" s="5">
        <f t="shared" si="4"/>
        <v>1078.4313725490197</v>
      </c>
      <c r="I15" s="3">
        <v>2600</v>
      </c>
      <c r="J15" s="37">
        <f t="shared" si="1"/>
        <v>2803921.5686274511</v>
      </c>
      <c r="K15" s="29">
        <v>15000</v>
      </c>
      <c r="L15" s="64">
        <f t="shared" si="2"/>
        <v>4500000</v>
      </c>
      <c r="M15" s="29">
        <f t="shared" si="3"/>
        <v>1696078.4313725489</v>
      </c>
    </row>
    <row r="16" spans="1:13" x14ac:dyDescent="0.2">
      <c r="A16" s="2" t="s">
        <v>767</v>
      </c>
      <c r="B16" s="1" t="s">
        <v>88</v>
      </c>
      <c r="C16" s="1" t="s">
        <v>768</v>
      </c>
      <c r="D16" s="1">
        <v>6.12</v>
      </c>
      <c r="E16" s="1">
        <v>200</v>
      </c>
      <c r="F16" s="1">
        <v>23</v>
      </c>
      <c r="G16" s="1">
        <f t="shared" si="5"/>
        <v>4600</v>
      </c>
      <c r="H16" s="1">
        <f t="shared" si="4"/>
        <v>751.6339869281046</v>
      </c>
      <c r="I16" s="3">
        <v>2600</v>
      </c>
      <c r="J16" s="37">
        <f t="shared" si="1"/>
        <v>1954248.3660130717</v>
      </c>
      <c r="K16" s="29">
        <v>16000</v>
      </c>
      <c r="L16" s="64">
        <f t="shared" si="2"/>
        <v>3200000</v>
      </c>
      <c r="M16" s="29">
        <f t="shared" si="3"/>
        <v>1245751.6339869283</v>
      </c>
    </row>
    <row r="17" spans="1:13" x14ac:dyDescent="0.2">
      <c r="A17" s="2" t="s">
        <v>769</v>
      </c>
      <c r="B17" s="1" t="s">
        <v>88</v>
      </c>
      <c r="C17" s="1" t="s">
        <v>253</v>
      </c>
      <c r="D17" s="1">
        <v>6.12</v>
      </c>
      <c r="E17" s="1">
        <v>200</v>
      </c>
      <c r="F17" s="1">
        <v>24</v>
      </c>
      <c r="G17" s="1">
        <f t="shared" si="5"/>
        <v>4800</v>
      </c>
      <c r="H17" s="1">
        <f t="shared" si="4"/>
        <v>784.31372549019602</v>
      </c>
      <c r="I17" s="3">
        <v>2600</v>
      </c>
      <c r="J17" s="37">
        <f t="shared" si="1"/>
        <v>2039215.6862745099</v>
      </c>
      <c r="K17" s="29">
        <v>16000</v>
      </c>
      <c r="L17" s="64">
        <f t="shared" si="2"/>
        <v>3200000</v>
      </c>
      <c r="M17" s="29">
        <f t="shared" si="3"/>
        <v>1160784.3137254901</v>
      </c>
    </row>
    <row r="18" spans="1:13" x14ac:dyDescent="0.2">
      <c r="A18" s="2" t="s">
        <v>770</v>
      </c>
      <c r="B18" s="1" t="s">
        <v>88</v>
      </c>
      <c r="C18" s="1" t="s">
        <v>253</v>
      </c>
      <c r="D18" s="1">
        <v>6.12</v>
      </c>
      <c r="E18" s="1">
        <v>200</v>
      </c>
      <c r="F18" s="1">
        <v>27</v>
      </c>
      <c r="G18" s="1">
        <f t="shared" si="5"/>
        <v>5400</v>
      </c>
      <c r="H18" s="1">
        <f t="shared" si="4"/>
        <v>882.35294117647061</v>
      </c>
      <c r="I18" s="3">
        <v>2600</v>
      </c>
      <c r="J18" s="37">
        <f t="shared" si="1"/>
        <v>2294117.6470588236</v>
      </c>
      <c r="K18" s="29">
        <v>18000</v>
      </c>
      <c r="L18" s="64">
        <f t="shared" si="2"/>
        <v>3600000</v>
      </c>
      <c r="M18" s="29">
        <f t="shared" si="3"/>
        <v>1305882.3529411764</v>
      </c>
    </row>
    <row r="19" spans="1:13" x14ac:dyDescent="0.2">
      <c r="A19" s="2" t="s">
        <v>771</v>
      </c>
      <c r="B19" s="1" t="s">
        <v>88</v>
      </c>
      <c r="C19" s="1" t="s">
        <v>253</v>
      </c>
      <c r="D19" s="1">
        <v>6.12</v>
      </c>
      <c r="E19" s="1">
        <v>200</v>
      </c>
      <c r="F19" s="1">
        <v>24</v>
      </c>
      <c r="G19" s="1">
        <f t="shared" si="5"/>
        <v>4800</v>
      </c>
      <c r="H19" s="1">
        <f t="shared" si="4"/>
        <v>784.31372549019602</v>
      </c>
      <c r="I19" s="3">
        <v>2600</v>
      </c>
      <c r="J19" s="37">
        <f t="shared" si="1"/>
        <v>2039215.6862745099</v>
      </c>
      <c r="K19" s="29">
        <v>18000</v>
      </c>
      <c r="L19" s="64">
        <f t="shared" si="2"/>
        <v>3600000</v>
      </c>
      <c r="M19" s="29">
        <f t="shared" si="3"/>
        <v>1560784.3137254901</v>
      </c>
    </row>
    <row r="20" spans="1:13" x14ac:dyDescent="0.2">
      <c r="A20" s="2" t="s">
        <v>772</v>
      </c>
      <c r="B20" s="1" t="s">
        <v>88</v>
      </c>
      <c r="C20" s="1" t="s">
        <v>253</v>
      </c>
      <c r="D20" s="1">
        <v>6.12</v>
      </c>
      <c r="E20" s="1">
        <v>400</v>
      </c>
      <c r="F20" s="1">
        <v>28</v>
      </c>
      <c r="G20" s="1">
        <f t="shared" si="5"/>
        <v>11200</v>
      </c>
      <c r="H20" s="1">
        <f t="shared" si="4"/>
        <v>1830.065359477124</v>
      </c>
      <c r="I20" s="3">
        <v>2600</v>
      </c>
      <c r="J20" s="37">
        <f t="shared" si="1"/>
        <v>4758169.934640523</v>
      </c>
      <c r="K20" s="29">
        <v>18000</v>
      </c>
      <c r="L20" s="64">
        <f t="shared" si="2"/>
        <v>7200000</v>
      </c>
      <c r="M20" s="29">
        <f t="shared" si="3"/>
        <v>2441830.065359477</v>
      </c>
    </row>
    <row r="21" spans="1:13" x14ac:dyDescent="0.2">
      <c r="A21" s="2" t="s">
        <v>773</v>
      </c>
      <c r="B21" s="1" t="s">
        <v>88</v>
      </c>
      <c r="C21" s="1" t="s">
        <v>253</v>
      </c>
      <c r="D21" s="1">
        <v>6.12</v>
      </c>
      <c r="E21" s="1">
        <v>200</v>
      </c>
      <c r="F21" s="1">
        <v>31</v>
      </c>
      <c r="G21" s="1">
        <f t="shared" si="5"/>
        <v>6200</v>
      </c>
      <c r="H21" s="1">
        <f t="shared" si="4"/>
        <v>1013.0718954248366</v>
      </c>
      <c r="I21" s="3">
        <v>2600</v>
      </c>
      <c r="J21" s="37">
        <f t="shared" si="1"/>
        <v>2633986.9281045753</v>
      </c>
      <c r="K21" s="29">
        <v>20000</v>
      </c>
      <c r="L21" s="64">
        <f t="shared" si="2"/>
        <v>4000000</v>
      </c>
      <c r="M21" s="29">
        <f t="shared" si="3"/>
        <v>1366013.0718954247</v>
      </c>
    </row>
    <row r="22" spans="1:13" x14ac:dyDescent="0.2">
      <c r="A22" s="2" t="s">
        <v>774</v>
      </c>
      <c r="B22" s="1" t="s">
        <v>88</v>
      </c>
      <c r="C22" s="1" t="s">
        <v>451</v>
      </c>
      <c r="D22" s="1">
        <v>6.12</v>
      </c>
      <c r="E22" s="1">
        <v>500</v>
      </c>
      <c r="F22" s="1">
        <v>21</v>
      </c>
      <c r="G22" s="1">
        <f t="shared" si="5"/>
        <v>10500</v>
      </c>
      <c r="H22" s="1">
        <f t="shared" si="4"/>
        <v>1715.686274509804</v>
      </c>
      <c r="I22" s="3">
        <v>2600</v>
      </c>
      <c r="J22" s="37">
        <f t="shared" si="1"/>
        <v>4460784.3137254892</v>
      </c>
      <c r="K22" s="29">
        <v>16000</v>
      </c>
      <c r="L22" s="64">
        <f t="shared" si="2"/>
        <v>8000000</v>
      </c>
      <c r="M22" s="29">
        <f t="shared" si="3"/>
        <v>3539215.6862745108</v>
      </c>
    </row>
    <row r="23" spans="1:13" x14ac:dyDescent="0.2">
      <c r="A23" s="2" t="s">
        <v>775</v>
      </c>
      <c r="B23" s="1" t="s">
        <v>88</v>
      </c>
      <c r="C23" s="1" t="s">
        <v>776</v>
      </c>
      <c r="D23" s="1">
        <v>6.12</v>
      </c>
      <c r="E23" s="1">
        <v>200</v>
      </c>
      <c r="F23" s="1">
        <v>22</v>
      </c>
      <c r="G23" s="1">
        <f t="shared" si="5"/>
        <v>4400</v>
      </c>
      <c r="H23" s="1">
        <f t="shared" si="4"/>
        <v>718.95424836601308</v>
      </c>
      <c r="I23" s="3">
        <v>2600</v>
      </c>
      <c r="J23" s="37">
        <f t="shared" si="1"/>
        <v>1869281.0457516341</v>
      </c>
      <c r="K23" s="29">
        <v>16000</v>
      </c>
      <c r="L23" s="64">
        <f t="shared" si="2"/>
        <v>3200000</v>
      </c>
      <c r="M23" s="29">
        <f t="shared" si="3"/>
        <v>1330718.9542483659</v>
      </c>
    </row>
    <row r="24" spans="1:13" x14ac:dyDescent="0.2">
      <c r="A24" s="2" t="s">
        <v>777</v>
      </c>
      <c r="B24" s="1" t="s">
        <v>88</v>
      </c>
      <c r="C24" s="1" t="s">
        <v>778</v>
      </c>
      <c r="D24" s="1">
        <v>6.12</v>
      </c>
      <c r="E24" s="1">
        <v>160</v>
      </c>
      <c r="F24" s="1">
        <v>24</v>
      </c>
      <c r="G24" s="1">
        <f t="shared" si="5"/>
        <v>3840</v>
      </c>
      <c r="H24" s="1">
        <f t="shared" si="4"/>
        <v>627.45098039215691</v>
      </c>
      <c r="I24" s="3">
        <v>2600</v>
      </c>
      <c r="J24" s="37">
        <f t="shared" si="1"/>
        <v>1631372.5490196077</v>
      </c>
      <c r="K24" s="29">
        <v>16000</v>
      </c>
      <c r="L24" s="64">
        <f t="shared" si="2"/>
        <v>2560000</v>
      </c>
      <c r="M24" s="29">
        <f>L24-J24</f>
        <v>928627.45098039228</v>
      </c>
    </row>
    <row r="25" spans="1:13" x14ac:dyDescent="0.2">
      <c r="A25" s="2" t="s">
        <v>779</v>
      </c>
      <c r="B25" s="1" t="s">
        <v>88</v>
      </c>
      <c r="C25" s="1" t="s">
        <v>780</v>
      </c>
      <c r="D25" s="1">
        <v>6.12</v>
      </c>
      <c r="E25" s="1">
        <v>200</v>
      </c>
      <c r="F25" s="1">
        <v>22</v>
      </c>
      <c r="G25" s="1">
        <f t="shared" si="5"/>
        <v>4400</v>
      </c>
      <c r="H25" s="1">
        <f t="shared" si="4"/>
        <v>718.95424836601308</v>
      </c>
      <c r="I25" s="3">
        <v>2600</v>
      </c>
      <c r="J25" s="37">
        <f t="shared" si="1"/>
        <v>1869281.0457516341</v>
      </c>
      <c r="K25" s="29">
        <v>16000</v>
      </c>
      <c r="L25" s="64">
        <f t="shared" si="2"/>
        <v>3200000</v>
      </c>
      <c r="M25" s="29">
        <f t="shared" si="3"/>
        <v>1330718.9542483659</v>
      </c>
    </row>
    <row r="26" spans="1:13" x14ac:dyDescent="0.2">
      <c r="A26" s="2" t="s">
        <v>781</v>
      </c>
      <c r="B26" s="1" t="s">
        <v>88</v>
      </c>
      <c r="C26" s="1" t="s">
        <v>782</v>
      </c>
      <c r="D26" s="1">
        <v>6.12</v>
      </c>
      <c r="E26" s="1">
        <v>200</v>
      </c>
      <c r="F26" s="1">
        <v>16</v>
      </c>
      <c r="G26" s="1">
        <f t="shared" si="5"/>
        <v>3200</v>
      </c>
      <c r="H26" s="1">
        <f t="shared" si="4"/>
        <v>522.87581699346401</v>
      </c>
      <c r="I26" s="3">
        <v>2600</v>
      </c>
      <c r="J26" s="37">
        <f t="shared" si="1"/>
        <v>1359477.1241830066</v>
      </c>
      <c r="K26" s="29">
        <v>16000</v>
      </c>
      <c r="L26" s="64">
        <f t="shared" si="2"/>
        <v>3200000</v>
      </c>
      <c r="M26" s="29">
        <f t="shared" si="3"/>
        <v>1840522.8758169934</v>
      </c>
    </row>
    <row r="27" spans="1:13" x14ac:dyDescent="0.2">
      <c r="A27" s="2" t="s">
        <v>783</v>
      </c>
      <c r="B27" s="1" t="s">
        <v>88</v>
      </c>
      <c r="C27" s="1" t="s">
        <v>784</v>
      </c>
      <c r="D27" s="1">
        <v>6.12</v>
      </c>
      <c r="E27" s="1">
        <v>200</v>
      </c>
      <c r="F27" s="1">
        <v>16</v>
      </c>
      <c r="G27" s="1">
        <f t="shared" si="5"/>
        <v>3200</v>
      </c>
      <c r="H27" s="1">
        <f t="shared" si="4"/>
        <v>522.87581699346401</v>
      </c>
      <c r="I27" s="3">
        <v>2600</v>
      </c>
      <c r="J27" s="37">
        <f t="shared" si="1"/>
        <v>1359477.1241830066</v>
      </c>
      <c r="K27" s="29">
        <v>16000</v>
      </c>
      <c r="L27" s="64">
        <f t="shared" si="2"/>
        <v>3200000</v>
      </c>
      <c r="M27" s="29">
        <f t="shared" si="3"/>
        <v>1840522.8758169934</v>
      </c>
    </row>
    <row r="28" spans="1:13" x14ac:dyDescent="0.2">
      <c r="A28" s="2" t="s">
        <v>785</v>
      </c>
      <c r="B28" s="1" t="s">
        <v>88</v>
      </c>
      <c r="C28" s="1" t="s">
        <v>786</v>
      </c>
      <c r="D28" s="1">
        <v>6.12</v>
      </c>
      <c r="E28" s="1">
        <v>317</v>
      </c>
      <c r="F28" s="1">
        <v>17</v>
      </c>
      <c r="G28" s="1">
        <f t="shared" si="5"/>
        <v>5389</v>
      </c>
      <c r="H28" s="1">
        <f t="shared" si="4"/>
        <v>880.55555555555554</v>
      </c>
      <c r="I28" s="3">
        <v>2600</v>
      </c>
      <c r="J28" s="37">
        <f t="shared" si="1"/>
        <v>2289444.4444444445</v>
      </c>
      <c r="K28" s="29">
        <v>16000</v>
      </c>
      <c r="L28" s="64">
        <f t="shared" si="2"/>
        <v>5072000</v>
      </c>
      <c r="M28" s="29">
        <f t="shared" si="3"/>
        <v>2782555.5555555555</v>
      </c>
    </row>
    <row r="29" spans="1:13" x14ac:dyDescent="0.2">
      <c r="A29" s="2" t="s">
        <v>787</v>
      </c>
      <c r="B29" s="1" t="s">
        <v>88</v>
      </c>
      <c r="C29" s="1" t="s">
        <v>786</v>
      </c>
      <c r="D29" s="1">
        <v>6.12</v>
      </c>
      <c r="E29" s="1">
        <v>261</v>
      </c>
      <c r="F29" s="1">
        <v>8</v>
      </c>
      <c r="G29" s="1">
        <f t="shared" si="5"/>
        <v>2088</v>
      </c>
      <c r="H29" s="1">
        <f t="shared" si="4"/>
        <v>341.1764705882353</v>
      </c>
      <c r="I29" s="3">
        <v>2600</v>
      </c>
      <c r="J29" s="37">
        <f t="shared" si="1"/>
        <v>887058.82352941181</v>
      </c>
      <c r="K29" s="29">
        <v>16000</v>
      </c>
      <c r="L29" s="64">
        <f t="shared" si="2"/>
        <v>4176000</v>
      </c>
      <c r="M29" s="29">
        <f t="shared" si="3"/>
        <v>3288941.176470588</v>
      </c>
    </row>
    <row r="30" spans="1:13" x14ac:dyDescent="0.2">
      <c r="A30" s="2" t="s">
        <v>788</v>
      </c>
      <c r="B30" s="1" t="s">
        <v>88</v>
      </c>
      <c r="C30" s="1" t="s">
        <v>789</v>
      </c>
      <c r="D30" s="1">
        <v>6.12</v>
      </c>
      <c r="E30" s="1">
        <v>500</v>
      </c>
      <c r="F30" s="1">
        <v>23</v>
      </c>
      <c r="G30" s="1">
        <f t="shared" si="5"/>
        <v>11500</v>
      </c>
      <c r="H30" s="5">
        <f t="shared" si="4"/>
        <v>1879.0849673202615</v>
      </c>
      <c r="I30" s="3">
        <v>2600</v>
      </c>
      <c r="J30" s="37">
        <f t="shared" si="1"/>
        <v>4885620.9150326792</v>
      </c>
      <c r="K30" s="29">
        <v>17000</v>
      </c>
      <c r="L30" s="64">
        <f t="shared" si="2"/>
        <v>8500000</v>
      </c>
      <c r="M30" s="29">
        <f t="shared" si="3"/>
        <v>3614379.0849673208</v>
      </c>
    </row>
    <row r="31" spans="1:13" x14ac:dyDescent="0.2">
      <c r="A31" s="2" t="s">
        <v>790</v>
      </c>
      <c r="B31" s="1" t="s">
        <v>15</v>
      </c>
      <c r="C31" s="107">
        <v>750010670640630</v>
      </c>
      <c r="D31" s="1">
        <v>6.12</v>
      </c>
      <c r="E31" s="1">
        <v>500</v>
      </c>
      <c r="F31" s="1">
        <v>21</v>
      </c>
      <c r="G31" s="1">
        <f t="shared" si="5"/>
        <v>10500</v>
      </c>
      <c r="H31" s="1">
        <f t="shared" si="4"/>
        <v>1715.686274509804</v>
      </c>
      <c r="I31" s="3">
        <v>2600</v>
      </c>
      <c r="J31" s="37">
        <f t="shared" si="1"/>
        <v>4460784.3137254892</v>
      </c>
      <c r="K31" s="29">
        <v>15000</v>
      </c>
      <c r="L31" s="64">
        <f t="shared" si="2"/>
        <v>7500000</v>
      </c>
      <c r="M31" s="29">
        <f t="shared" si="3"/>
        <v>3039215.6862745108</v>
      </c>
    </row>
    <row r="32" spans="1:13" x14ac:dyDescent="0.2">
      <c r="A32" s="2" t="s">
        <v>791</v>
      </c>
      <c r="B32" s="1" t="s">
        <v>15</v>
      </c>
      <c r="C32" s="1" t="s">
        <v>792</v>
      </c>
      <c r="D32" s="1">
        <v>6.12</v>
      </c>
      <c r="E32" s="1">
        <v>100</v>
      </c>
      <c r="F32" s="1">
        <v>23</v>
      </c>
      <c r="G32" s="1">
        <f t="shared" si="5"/>
        <v>2300</v>
      </c>
      <c r="H32" s="1">
        <f t="shared" si="4"/>
        <v>375.8169934640523</v>
      </c>
      <c r="I32" s="3">
        <v>2600</v>
      </c>
      <c r="J32" s="37">
        <f t="shared" si="1"/>
        <v>977124.18300653587</v>
      </c>
      <c r="K32" s="29">
        <v>16000</v>
      </c>
      <c r="L32" s="64">
        <f t="shared" si="2"/>
        <v>1600000</v>
      </c>
      <c r="M32" s="29">
        <f t="shared" si="3"/>
        <v>622875.81699346413</v>
      </c>
    </row>
    <row r="33" spans="1:13" x14ac:dyDescent="0.2">
      <c r="A33" s="2" t="s">
        <v>793</v>
      </c>
      <c r="B33" s="1" t="s">
        <v>794</v>
      </c>
      <c r="C33" s="1" t="s">
        <v>795</v>
      </c>
      <c r="D33" s="1">
        <v>6.12</v>
      </c>
      <c r="E33" s="1">
        <v>500</v>
      </c>
      <c r="F33" s="1">
        <v>22</v>
      </c>
      <c r="G33" s="1">
        <f t="shared" si="5"/>
        <v>11000</v>
      </c>
      <c r="H33" s="1">
        <f t="shared" si="4"/>
        <v>1797.3856209150326</v>
      </c>
      <c r="I33" s="3">
        <v>2600</v>
      </c>
      <c r="J33" s="37">
        <f t="shared" si="1"/>
        <v>4673202.6143790856</v>
      </c>
      <c r="K33" s="29">
        <v>15000</v>
      </c>
      <c r="L33" s="64">
        <f t="shared" si="2"/>
        <v>7500000</v>
      </c>
      <c r="M33" s="29">
        <f t="shared" si="3"/>
        <v>2826797.3856209144</v>
      </c>
    </row>
    <row r="34" spans="1:13" x14ac:dyDescent="0.2">
      <c r="A34" s="2" t="s">
        <v>796</v>
      </c>
      <c r="B34" s="1" t="s">
        <v>794</v>
      </c>
      <c r="C34" s="1" t="s">
        <v>253</v>
      </c>
      <c r="D34" s="1">
        <v>6.12</v>
      </c>
      <c r="E34" s="1">
        <v>800</v>
      </c>
      <c r="F34" s="1">
        <v>22</v>
      </c>
      <c r="G34" s="1">
        <f t="shared" si="5"/>
        <v>17600</v>
      </c>
      <c r="H34" s="1">
        <f t="shared" si="4"/>
        <v>2875.8169934640523</v>
      </c>
      <c r="I34" s="3">
        <v>2600</v>
      </c>
      <c r="J34" s="37">
        <f t="shared" si="1"/>
        <v>7477124.1830065362</v>
      </c>
      <c r="K34" s="29">
        <v>15000</v>
      </c>
      <c r="L34" s="64">
        <f t="shared" si="2"/>
        <v>12000000</v>
      </c>
      <c r="M34" s="29">
        <f t="shared" si="3"/>
        <v>4522875.8169934638</v>
      </c>
    </row>
    <row r="35" spans="1:13" x14ac:dyDescent="0.2">
      <c r="A35" s="2" t="s">
        <v>797</v>
      </c>
      <c r="B35" s="1" t="s">
        <v>535</v>
      </c>
      <c r="C35" s="1" t="s">
        <v>798</v>
      </c>
      <c r="D35" s="1">
        <v>6.12</v>
      </c>
      <c r="E35" s="1">
        <v>200</v>
      </c>
      <c r="F35" s="1">
        <v>22</v>
      </c>
      <c r="G35" s="1">
        <f t="shared" si="5"/>
        <v>4400</v>
      </c>
      <c r="H35" s="1">
        <f t="shared" si="4"/>
        <v>718.95424836601308</v>
      </c>
      <c r="I35" s="3">
        <v>2600</v>
      </c>
      <c r="J35" s="37">
        <f t="shared" si="1"/>
        <v>1869281.0457516341</v>
      </c>
      <c r="K35" s="29">
        <v>15000</v>
      </c>
      <c r="L35" s="64">
        <f t="shared" si="2"/>
        <v>3000000</v>
      </c>
      <c r="M35" s="29">
        <f t="shared" si="3"/>
        <v>1130718.9542483659</v>
      </c>
    </row>
    <row r="36" spans="1:13" x14ac:dyDescent="0.2">
      <c r="A36" s="2" t="s">
        <v>799</v>
      </c>
      <c r="B36" s="1" t="s">
        <v>88</v>
      </c>
      <c r="C36" s="1" t="s">
        <v>800</v>
      </c>
      <c r="D36" s="1">
        <v>6.12</v>
      </c>
      <c r="E36" s="39">
        <v>200</v>
      </c>
      <c r="F36" s="1">
        <v>25</v>
      </c>
      <c r="G36" s="17">
        <f t="shared" si="5"/>
        <v>5000</v>
      </c>
      <c r="H36" s="5">
        <f t="shared" si="4"/>
        <v>816.99346405228755</v>
      </c>
      <c r="I36" s="3">
        <v>2600</v>
      </c>
      <c r="J36" s="17">
        <f t="shared" si="1"/>
        <v>2124183.0065359473</v>
      </c>
      <c r="K36" s="29">
        <v>16000</v>
      </c>
      <c r="L36" s="17">
        <f t="shared" si="2"/>
        <v>3200000</v>
      </c>
      <c r="M36" s="17">
        <f t="shared" si="3"/>
        <v>1075816.9934640527</v>
      </c>
    </row>
    <row r="37" spans="1:13" x14ac:dyDescent="0.2">
      <c r="A37" s="2" t="s">
        <v>801</v>
      </c>
      <c r="B37" s="1" t="s">
        <v>88</v>
      </c>
      <c r="C37" s="1" t="s">
        <v>802</v>
      </c>
      <c r="D37" s="1">
        <v>6.12</v>
      </c>
      <c r="E37" s="1">
        <v>200</v>
      </c>
      <c r="F37" s="1">
        <v>26</v>
      </c>
      <c r="G37" s="1">
        <f t="shared" si="5"/>
        <v>5200</v>
      </c>
      <c r="H37" s="1">
        <f t="shared" si="4"/>
        <v>849.67320261437908</v>
      </c>
      <c r="I37" s="3">
        <v>2600</v>
      </c>
      <c r="J37" s="37">
        <f t="shared" si="1"/>
        <v>2209150.3267973857</v>
      </c>
      <c r="K37" s="29">
        <v>16000</v>
      </c>
      <c r="L37" s="64">
        <f t="shared" si="2"/>
        <v>3200000</v>
      </c>
      <c r="M37" s="29">
        <f t="shared" si="3"/>
        <v>990849.6732026143</v>
      </c>
    </row>
    <row r="38" spans="1:13" x14ac:dyDescent="0.2">
      <c r="A38" s="2" t="s">
        <v>803</v>
      </c>
      <c r="B38" s="1" t="s">
        <v>88</v>
      </c>
      <c r="C38" s="1" t="s">
        <v>804</v>
      </c>
      <c r="D38" s="1">
        <v>6.12</v>
      </c>
      <c r="E38" s="1">
        <v>200</v>
      </c>
      <c r="F38" s="1">
        <v>25</v>
      </c>
      <c r="G38" s="1">
        <f t="shared" si="5"/>
        <v>5000</v>
      </c>
      <c r="H38" s="1">
        <f t="shared" si="4"/>
        <v>816.99346405228755</v>
      </c>
      <c r="I38" s="3">
        <v>2600</v>
      </c>
      <c r="J38" s="37">
        <f t="shared" si="1"/>
        <v>2124183.0065359473</v>
      </c>
      <c r="K38" s="29">
        <v>16000</v>
      </c>
      <c r="L38" s="64">
        <f t="shared" si="2"/>
        <v>3200000</v>
      </c>
      <c r="M38" s="29">
        <f t="shared" si="3"/>
        <v>1075816.9934640527</v>
      </c>
    </row>
    <row r="39" spans="1:13" x14ac:dyDescent="0.2">
      <c r="A39" s="2" t="s">
        <v>805</v>
      </c>
      <c r="B39" s="1" t="s">
        <v>88</v>
      </c>
      <c r="C39" s="1" t="s">
        <v>806</v>
      </c>
      <c r="D39" s="1">
        <v>6.12</v>
      </c>
      <c r="E39" s="1">
        <v>200</v>
      </c>
      <c r="F39" s="1">
        <v>28</v>
      </c>
      <c r="G39" s="1">
        <f t="shared" si="5"/>
        <v>5600</v>
      </c>
      <c r="H39" s="1">
        <f t="shared" si="4"/>
        <v>915.03267973856202</v>
      </c>
      <c r="I39" s="3">
        <v>2600</v>
      </c>
      <c r="J39" s="37">
        <f t="shared" si="1"/>
        <v>2379084.9673202615</v>
      </c>
      <c r="K39" s="29">
        <v>18000</v>
      </c>
      <c r="L39" s="64">
        <f t="shared" si="2"/>
        <v>3600000</v>
      </c>
      <c r="M39" s="29">
        <f t="shared" si="3"/>
        <v>1220915.0326797385</v>
      </c>
    </row>
    <row r="40" spans="1:13" x14ac:dyDescent="0.2">
      <c r="A40" s="2" t="s">
        <v>807</v>
      </c>
      <c r="B40" s="1" t="s">
        <v>88</v>
      </c>
      <c r="C40" s="1" t="s">
        <v>808</v>
      </c>
      <c r="D40" s="1">
        <v>6.12</v>
      </c>
      <c r="E40" s="1">
        <v>200</v>
      </c>
      <c r="F40" s="1">
        <v>26.5</v>
      </c>
      <c r="G40" s="1">
        <f t="shared" si="5"/>
        <v>5300</v>
      </c>
      <c r="H40" s="1">
        <f t="shared" si="4"/>
        <v>866.01307189542479</v>
      </c>
      <c r="I40" s="3">
        <v>2600</v>
      </c>
      <c r="J40" s="37">
        <f t="shared" si="1"/>
        <v>2251633.9869281044</v>
      </c>
      <c r="K40" s="29">
        <v>17000</v>
      </c>
      <c r="L40" s="64">
        <f t="shared" si="2"/>
        <v>3400000</v>
      </c>
      <c r="M40" s="29">
        <f t="shared" si="3"/>
        <v>1148366.0130718956</v>
      </c>
    </row>
    <row r="41" spans="1:13" x14ac:dyDescent="0.2">
      <c r="A41" s="2" t="s">
        <v>809</v>
      </c>
      <c r="B41" s="1" t="s">
        <v>88</v>
      </c>
      <c r="C41" s="1" t="s">
        <v>810</v>
      </c>
      <c r="D41" s="1">
        <v>6.12</v>
      </c>
      <c r="E41" s="1">
        <v>200</v>
      </c>
      <c r="F41" s="1">
        <v>26.5</v>
      </c>
      <c r="G41" s="1">
        <f t="shared" si="5"/>
        <v>5300</v>
      </c>
      <c r="H41" s="1">
        <f t="shared" si="4"/>
        <v>866.01307189542479</v>
      </c>
      <c r="I41" s="3">
        <v>2600</v>
      </c>
      <c r="J41" s="37">
        <f t="shared" si="1"/>
        <v>2251633.9869281044</v>
      </c>
      <c r="K41" s="29">
        <v>17000</v>
      </c>
      <c r="L41" s="64">
        <f t="shared" si="2"/>
        <v>3400000</v>
      </c>
      <c r="M41" s="29">
        <f t="shared" si="3"/>
        <v>1148366.0130718956</v>
      </c>
    </row>
    <row r="42" spans="1:13" x14ac:dyDescent="0.2">
      <c r="A42" s="2" t="s">
        <v>811</v>
      </c>
      <c r="B42" s="1" t="s">
        <v>88</v>
      </c>
      <c r="C42" s="1" t="s">
        <v>812</v>
      </c>
      <c r="D42" s="1">
        <v>6.12</v>
      </c>
      <c r="E42" s="1">
        <v>200</v>
      </c>
      <c r="F42" s="1">
        <v>26.5</v>
      </c>
      <c r="G42" s="1">
        <f t="shared" si="5"/>
        <v>5300</v>
      </c>
      <c r="H42" s="1">
        <f t="shared" si="4"/>
        <v>866.01307189542479</v>
      </c>
      <c r="I42" s="3">
        <v>2600</v>
      </c>
      <c r="J42" s="37">
        <f>F42/D42*I42*E42</f>
        <v>2251633.9869281044</v>
      </c>
      <c r="K42" s="29">
        <v>17000</v>
      </c>
      <c r="L42" s="64">
        <f t="shared" si="2"/>
        <v>3400000</v>
      </c>
      <c r="M42" s="29">
        <f>L42-J42</f>
        <v>1148366.0130718956</v>
      </c>
    </row>
    <row r="43" spans="1:13" x14ac:dyDescent="0.2">
      <c r="E43" s="7">
        <f>SUM(E3:E42)</f>
        <v>11738</v>
      </c>
      <c r="G43" s="108">
        <f>SUM(G3:G42)</f>
        <v>276767</v>
      </c>
      <c r="H43" s="51">
        <f>SUM(H3:H42)</f>
        <v>45223.366013071885</v>
      </c>
      <c r="J43" s="62">
        <f>SUM(J3:J42)</f>
        <v>117580751.63398692</v>
      </c>
      <c r="L43" s="49">
        <f>SUM(L3:L42)</f>
        <v>197858000</v>
      </c>
      <c r="M43" s="48">
        <f>SUM(M3:M42)</f>
        <v>80277248.366013095</v>
      </c>
    </row>
    <row r="46" spans="1:13" x14ac:dyDescent="0.2">
      <c r="B46" s="1" t="s">
        <v>566</v>
      </c>
      <c r="C46" s="39" t="s">
        <v>342</v>
      </c>
      <c r="D46" s="39" t="s">
        <v>663</v>
      </c>
      <c r="E46" s="39" t="s">
        <v>565</v>
      </c>
      <c r="J46" s="33" t="s">
        <v>813</v>
      </c>
      <c r="K46" s="3" t="s">
        <v>25</v>
      </c>
      <c r="L46" s="15">
        <v>117368333</v>
      </c>
      <c r="M46" s="15"/>
    </row>
    <row r="47" spans="1:13" x14ac:dyDescent="0.2">
      <c r="B47" s="1" t="s">
        <v>665</v>
      </c>
      <c r="C47" s="1" t="s">
        <v>337</v>
      </c>
      <c r="D47" s="1">
        <v>790</v>
      </c>
      <c r="E47" s="1">
        <f>D47/D34</f>
        <v>129.08496732026143</v>
      </c>
      <c r="J47" s="33" t="s">
        <v>814</v>
      </c>
      <c r="K47" s="3" t="s">
        <v>27</v>
      </c>
      <c r="L47" s="9">
        <v>5782000</v>
      </c>
      <c r="M47" s="9"/>
    </row>
    <row r="48" spans="1:13" x14ac:dyDescent="0.2">
      <c r="B48" s="1"/>
      <c r="C48" s="1" t="s">
        <v>815</v>
      </c>
      <c r="D48" s="1">
        <v>690</v>
      </c>
      <c r="E48" s="1">
        <f>D48/D41</f>
        <v>112.74509803921569</v>
      </c>
      <c r="J48" s="1"/>
      <c r="K48" s="3" t="s">
        <v>26</v>
      </c>
      <c r="L48" s="3">
        <v>3794350</v>
      </c>
      <c r="M48" s="3"/>
    </row>
    <row r="49" spans="2:13" x14ac:dyDescent="0.2">
      <c r="B49" s="1"/>
      <c r="C49" s="1" t="s">
        <v>345</v>
      </c>
      <c r="D49" s="1">
        <v>2000</v>
      </c>
      <c r="E49" s="1">
        <f>D49/D29</f>
        <v>326.79738562091501</v>
      </c>
      <c r="J49" s="1"/>
      <c r="K49" s="3" t="s">
        <v>33</v>
      </c>
      <c r="L49" s="3">
        <v>2000000</v>
      </c>
      <c r="M49" s="3"/>
    </row>
    <row r="50" spans="2:13" x14ac:dyDescent="0.2">
      <c r="B50" s="1"/>
      <c r="C50" s="1" t="s">
        <v>666</v>
      </c>
      <c r="D50" s="1">
        <v>250</v>
      </c>
      <c r="E50" s="1">
        <f>D50/D34</f>
        <v>40.849673202614376</v>
      </c>
      <c r="J50" s="1"/>
      <c r="K50" s="3" t="s">
        <v>31</v>
      </c>
      <c r="L50" s="3">
        <v>6000000</v>
      </c>
      <c r="M50" s="3"/>
    </row>
    <row r="51" spans="2:13" x14ac:dyDescent="0.2">
      <c r="B51" s="1"/>
      <c r="C51" s="1" t="s">
        <v>816</v>
      </c>
      <c r="D51" s="1">
        <v>1290</v>
      </c>
      <c r="E51" s="1">
        <f>D51/D32</f>
        <v>210.78431372549019</v>
      </c>
      <c r="J51" s="1"/>
      <c r="K51" s="3" t="s">
        <v>36</v>
      </c>
      <c r="L51" s="3">
        <v>3500000</v>
      </c>
      <c r="M51" s="3"/>
    </row>
    <row r="52" spans="2:13" x14ac:dyDescent="0.2">
      <c r="B52" s="1"/>
      <c r="C52" s="1" t="s">
        <v>817</v>
      </c>
      <c r="D52" s="1">
        <v>300</v>
      </c>
      <c r="E52" s="1">
        <f>D52/D41</f>
        <v>49.019607843137251</v>
      </c>
      <c r="J52" s="1"/>
      <c r="K52" s="3" t="s">
        <v>29</v>
      </c>
      <c r="L52" s="23">
        <v>10000000</v>
      </c>
      <c r="M52" s="23"/>
    </row>
    <row r="53" spans="2:13" x14ac:dyDescent="0.2">
      <c r="B53" s="1"/>
      <c r="C53" s="1" t="s">
        <v>818</v>
      </c>
      <c r="D53" s="1">
        <v>600</v>
      </c>
      <c r="E53" s="1">
        <f>D53/D41</f>
        <v>98.039215686274503</v>
      </c>
      <c r="J53" s="1"/>
      <c r="K53" s="3" t="s">
        <v>34</v>
      </c>
      <c r="L53" s="26">
        <f>SUM(L46:L52)</f>
        <v>148444683</v>
      </c>
      <c r="M53" s="26"/>
    </row>
    <row r="54" spans="2:13" x14ac:dyDescent="0.2">
      <c r="B54" s="1"/>
      <c r="C54" s="1" t="s">
        <v>819</v>
      </c>
      <c r="D54" s="1">
        <v>700</v>
      </c>
      <c r="E54" s="1">
        <f>D54/D32</f>
        <v>114.37908496732025</v>
      </c>
      <c r="J54" s="1"/>
      <c r="K54" s="3" t="s">
        <v>6</v>
      </c>
      <c r="L54" s="55">
        <v>197858000</v>
      </c>
      <c r="M54" s="55"/>
    </row>
    <row r="55" spans="2:13" ht="18" x14ac:dyDescent="0.35">
      <c r="B55" s="1"/>
      <c r="C55" s="39" t="s">
        <v>24</v>
      </c>
      <c r="D55" s="92">
        <f>SUM(D47:D54)</f>
        <v>6620</v>
      </c>
      <c r="E55" s="92">
        <f>SUM(E47:E54)</f>
        <v>1081.6993464052287</v>
      </c>
      <c r="J55" s="1"/>
      <c r="K55" s="3" t="s">
        <v>35</v>
      </c>
      <c r="L55" s="21">
        <f>L54-L53</f>
        <v>49413317</v>
      </c>
      <c r="M55" s="21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84"/>
  <sheetViews>
    <sheetView workbookViewId="0">
      <selection activeCell="C11" sqref="C11"/>
    </sheetView>
  </sheetViews>
  <sheetFormatPr baseColWidth="10" defaultRowHeight="15" x14ac:dyDescent="0.2"/>
  <cols>
    <col min="2" max="3" width="12.5" customWidth="1"/>
    <col min="9" max="9" width="15" customWidth="1"/>
    <col min="10" max="10" width="14.83203125" customWidth="1"/>
    <col min="11" max="11" width="11" customWidth="1"/>
    <col min="12" max="12" width="14.1640625" customWidth="1"/>
    <col min="13" max="13" width="15.5" customWidth="1"/>
  </cols>
  <sheetData>
    <row r="1" spans="1:13" ht="31" x14ac:dyDescent="0.35">
      <c r="A1" s="56" t="s">
        <v>503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2" t="s">
        <v>264</v>
      </c>
      <c r="B3" s="1" t="s">
        <v>21</v>
      </c>
      <c r="C3" s="1" t="s">
        <v>299</v>
      </c>
      <c r="D3" s="1">
        <v>6.12</v>
      </c>
      <c r="E3" s="1">
        <v>600</v>
      </c>
      <c r="F3" s="1">
        <v>29</v>
      </c>
      <c r="G3" s="44">
        <f t="shared" ref="G3" si="0">E3*F3</f>
        <v>17400</v>
      </c>
      <c r="H3" s="5">
        <f t="shared" ref="H3:H50" si="1">G3/D3</f>
        <v>2843.1372549019607</v>
      </c>
      <c r="I3" s="3">
        <v>2600</v>
      </c>
      <c r="J3" s="3">
        <f t="shared" ref="J3:J50" si="2">F3/D3*I3*E3</f>
        <v>7392156.8627450978</v>
      </c>
      <c r="K3" s="3">
        <v>20000</v>
      </c>
      <c r="L3" s="44">
        <f t="shared" ref="L3:L42" si="3">K3*E3</f>
        <v>12000000</v>
      </c>
      <c r="M3" s="3">
        <f>L3-J3</f>
        <v>4607843.1372549022</v>
      </c>
    </row>
    <row r="4" spans="1:13" x14ac:dyDescent="0.2">
      <c r="A4" s="2" t="s">
        <v>265</v>
      </c>
      <c r="B4" s="1" t="s">
        <v>21</v>
      </c>
      <c r="C4" s="1" t="s">
        <v>301</v>
      </c>
      <c r="D4" s="1">
        <v>6.12</v>
      </c>
      <c r="E4" s="1">
        <v>1240</v>
      </c>
      <c r="F4" s="1">
        <v>25.5</v>
      </c>
      <c r="G4" s="44">
        <f>E4*F4</f>
        <v>31620</v>
      </c>
      <c r="H4" s="5">
        <f>G4/D4</f>
        <v>5166.666666666667</v>
      </c>
      <c r="I4" s="3">
        <v>2600</v>
      </c>
      <c r="J4" s="3">
        <f t="shared" si="2"/>
        <v>13433333.333333334</v>
      </c>
      <c r="K4" s="3">
        <v>17000</v>
      </c>
      <c r="L4" s="44">
        <f t="shared" si="3"/>
        <v>21080000</v>
      </c>
      <c r="M4" s="3">
        <f>L4-J4</f>
        <v>7646666.666666666</v>
      </c>
    </row>
    <row r="5" spans="1:13" x14ac:dyDescent="0.2">
      <c r="A5" s="2" t="s">
        <v>266</v>
      </c>
      <c r="B5" s="1" t="s">
        <v>21</v>
      </c>
      <c r="C5" s="1" t="s">
        <v>253</v>
      </c>
      <c r="D5" s="1">
        <v>6.12</v>
      </c>
      <c r="E5" s="1">
        <v>310</v>
      </c>
      <c r="F5" s="1">
        <v>26</v>
      </c>
      <c r="G5" s="44">
        <f>E5*F5</f>
        <v>8060</v>
      </c>
      <c r="H5" s="5">
        <f>G5/D5</f>
        <v>1316.9934640522877</v>
      </c>
      <c r="I5" s="3">
        <v>2600</v>
      </c>
      <c r="J5" s="3">
        <f t="shared" si="2"/>
        <v>3424183.0065359478</v>
      </c>
      <c r="K5" s="3">
        <v>17000</v>
      </c>
      <c r="L5" s="44">
        <f t="shared" si="3"/>
        <v>5270000</v>
      </c>
      <c r="M5" s="3">
        <f>L5-J5</f>
        <v>1845816.9934640522</v>
      </c>
    </row>
    <row r="6" spans="1:13" x14ac:dyDescent="0.2">
      <c r="A6" s="2" t="s">
        <v>265</v>
      </c>
      <c r="B6" s="1" t="s">
        <v>21</v>
      </c>
      <c r="C6" s="1" t="s">
        <v>253</v>
      </c>
      <c r="D6" s="1">
        <v>6.12</v>
      </c>
      <c r="E6" s="1">
        <v>769</v>
      </c>
      <c r="F6" s="1">
        <v>24</v>
      </c>
      <c r="G6" s="1">
        <f>E6*F6</f>
        <v>18456</v>
      </c>
      <c r="H6" s="1">
        <f t="shared" si="1"/>
        <v>3015.6862745098038</v>
      </c>
      <c r="I6" s="3">
        <v>2600</v>
      </c>
      <c r="J6" s="37">
        <f t="shared" si="2"/>
        <v>7840784.3137254901</v>
      </c>
      <c r="K6" s="3">
        <v>16000</v>
      </c>
      <c r="L6" s="44">
        <f t="shared" si="3"/>
        <v>12304000</v>
      </c>
      <c r="M6" s="3">
        <f>L6-J6</f>
        <v>4463215.6862745099</v>
      </c>
    </row>
    <row r="7" spans="1:13" x14ac:dyDescent="0.2">
      <c r="A7" s="2" t="s">
        <v>266</v>
      </c>
      <c r="B7" s="1" t="s">
        <v>21</v>
      </c>
      <c r="C7" s="1" t="s">
        <v>302</v>
      </c>
      <c r="D7" s="1">
        <v>6.12</v>
      </c>
      <c r="E7" s="1">
        <v>1685</v>
      </c>
      <c r="F7" s="1">
        <v>24</v>
      </c>
      <c r="G7" s="1">
        <f t="shared" ref="G7:G50" si="4">E7*F7</f>
        <v>40440</v>
      </c>
      <c r="H7" s="1">
        <f t="shared" si="1"/>
        <v>6607.8431372549021</v>
      </c>
      <c r="I7" s="3">
        <v>2600</v>
      </c>
      <c r="J7" s="37">
        <f t="shared" si="2"/>
        <v>17180392.156862743</v>
      </c>
      <c r="K7" s="3">
        <v>16000</v>
      </c>
      <c r="L7" s="44">
        <f t="shared" si="3"/>
        <v>26960000</v>
      </c>
      <c r="M7" s="3">
        <f t="shared" ref="M7:M42" si="5">L7-J7</f>
        <v>9779607.8431372568</v>
      </c>
    </row>
    <row r="8" spans="1:13" x14ac:dyDescent="0.2">
      <c r="A8" s="2" t="s">
        <v>267</v>
      </c>
      <c r="B8" s="1" t="s">
        <v>21</v>
      </c>
      <c r="C8" s="1" t="s">
        <v>253</v>
      </c>
      <c r="D8" s="1">
        <v>6.12</v>
      </c>
      <c r="E8" s="1">
        <v>480</v>
      </c>
      <c r="F8" s="1">
        <v>26</v>
      </c>
      <c r="G8" s="1">
        <f t="shared" si="4"/>
        <v>12480</v>
      </c>
      <c r="H8" s="1">
        <f t="shared" si="1"/>
        <v>2039.2156862745098</v>
      </c>
      <c r="I8" s="3">
        <v>2600</v>
      </c>
      <c r="J8" s="37">
        <f t="shared" si="2"/>
        <v>5301960.7843137262</v>
      </c>
      <c r="K8" s="3">
        <v>20000</v>
      </c>
      <c r="L8" s="44">
        <f t="shared" si="3"/>
        <v>9600000</v>
      </c>
      <c r="M8" s="37">
        <f t="shared" si="5"/>
        <v>4298039.2156862738</v>
      </c>
    </row>
    <row r="9" spans="1:13" x14ac:dyDescent="0.2">
      <c r="A9" s="2" t="s">
        <v>268</v>
      </c>
      <c r="B9" s="1" t="s">
        <v>246</v>
      </c>
      <c r="C9" s="1"/>
      <c r="D9" s="1">
        <v>6.12</v>
      </c>
      <c r="E9" s="1">
        <v>320</v>
      </c>
      <c r="F9" s="1">
        <v>26</v>
      </c>
      <c r="G9" s="1">
        <f t="shared" si="4"/>
        <v>8320</v>
      </c>
      <c r="H9" s="1">
        <f t="shared" si="1"/>
        <v>1359.4771241830065</v>
      </c>
      <c r="I9" s="3">
        <v>2600</v>
      </c>
      <c r="J9" s="37">
        <f t="shared" si="2"/>
        <v>3534640.5228758175</v>
      </c>
      <c r="K9" s="29">
        <v>17000</v>
      </c>
      <c r="L9" s="64">
        <f t="shared" si="3"/>
        <v>5440000</v>
      </c>
      <c r="M9" s="29">
        <f t="shared" si="5"/>
        <v>1905359.4771241825</v>
      </c>
    </row>
    <row r="10" spans="1:13" x14ac:dyDescent="0.2">
      <c r="A10" s="2" t="s">
        <v>269</v>
      </c>
      <c r="B10" s="1" t="s">
        <v>7</v>
      </c>
      <c r="C10" s="1"/>
      <c r="D10" s="1">
        <v>6.12</v>
      </c>
      <c r="E10" s="1">
        <v>400</v>
      </c>
      <c r="F10" s="1">
        <v>25</v>
      </c>
      <c r="G10" s="1">
        <f t="shared" si="4"/>
        <v>10000</v>
      </c>
      <c r="H10" s="1">
        <f t="shared" si="1"/>
        <v>1633.9869281045751</v>
      </c>
      <c r="I10" s="3">
        <v>2600</v>
      </c>
      <c r="J10" s="37">
        <f t="shared" si="2"/>
        <v>4248366.0130718946</v>
      </c>
      <c r="K10" s="29">
        <v>16000</v>
      </c>
      <c r="L10" s="64">
        <f t="shared" si="3"/>
        <v>6400000</v>
      </c>
      <c r="M10" s="29">
        <f t="shared" si="5"/>
        <v>2151633.9869281054</v>
      </c>
    </row>
    <row r="11" spans="1:13" x14ac:dyDescent="0.2">
      <c r="A11" s="2" t="s">
        <v>270</v>
      </c>
      <c r="B11" s="1" t="s">
        <v>247</v>
      </c>
      <c r="C11" s="1"/>
      <c r="D11" s="1">
        <v>6.12</v>
      </c>
      <c r="E11" s="1">
        <v>300</v>
      </c>
      <c r="F11" s="1">
        <v>26</v>
      </c>
      <c r="G11" s="1">
        <f t="shared" si="4"/>
        <v>7800</v>
      </c>
      <c r="H11" s="1">
        <f t="shared" si="1"/>
        <v>1274.5098039215686</v>
      </c>
      <c r="I11" s="3">
        <v>2600</v>
      </c>
      <c r="J11" s="37">
        <f t="shared" si="2"/>
        <v>3313725.4901960786</v>
      </c>
      <c r="K11" s="29">
        <v>17000</v>
      </c>
      <c r="L11" s="64">
        <f t="shared" si="3"/>
        <v>5100000</v>
      </c>
      <c r="M11" s="29">
        <f t="shared" si="5"/>
        <v>1786274.5098039214</v>
      </c>
    </row>
    <row r="12" spans="1:13" x14ac:dyDescent="0.2">
      <c r="A12" s="2" t="s">
        <v>271</v>
      </c>
      <c r="B12" s="1" t="s">
        <v>248</v>
      </c>
      <c r="C12" s="1" t="s">
        <v>303</v>
      </c>
      <c r="D12" s="1">
        <v>6.12</v>
      </c>
      <c r="E12" s="1">
        <v>900</v>
      </c>
      <c r="F12" s="1">
        <v>23</v>
      </c>
      <c r="G12" s="1">
        <f t="shared" si="4"/>
        <v>20700</v>
      </c>
      <c r="H12" s="1">
        <f t="shared" si="1"/>
        <v>3382.3529411764707</v>
      </c>
      <c r="I12" s="3">
        <v>2600</v>
      </c>
      <c r="J12" s="37">
        <f t="shared" si="2"/>
        <v>8794117.6470588222</v>
      </c>
      <c r="K12" s="29">
        <v>15000</v>
      </c>
      <c r="L12" s="64">
        <f t="shared" si="3"/>
        <v>13500000</v>
      </c>
      <c r="M12" s="29">
        <f t="shared" si="5"/>
        <v>4705882.3529411778</v>
      </c>
    </row>
    <row r="13" spans="1:13" x14ac:dyDescent="0.2">
      <c r="A13" s="2" t="s">
        <v>272</v>
      </c>
      <c r="B13" s="1" t="s">
        <v>249</v>
      </c>
      <c r="C13" s="1" t="s">
        <v>300</v>
      </c>
      <c r="D13" s="1">
        <v>6.12</v>
      </c>
      <c r="E13" s="1">
        <v>650</v>
      </c>
      <c r="F13" s="1">
        <v>22</v>
      </c>
      <c r="G13" s="1">
        <f t="shared" si="4"/>
        <v>14300</v>
      </c>
      <c r="H13" s="1">
        <f t="shared" si="1"/>
        <v>2336.6013071895422</v>
      </c>
      <c r="I13" s="3">
        <v>2600</v>
      </c>
      <c r="J13" s="37">
        <f t="shared" si="2"/>
        <v>6075163.3986928109</v>
      </c>
      <c r="K13" s="29">
        <v>16000</v>
      </c>
      <c r="L13" s="64">
        <f t="shared" si="3"/>
        <v>10400000</v>
      </c>
      <c r="M13" s="29">
        <f t="shared" si="5"/>
        <v>4324836.6013071891</v>
      </c>
    </row>
    <row r="14" spans="1:13" x14ac:dyDescent="0.2">
      <c r="A14" s="2" t="s">
        <v>273</v>
      </c>
      <c r="B14" s="1" t="s">
        <v>250</v>
      </c>
      <c r="C14" s="1" t="s">
        <v>253</v>
      </c>
      <c r="D14" s="1">
        <v>6.12</v>
      </c>
      <c r="E14" s="1">
        <v>348</v>
      </c>
      <c r="F14" s="1">
        <v>18</v>
      </c>
      <c r="G14" s="1">
        <f t="shared" si="4"/>
        <v>6264</v>
      </c>
      <c r="H14" s="1">
        <f t="shared" si="1"/>
        <v>1023.5294117647059</v>
      </c>
      <c r="I14" s="3">
        <v>2600</v>
      </c>
      <c r="J14" s="37">
        <f t="shared" si="2"/>
        <v>2661176.4705882352</v>
      </c>
      <c r="K14" s="29">
        <v>15000</v>
      </c>
      <c r="L14" s="64">
        <f t="shared" si="3"/>
        <v>5220000</v>
      </c>
      <c r="M14" s="29">
        <f t="shared" si="5"/>
        <v>2558823.5294117648</v>
      </c>
    </row>
    <row r="15" spans="1:13" x14ac:dyDescent="0.2">
      <c r="A15" s="2" t="s">
        <v>274</v>
      </c>
      <c r="B15" s="1" t="s">
        <v>251</v>
      </c>
      <c r="C15" s="1" t="s">
        <v>304</v>
      </c>
      <c r="D15" s="1">
        <v>6.12</v>
      </c>
      <c r="E15" s="1">
        <v>200</v>
      </c>
      <c r="F15" s="1">
        <v>25.5</v>
      </c>
      <c r="G15" s="1">
        <f t="shared" si="4"/>
        <v>5100</v>
      </c>
      <c r="H15" s="1">
        <f t="shared" si="1"/>
        <v>833.33333333333337</v>
      </c>
      <c r="I15" s="3">
        <v>2600</v>
      </c>
      <c r="J15" s="37">
        <f t="shared" si="2"/>
        <v>2166666.666666667</v>
      </c>
      <c r="K15" s="29">
        <v>18000</v>
      </c>
      <c r="L15" s="64">
        <f t="shared" si="3"/>
        <v>3600000</v>
      </c>
      <c r="M15" s="29">
        <f t="shared" si="5"/>
        <v>1433333.333333333</v>
      </c>
    </row>
    <row r="16" spans="1:13" x14ac:dyDescent="0.2">
      <c r="A16" s="2" t="s">
        <v>275</v>
      </c>
      <c r="B16" s="1" t="s">
        <v>42</v>
      </c>
      <c r="C16" s="1" t="s">
        <v>253</v>
      </c>
      <c r="D16" s="1">
        <v>6.12</v>
      </c>
      <c r="E16" s="1">
        <v>200</v>
      </c>
      <c r="F16" s="1">
        <v>20</v>
      </c>
      <c r="G16" s="1">
        <f t="shared" si="4"/>
        <v>4000</v>
      </c>
      <c r="H16" s="1">
        <f t="shared" si="1"/>
        <v>653.59477124183002</v>
      </c>
      <c r="I16" s="3">
        <v>2600</v>
      </c>
      <c r="J16" s="37">
        <f t="shared" si="2"/>
        <v>1699346.4052287582</v>
      </c>
      <c r="K16" s="29">
        <v>15000</v>
      </c>
      <c r="L16" s="64">
        <f t="shared" si="3"/>
        <v>3000000</v>
      </c>
      <c r="M16" s="29">
        <f t="shared" si="5"/>
        <v>1300653.5947712418</v>
      </c>
    </row>
    <row r="17" spans="1:13" x14ac:dyDescent="0.2">
      <c r="A17" s="2" t="s">
        <v>276</v>
      </c>
      <c r="B17" s="1" t="s">
        <v>252</v>
      </c>
      <c r="C17" s="1" t="s">
        <v>305</v>
      </c>
      <c r="D17" s="1">
        <v>6.12</v>
      </c>
      <c r="E17" s="1">
        <v>300</v>
      </c>
      <c r="F17" s="1">
        <v>15</v>
      </c>
      <c r="G17" s="1">
        <f t="shared" si="4"/>
        <v>4500</v>
      </c>
      <c r="H17" s="1">
        <f t="shared" si="1"/>
        <v>735.29411764705878</v>
      </c>
      <c r="I17" s="3">
        <v>2600</v>
      </c>
      <c r="J17" s="37">
        <f t="shared" si="2"/>
        <v>1911764.705882353</v>
      </c>
      <c r="K17" s="29">
        <v>12000</v>
      </c>
      <c r="L17" s="64">
        <f t="shared" si="3"/>
        <v>3600000</v>
      </c>
      <c r="M17" s="29">
        <f t="shared" si="5"/>
        <v>1688235.294117647</v>
      </c>
    </row>
    <row r="18" spans="1:13" x14ac:dyDescent="0.2">
      <c r="A18" s="2" t="s">
        <v>277</v>
      </c>
      <c r="B18" s="1" t="s">
        <v>253</v>
      </c>
      <c r="C18" s="1" t="s">
        <v>253</v>
      </c>
      <c r="D18" s="1">
        <v>6.12</v>
      </c>
      <c r="E18" s="1">
        <v>204</v>
      </c>
      <c r="F18" s="1">
        <v>15</v>
      </c>
      <c r="G18" s="1">
        <f t="shared" si="4"/>
        <v>3060</v>
      </c>
      <c r="H18" s="1">
        <f t="shared" si="1"/>
        <v>500</v>
      </c>
      <c r="I18" s="3">
        <v>2600</v>
      </c>
      <c r="J18" s="37">
        <f t="shared" si="2"/>
        <v>1300000</v>
      </c>
      <c r="K18" s="29">
        <v>12000</v>
      </c>
      <c r="L18" s="64">
        <f t="shared" si="3"/>
        <v>2448000</v>
      </c>
      <c r="M18" s="29">
        <f t="shared" si="5"/>
        <v>1148000</v>
      </c>
    </row>
    <row r="19" spans="1:13" x14ac:dyDescent="0.2">
      <c r="A19" s="2" t="s">
        <v>278</v>
      </c>
      <c r="B19" s="1" t="s">
        <v>253</v>
      </c>
      <c r="C19" s="1" t="s">
        <v>253</v>
      </c>
      <c r="D19" s="1">
        <v>6.12</v>
      </c>
      <c r="E19" s="1">
        <v>204</v>
      </c>
      <c r="F19" s="1">
        <v>18</v>
      </c>
      <c r="G19" s="1">
        <f t="shared" si="4"/>
        <v>3672</v>
      </c>
      <c r="H19" s="1">
        <f t="shared" si="1"/>
        <v>600</v>
      </c>
      <c r="I19" s="3">
        <v>2600</v>
      </c>
      <c r="J19" s="37">
        <f t="shared" si="2"/>
        <v>1559999.9999999998</v>
      </c>
      <c r="K19" s="29">
        <v>13000</v>
      </c>
      <c r="L19" s="64">
        <f t="shared" si="3"/>
        <v>2652000</v>
      </c>
      <c r="M19" s="29">
        <f t="shared" si="5"/>
        <v>1092000.0000000002</v>
      </c>
    </row>
    <row r="20" spans="1:13" x14ac:dyDescent="0.2">
      <c r="A20" s="2" t="s">
        <v>279</v>
      </c>
      <c r="B20" s="1" t="s">
        <v>254</v>
      </c>
      <c r="C20" s="1" t="s">
        <v>306</v>
      </c>
      <c r="D20" s="1">
        <v>6.12</v>
      </c>
      <c r="E20" s="1">
        <v>500</v>
      </c>
      <c r="F20" s="1">
        <v>22</v>
      </c>
      <c r="G20" s="1">
        <f t="shared" si="4"/>
        <v>11000</v>
      </c>
      <c r="H20" s="1">
        <f t="shared" si="1"/>
        <v>1797.3856209150326</v>
      </c>
      <c r="I20" s="3">
        <v>2600</v>
      </c>
      <c r="J20" s="37">
        <f t="shared" si="2"/>
        <v>4673202.6143790856</v>
      </c>
      <c r="K20" s="29">
        <v>15000</v>
      </c>
      <c r="L20" s="64">
        <f t="shared" si="3"/>
        <v>7500000</v>
      </c>
      <c r="M20" s="29">
        <f t="shared" si="5"/>
        <v>2826797.3856209144</v>
      </c>
    </row>
    <row r="21" spans="1:13" x14ac:dyDescent="0.2">
      <c r="A21" s="2" t="s">
        <v>280</v>
      </c>
      <c r="B21" s="1" t="s">
        <v>253</v>
      </c>
      <c r="C21" s="1" t="s">
        <v>253</v>
      </c>
      <c r="D21" s="1">
        <v>6.12</v>
      </c>
      <c r="E21" s="1">
        <v>300</v>
      </c>
      <c r="F21" s="1">
        <v>22</v>
      </c>
      <c r="G21" s="1">
        <f t="shared" si="4"/>
        <v>6600</v>
      </c>
      <c r="H21" s="1">
        <f t="shared" si="1"/>
        <v>1078.4313725490197</v>
      </c>
      <c r="I21" s="3">
        <v>2600</v>
      </c>
      <c r="J21" s="37">
        <f t="shared" si="2"/>
        <v>2803921.5686274511</v>
      </c>
      <c r="K21" s="29">
        <v>15000</v>
      </c>
      <c r="L21" s="64">
        <f t="shared" si="3"/>
        <v>4500000</v>
      </c>
      <c r="M21" s="29">
        <f t="shared" si="5"/>
        <v>1696078.4313725489</v>
      </c>
    </row>
    <row r="22" spans="1:13" x14ac:dyDescent="0.2">
      <c r="A22" s="2" t="s">
        <v>281</v>
      </c>
      <c r="B22" s="1" t="s">
        <v>253</v>
      </c>
      <c r="C22" s="1" t="s">
        <v>253</v>
      </c>
      <c r="D22" s="1">
        <v>6.12</v>
      </c>
      <c r="E22" s="1">
        <v>300</v>
      </c>
      <c r="F22" s="1">
        <v>22</v>
      </c>
      <c r="G22" s="1">
        <f t="shared" si="4"/>
        <v>6600</v>
      </c>
      <c r="H22" s="1">
        <f t="shared" si="1"/>
        <v>1078.4313725490197</v>
      </c>
      <c r="I22" s="3">
        <v>2600</v>
      </c>
      <c r="J22" s="37">
        <f t="shared" si="2"/>
        <v>2803921.5686274511</v>
      </c>
      <c r="K22" s="29">
        <v>15000</v>
      </c>
      <c r="L22" s="64">
        <f t="shared" si="3"/>
        <v>4500000</v>
      </c>
      <c r="M22" s="29">
        <f t="shared" si="5"/>
        <v>1696078.4313725489</v>
      </c>
    </row>
    <row r="23" spans="1:13" x14ac:dyDescent="0.2">
      <c r="A23" s="2" t="s">
        <v>282</v>
      </c>
      <c r="B23" s="1" t="s">
        <v>255</v>
      </c>
      <c r="C23" s="1" t="s">
        <v>307</v>
      </c>
      <c r="D23" s="1">
        <v>6.12</v>
      </c>
      <c r="E23" s="1">
        <v>400</v>
      </c>
      <c r="F23" s="1">
        <v>20</v>
      </c>
      <c r="G23" s="1">
        <f t="shared" si="4"/>
        <v>8000</v>
      </c>
      <c r="H23" s="1">
        <f t="shared" si="1"/>
        <v>1307.18954248366</v>
      </c>
      <c r="I23" s="3">
        <v>2600</v>
      </c>
      <c r="J23" s="37">
        <f t="shared" si="2"/>
        <v>3398692.8104575165</v>
      </c>
      <c r="K23" s="29">
        <v>15000</v>
      </c>
      <c r="L23" s="64">
        <f t="shared" si="3"/>
        <v>6000000</v>
      </c>
      <c r="M23" s="29">
        <f t="shared" si="5"/>
        <v>2601307.1895424835</v>
      </c>
    </row>
    <row r="24" spans="1:13" x14ac:dyDescent="0.2">
      <c r="A24" s="2" t="s">
        <v>283</v>
      </c>
      <c r="B24" s="1" t="s">
        <v>256</v>
      </c>
      <c r="C24" s="1" t="s">
        <v>253</v>
      </c>
      <c r="D24" s="1">
        <v>6.12</v>
      </c>
      <c r="E24" s="1">
        <v>300</v>
      </c>
      <c r="F24" s="1">
        <v>21</v>
      </c>
      <c r="G24" s="1">
        <f t="shared" si="4"/>
        <v>6300</v>
      </c>
      <c r="H24" s="1">
        <f t="shared" si="1"/>
        <v>1029.4117647058824</v>
      </c>
      <c r="I24" s="3">
        <v>2600</v>
      </c>
      <c r="J24" s="37">
        <f t="shared" si="2"/>
        <v>2676470.5882352935</v>
      </c>
      <c r="K24" s="29">
        <v>16000</v>
      </c>
      <c r="L24" s="64">
        <f t="shared" si="3"/>
        <v>4800000</v>
      </c>
      <c r="M24" s="29">
        <f t="shared" si="5"/>
        <v>2123529.4117647065</v>
      </c>
    </row>
    <row r="25" spans="1:13" x14ac:dyDescent="0.2">
      <c r="A25" s="2" t="s">
        <v>284</v>
      </c>
      <c r="B25" s="1" t="s">
        <v>257</v>
      </c>
      <c r="C25" s="1" t="s">
        <v>308</v>
      </c>
      <c r="D25" s="1">
        <v>6.12</v>
      </c>
      <c r="E25" s="1">
        <v>450</v>
      </c>
      <c r="F25" s="1">
        <v>28</v>
      </c>
      <c r="G25" s="1">
        <f t="shared" si="4"/>
        <v>12600</v>
      </c>
      <c r="H25" s="1">
        <f t="shared" si="1"/>
        <v>2058.8235294117649</v>
      </c>
      <c r="I25" s="3">
        <v>2600</v>
      </c>
      <c r="J25" s="37">
        <f t="shared" si="2"/>
        <v>5352941.176470588</v>
      </c>
      <c r="K25" s="29">
        <v>18000</v>
      </c>
      <c r="L25" s="64">
        <f t="shared" si="3"/>
        <v>8100000</v>
      </c>
      <c r="M25" s="29">
        <f t="shared" si="5"/>
        <v>2747058.823529412</v>
      </c>
    </row>
    <row r="26" spans="1:13" x14ac:dyDescent="0.2">
      <c r="A26" s="2" t="s">
        <v>285</v>
      </c>
      <c r="B26" s="1" t="s">
        <v>258</v>
      </c>
      <c r="C26" s="1" t="s">
        <v>309</v>
      </c>
      <c r="D26" s="1">
        <v>6.12</v>
      </c>
      <c r="E26" s="1">
        <v>143</v>
      </c>
      <c r="F26" s="1">
        <v>18</v>
      </c>
      <c r="G26" s="1">
        <f t="shared" si="4"/>
        <v>2574</v>
      </c>
      <c r="H26" s="1">
        <f t="shared" si="1"/>
        <v>420.58823529411762</v>
      </c>
      <c r="I26" s="3">
        <v>2600</v>
      </c>
      <c r="J26" s="37">
        <f t="shared" si="2"/>
        <v>1093529.4117647058</v>
      </c>
      <c r="K26" s="29">
        <v>13000</v>
      </c>
      <c r="L26" s="64">
        <f t="shared" si="3"/>
        <v>1859000</v>
      </c>
      <c r="M26" s="29">
        <f t="shared" si="5"/>
        <v>765470.58823529421</v>
      </c>
    </row>
    <row r="27" spans="1:13" x14ac:dyDescent="0.2">
      <c r="A27" s="2" t="s">
        <v>286</v>
      </c>
      <c r="B27" s="1" t="s">
        <v>19</v>
      </c>
      <c r="C27" s="1" t="s">
        <v>253</v>
      </c>
      <c r="D27" s="1">
        <v>6.12</v>
      </c>
      <c r="E27" s="1">
        <v>70</v>
      </c>
      <c r="F27" s="1">
        <v>25</v>
      </c>
      <c r="G27" s="1">
        <f t="shared" si="4"/>
        <v>1750</v>
      </c>
      <c r="H27" s="1">
        <f t="shared" si="1"/>
        <v>285.94771241830063</v>
      </c>
      <c r="I27" s="3">
        <v>2600</v>
      </c>
      <c r="J27" s="37">
        <f t="shared" si="2"/>
        <v>743464.05228758161</v>
      </c>
      <c r="K27" s="29">
        <v>18000</v>
      </c>
      <c r="L27" s="64">
        <f t="shared" si="3"/>
        <v>1260000</v>
      </c>
      <c r="M27" s="29">
        <f t="shared" si="5"/>
        <v>516535.94771241839</v>
      </c>
    </row>
    <row r="28" spans="1:13" x14ac:dyDescent="0.2">
      <c r="A28" s="2" t="s">
        <v>287</v>
      </c>
      <c r="B28" s="1" t="s">
        <v>23</v>
      </c>
      <c r="C28" s="1" t="s">
        <v>310</v>
      </c>
      <c r="D28" s="1">
        <v>6.12</v>
      </c>
      <c r="E28" s="1">
        <v>85</v>
      </c>
      <c r="F28" s="1">
        <v>13</v>
      </c>
      <c r="G28" s="1">
        <f t="shared" si="4"/>
        <v>1105</v>
      </c>
      <c r="H28" s="1">
        <f t="shared" si="1"/>
        <v>180.55555555555554</v>
      </c>
      <c r="I28" s="3">
        <v>2600</v>
      </c>
      <c r="J28" s="37">
        <f t="shared" si="2"/>
        <v>469444.4444444445</v>
      </c>
      <c r="K28" s="29">
        <v>13000</v>
      </c>
      <c r="L28" s="64">
        <f t="shared" si="3"/>
        <v>1105000</v>
      </c>
      <c r="M28" s="29">
        <f t="shared" si="5"/>
        <v>635555.5555555555</v>
      </c>
    </row>
    <row r="29" spans="1:13" x14ac:dyDescent="0.2">
      <c r="A29" s="2" t="s">
        <v>288</v>
      </c>
      <c r="B29" s="1" t="s">
        <v>23</v>
      </c>
      <c r="C29" s="1" t="s">
        <v>253</v>
      </c>
      <c r="D29" s="1">
        <v>6.12</v>
      </c>
      <c r="E29" s="1">
        <v>61</v>
      </c>
      <c r="F29" s="1">
        <v>15</v>
      </c>
      <c r="G29" s="1">
        <f t="shared" si="4"/>
        <v>915</v>
      </c>
      <c r="H29" s="1">
        <f t="shared" si="1"/>
        <v>149.50980392156862</v>
      </c>
      <c r="I29" s="3">
        <v>2600</v>
      </c>
      <c r="J29" s="37">
        <f t="shared" si="2"/>
        <v>388725.49019607843</v>
      </c>
      <c r="K29" s="29">
        <v>13000</v>
      </c>
      <c r="L29" s="64">
        <f t="shared" si="3"/>
        <v>793000</v>
      </c>
      <c r="M29" s="29">
        <f t="shared" si="5"/>
        <v>404274.50980392157</v>
      </c>
    </row>
    <row r="30" spans="1:13" x14ac:dyDescent="0.2">
      <c r="A30" s="2" t="s">
        <v>289</v>
      </c>
      <c r="B30" s="1" t="s">
        <v>23</v>
      </c>
      <c r="C30" s="1" t="s">
        <v>327</v>
      </c>
      <c r="D30" s="1">
        <v>6.12</v>
      </c>
      <c r="E30" s="1">
        <v>220</v>
      </c>
      <c r="F30" s="1">
        <v>22</v>
      </c>
      <c r="G30" s="1">
        <f t="shared" si="4"/>
        <v>4840</v>
      </c>
      <c r="H30" s="1">
        <f t="shared" si="1"/>
        <v>790.84967320261433</v>
      </c>
      <c r="I30" s="3">
        <v>2600</v>
      </c>
      <c r="J30" s="37">
        <f t="shared" si="2"/>
        <v>2056209.1503267975</v>
      </c>
      <c r="K30" s="29">
        <v>15000</v>
      </c>
      <c r="L30" s="64">
        <f t="shared" si="3"/>
        <v>3300000</v>
      </c>
      <c r="M30" s="29">
        <f t="shared" si="5"/>
        <v>1243790.8496732025</v>
      </c>
    </row>
    <row r="31" spans="1:13" x14ac:dyDescent="0.2">
      <c r="A31" s="2" t="s">
        <v>289</v>
      </c>
      <c r="B31" s="1" t="s">
        <v>23</v>
      </c>
      <c r="C31" s="1"/>
      <c r="D31" s="1">
        <v>6.12</v>
      </c>
      <c r="E31" s="1">
        <v>300</v>
      </c>
      <c r="F31" s="1">
        <v>16</v>
      </c>
      <c r="G31" s="1">
        <f t="shared" si="4"/>
        <v>4800</v>
      </c>
      <c r="H31" s="1">
        <f t="shared" si="1"/>
        <v>784.31372549019602</v>
      </c>
      <c r="I31" s="3">
        <v>2600</v>
      </c>
      <c r="J31" s="37">
        <f t="shared" si="2"/>
        <v>2039215.6862745099</v>
      </c>
      <c r="K31" s="29">
        <v>13000</v>
      </c>
      <c r="L31" s="64">
        <f t="shared" si="3"/>
        <v>3900000</v>
      </c>
      <c r="M31" s="29">
        <f t="shared" si="5"/>
        <v>1860784.3137254901</v>
      </c>
    </row>
    <row r="32" spans="1:13" x14ac:dyDescent="0.2">
      <c r="A32" s="2" t="s">
        <v>290</v>
      </c>
      <c r="B32" s="1" t="s">
        <v>23</v>
      </c>
      <c r="C32" s="1" t="s">
        <v>328</v>
      </c>
      <c r="D32" s="1">
        <v>6.12</v>
      </c>
      <c r="E32" s="1">
        <v>50</v>
      </c>
      <c r="F32" s="1">
        <v>19</v>
      </c>
      <c r="G32" s="1">
        <f t="shared" si="4"/>
        <v>950</v>
      </c>
      <c r="H32" s="1">
        <f t="shared" si="1"/>
        <v>155.22875816993465</v>
      </c>
      <c r="I32" s="3">
        <v>2600</v>
      </c>
      <c r="J32" s="37">
        <f t="shared" si="2"/>
        <v>403594.77124183008</v>
      </c>
      <c r="K32" s="29">
        <v>15000</v>
      </c>
      <c r="L32" s="64">
        <f t="shared" si="3"/>
        <v>750000</v>
      </c>
      <c r="M32" s="29">
        <f t="shared" si="5"/>
        <v>346405.22875816992</v>
      </c>
    </row>
    <row r="33" spans="1:13" x14ac:dyDescent="0.2">
      <c r="A33" s="2" t="s">
        <v>290</v>
      </c>
      <c r="B33" s="1" t="s">
        <v>259</v>
      </c>
      <c r="C33" s="1" t="s">
        <v>311</v>
      </c>
      <c r="D33" s="1">
        <v>6.12</v>
      </c>
      <c r="E33" s="1">
        <v>420</v>
      </c>
      <c r="F33" s="1">
        <v>23</v>
      </c>
      <c r="G33" s="1">
        <f t="shared" si="4"/>
        <v>9660</v>
      </c>
      <c r="H33" s="1">
        <f t="shared" si="1"/>
        <v>1578.4313725490197</v>
      </c>
      <c r="I33" s="3">
        <v>2600</v>
      </c>
      <c r="J33" s="37">
        <f t="shared" si="2"/>
        <v>4103921.5686274506</v>
      </c>
      <c r="K33" s="29">
        <v>16000</v>
      </c>
      <c r="L33" s="64">
        <f t="shared" si="3"/>
        <v>6720000</v>
      </c>
      <c r="M33" s="29">
        <f t="shared" si="5"/>
        <v>2616078.4313725494</v>
      </c>
    </row>
    <row r="34" spans="1:13" x14ac:dyDescent="0.2">
      <c r="A34" s="2" t="s">
        <v>291</v>
      </c>
      <c r="B34" s="1" t="s">
        <v>42</v>
      </c>
      <c r="C34" s="1" t="s">
        <v>312</v>
      </c>
      <c r="D34" s="1">
        <v>6.12</v>
      </c>
      <c r="E34" s="1">
        <v>200</v>
      </c>
      <c r="F34" s="1">
        <v>21</v>
      </c>
      <c r="G34" s="1">
        <f t="shared" si="4"/>
        <v>4200</v>
      </c>
      <c r="H34" s="1">
        <f t="shared" si="1"/>
        <v>686.27450980392155</v>
      </c>
      <c r="I34" s="3">
        <v>2600</v>
      </c>
      <c r="J34" s="37">
        <f t="shared" si="2"/>
        <v>1784313.7254901957</v>
      </c>
      <c r="K34" s="29">
        <v>15000</v>
      </c>
      <c r="L34" s="64">
        <f t="shared" si="3"/>
        <v>3000000</v>
      </c>
      <c r="M34" s="29">
        <f t="shared" si="5"/>
        <v>1215686.2745098043</v>
      </c>
    </row>
    <row r="35" spans="1:13" x14ac:dyDescent="0.2">
      <c r="A35" s="2" t="s">
        <v>292</v>
      </c>
      <c r="B35" s="1" t="s">
        <v>205</v>
      </c>
      <c r="C35" s="1" t="s">
        <v>313</v>
      </c>
      <c r="D35" s="1">
        <v>6.12</v>
      </c>
      <c r="E35" s="1">
        <v>165</v>
      </c>
      <c r="F35" s="1">
        <v>35</v>
      </c>
      <c r="G35" s="1">
        <f t="shared" si="4"/>
        <v>5775</v>
      </c>
      <c r="H35" s="1">
        <f t="shared" si="1"/>
        <v>943.62745098039215</v>
      </c>
      <c r="I35" s="3">
        <v>2600</v>
      </c>
      <c r="J35" s="37">
        <f t="shared" si="2"/>
        <v>2453431.3725490193</v>
      </c>
      <c r="K35" s="29">
        <v>25000</v>
      </c>
      <c r="L35" s="64">
        <f t="shared" si="3"/>
        <v>4125000</v>
      </c>
      <c r="M35" s="29">
        <f t="shared" si="5"/>
        <v>1671568.6274509807</v>
      </c>
    </row>
    <row r="36" spans="1:13" x14ac:dyDescent="0.2">
      <c r="A36" s="2" t="s">
        <v>293</v>
      </c>
      <c r="B36" s="1" t="s">
        <v>205</v>
      </c>
      <c r="C36" s="1" t="s">
        <v>310</v>
      </c>
      <c r="D36" s="1">
        <v>6.12</v>
      </c>
      <c r="E36" s="1">
        <v>92</v>
      </c>
      <c r="F36" s="1">
        <v>32</v>
      </c>
      <c r="G36" s="1">
        <f t="shared" si="4"/>
        <v>2944</v>
      </c>
      <c r="H36" s="1">
        <f t="shared" si="1"/>
        <v>481.04575163398692</v>
      </c>
      <c r="I36" s="3">
        <v>2600</v>
      </c>
      <c r="J36" s="37">
        <f t="shared" si="2"/>
        <v>1250718.9542483659</v>
      </c>
      <c r="K36" s="29">
        <v>25000</v>
      </c>
      <c r="L36" s="64">
        <f t="shared" si="3"/>
        <v>2300000</v>
      </c>
      <c r="M36" s="29">
        <f t="shared" si="5"/>
        <v>1049281.0457516341</v>
      </c>
    </row>
    <row r="37" spans="1:13" x14ac:dyDescent="0.2">
      <c r="A37" s="2" t="s">
        <v>294</v>
      </c>
      <c r="B37" s="1" t="s">
        <v>260</v>
      </c>
      <c r="C37" s="1" t="s">
        <v>253</v>
      </c>
      <c r="D37" s="1">
        <v>6.12</v>
      </c>
      <c r="E37" s="1">
        <v>190</v>
      </c>
      <c r="F37" s="1">
        <v>21.5</v>
      </c>
      <c r="G37" s="1">
        <f t="shared" si="4"/>
        <v>4085</v>
      </c>
      <c r="H37" s="1">
        <f t="shared" si="1"/>
        <v>667.48366013071893</v>
      </c>
      <c r="I37" s="3">
        <v>2600</v>
      </c>
      <c r="J37" s="37">
        <f t="shared" si="2"/>
        <v>1735457.5163398695</v>
      </c>
      <c r="K37" s="29">
        <v>15000</v>
      </c>
      <c r="L37" s="64">
        <f t="shared" si="3"/>
        <v>2850000</v>
      </c>
      <c r="M37" s="29">
        <f t="shared" si="5"/>
        <v>1114542.4836601305</v>
      </c>
    </row>
    <row r="38" spans="1:13" x14ac:dyDescent="0.2">
      <c r="A38" s="2" t="s">
        <v>295</v>
      </c>
      <c r="B38" s="1" t="s">
        <v>23</v>
      </c>
      <c r="C38" s="1" t="s">
        <v>329</v>
      </c>
      <c r="D38" s="1">
        <v>6.12</v>
      </c>
      <c r="E38" s="1">
        <v>330</v>
      </c>
      <c r="F38" s="1">
        <v>14.2</v>
      </c>
      <c r="G38" s="1">
        <f t="shared" si="4"/>
        <v>4686</v>
      </c>
      <c r="H38" s="1">
        <f t="shared" si="1"/>
        <v>765.68627450980387</v>
      </c>
      <c r="I38" s="3">
        <v>2600</v>
      </c>
      <c r="J38" s="37">
        <f t="shared" si="2"/>
        <v>1990784.3137254901</v>
      </c>
      <c r="K38" s="29">
        <v>12000</v>
      </c>
      <c r="L38" s="64">
        <f t="shared" si="3"/>
        <v>3960000</v>
      </c>
      <c r="M38" s="29">
        <f t="shared" si="5"/>
        <v>1969215.6862745099</v>
      </c>
    </row>
    <row r="39" spans="1:13" x14ac:dyDescent="0.2">
      <c r="A39" s="2" t="s">
        <v>296</v>
      </c>
      <c r="B39" s="1" t="s">
        <v>23</v>
      </c>
      <c r="C39" s="1" t="s">
        <v>330</v>
      </c>
      <c r="D39" s="1">
        <v>6.12</v>
      </c>
      <c r="E39" s="1">
        <v>333</v>
      </c>
      <c r="F39" s="1">
        <v>12</v>
      </c>
      <c r="G39" s="1">
        <f t="shared" si="4"/>
        <v>3996</v>
      </c>
      <c r="H39" s="1">
        <f t="shared" si="1"/>
        <v>652.94117647058818</v>
      </c>
      <c r="I39" s="3">
        <v>2600</v>
      </c>
      <c r="J39" s="37">
        <f t="shared" si="2"/>
        <v>1697647.0588235294</v>
      </c>
      <c r="K39" s="29">
        <v>10000</v>
      </c>
      <c r="L39" s="64">
        <f t="shared" si="3"/>
        <v>3330000</v>
      </c>
      <c r="M39" s="29">
        <f t="shared" si="5"/>
        <v>1632352.9411764706</v>
      </c>
    </row>
    <row r="40" spans="1:13" x14ac:dyDescent="0.2">
      <c r="A40" s="2" t="s">
        <v>297</v>
      </c>
      <c r="B40" s="1" t="s">
        <v>23</v>
      </c>
      <c r="C40" s="1" t="s">
        <v>331</v>
      </c>
      <c r="D40" s="1">
        <v>6.12</v>
      </c>
      <c r="E40" s="1">
        <v>330</v>
      </c>
      <c r="F40" s="1">
        <v>11</v>
      </c>
      <c r="G40" s="1">
        <f t="shared" si="4"/>
        <v>3630</v>
      </c>
      <c r="H40" s="1">
        <f t="shared" si="1"/>
        <v>593.13725490196077</v>
      </c>
      <c r="I40" s="3">
        <v>2600</v>
      </c>
      <c r="J40" s="37">
        <f t="shared" si="2"/>
        <v>1542156.8627450981</v>
      </c>
      <c r="K40" s="29">
        <v>10000</v>
      </c>
      <c r="L40" s="64">
        <f t="shared" si="3"/>
        <v>3300000</v>
      </c>
      <c r="M40" s="29">
        <f t="shared" si="5"/>
        <v>1757843.1372549019</v>
      </c>
    </row>
    <row r="41" spans="1:13" x14ac:dyDescent="0.2">
      <c r="A41" s="2" t="s">
        <v>295</v>
      </c>
      <c r="B41" s="1" t="s">
        <v>261</v>
      </c>
      <c r="C41" s="1" t="s">
        <v>314</v>
      </c>
      <c r="D41" s="1">
        <v>6.12</v>
      </c>
      <c r="E41" s="1">
        <v>300</v>
      </c>
      <c r="F41" s="1">
        <v>18</v>
      </c>
      <c r="G41" s="1">
        <f t="shared" si="4"/>
        <v>5400</v>
      </c>
      <c r="H41" s="1">
        <f t="shared" si="1"/>
        <v>882.35294117647061</v>
      </c>
      <c r="I41" s="3">
        <v>2600</v>
      </c>
      <c r="J41" s="37">
        <f t="shared" si="2"/>
        <v>2294117.6470588231</v>
      </c>
      <c r="K41" s="29">
        <v>15000</v>
      </c>
      <c r="L41" s="64">
        <f t="shared" si="3"/>
        <v>4500000</v>
      </c>
      <c r="M41" s="29">
        <f t="shared" si="5"/>
        <v>2205882.3529411769</v>
      </c>
    </row>
    <row r="42" spans="1:13" x14ac:dyDescent="0.2">
      <c r="A42" s="2" t="s">
        <v>296</v>
      </c>
      <c r="B42" s="1" t="s">
        <v>262</v>
      </c>
      <c r="C42" s="1" t="s">
        <v>253</v>
      </c>
      <c r="D42" s="1">
        <v>6.12</v>
      </c>
      <c r="E42" s="1">
        <v>200</v>
      </c>
      <c r="F42" s="1">
        <v>19</v>
      </c>
      <c r="G42" s="1">
        <f t="shared" si="4"/>
        <v>3800</v>
      </c>
      <c r="H42" s="1">
        <f t="shared" si="1"/>
        <v>620.9150326797386</v>
      </c>
      <c r="I42" s="3">
        <v>2600</v>
      </c>
      <c r="J42" s="37">
        <f t="shared" si="2"/>
        <v>1614379.0849673203</v>
      </c>
      <c r="K42" s="29">
        <v>15000</v>
      </c>
      <c r="L42" s="64">
        <f t="shared" si="3"/>
        <v>3000000</v>
      </c>
      <c r="M42" s="29">
        <f t="shared" si="5"/>
        <v>1385620.9150326797</v>
      </c>
    </row>
    <row r="43" spans="1:13" x14ac:dyDescent="0.2">
      <c r="A43" s="2" t="s">
        <v>298</v>
      </c>
      <c r="B43" s="1" t="s">
        <v>7</v>
      </c>
      <c r="C43" s="1"/>
      <c r="D43" s="1">
        <v>6.12</v>
      </c>
      <c r="E43" s="1">
        <v>200</v>
      </c>
      <c r="F43" s="1">
        <v>18</v>
      </c>
      <c r="G43" s="1">
        <f t="shared" si="4"/>
        <v>3600</v>
      </c>
      <c r="H43" s="1">
        <f t="shared" si="1"/>
        <v>588.23529411764707</v>
      </c>
      <c r="I43" s="3">
        <v>2600</v>
      </c>
      <c r="J43" s="37">
        <f t="shared" si="2"/>
        <v>1529411.7647058822</v>
      </c>
      <c r="K43" s="29">
        <v>17000</v>
      </c>
      <c r="L43" s="64">
        <f t="shared" ref="L43:L50" si="6">K43*E43</f>
        <v>3400000</v>
      </c>
      <c r="M43" s="29">
        <f t="shared" ref="M43:M50" si="7">L43-J43</f>
        <v>1870588.2352941178</v>
      </c>
    </row>
    <row r="44" spans="1:13" x14ac:dyDescent="0.2">
      <c r="A44" s="2" t="s">
        <v>315</v>
      </c>
      <c r="B44" s="1" t="s">
        <v>7</v>
      </c>
      <c r="C44" s="1" t="s">
        <v>319</v>
      </c>
      <c r="D44" s="1">
        <v>6.12</v>
      </c>
      <c r="E44" s="1">
        <v>300</v>
      </c>
      <c r="F44" s="1">
        <v>24</v>
      </c>
      <c r="G44" s="68">
        <f t="shared" si="4"/>
        <v>7200</v>
      </c>
      <c r="H44" s="1">
        <f t="shared" si="1"/>
        <v>1176.4705882352941</v>
      </c>
      <c r="I44" s="3">
        <v>2600</v>
      </c>
      <c r="J44" s="69">
        <f t="shared" si="2"/>
        <v>3058823.5294117648</v>
      </c>
      <c r="K44" s="69">
        <v>16000</v>
      </c>
      <c r="L44" s="64">
        <f t="shared" si="6"/>
        <v>4800000</v>
      </c>
      <c r="M44" s="17">
        <f t="shared" si="7"/>
        <v>1741176.4705882352</v>
      </c>
    </row>
    <row r="45" spans="1:13" x14ac:dyDescent="0.2">
      <c r="A45" s="2" t="s">
        <v>316</v>
      </c>
      <c r="B45" s="1" t="s">
        <v>7</v>
      </c>
      <c r="C45" s="1" t="s">
        <v>253</v>
      </c>
      <c r="D45" s="1">
        <v>6.12</v>
      </c>
      <c r="E45" s="1">
        <v>200</v>
      </c>
      <c r="F45" s="1">
        <v>25</v>
      </c>
      <c r="G45" s="1">
        <f t="shared" si="4"/>
        <v>5000</v>
      </c>
      <c r="H45" s="1">
        <f t="shared" si="1"/>
        <v>816.99346405228755</v>
      </c>
      <c r="I45" s="3">
        <v>2600</v>
      </c>
      <c r="J45" s="37">
        <f t="shared" si="2"/>
        <v>2124183.0065359473</v>
      </c>
      <c r="K45" s="29">
        <v>16000</v>
      </c>
      <c r="L45" s="64">
        <f t="shared" si="6"/>
        <v>3200000</v>
      </c>
      <c r="M45" s="17">
        <f t="shared" si="7"/>
        <v>1075816.9934640527</v>
      </c>
    </row>
    <row r="46" spans="1:13" x14ac:dyDescent="0.2">
      <c r="A46" s="2" t="s">
        <v>317</v>
      </c>
      <c r="B46" s="1" t="s">
        <v>7</v>
      </c>
      <c r="C46" s="1" t="s">
        <v>253</v>
      </c>
      <c r="D46" s="1">
        <v>6.12</v>
      </c>
      <c r="E46" s="1">
        <v>200</v>
      </c>
      <c r="F46" s="1">
        <v>23.5</v>
      </c>
      <c r="G46" s="1">
        <f t="shared" si="4"/>
        <v>4700</v>
      </c>
      <c r="H46" s="1">
        <f t="shared" si="1"/>
        <v>767.97385620915031</v>
      </c>
      <c r="I46" s="3">
        <v>2600</v>
      </c>
      <c r="J46" s="37">
        <f t="shared" si="2"/>
        <v>1996732.0261437907</v>
      </c>
      <c r="K46" s="29">
        <v>16000</v>
      </c>
      <c r="L46" s="64">
        <f t="shared" si="6"/>
        <v>3200000</v>
      </c>
      <c r="M46" s="17">
        <f t="shared" si="7"/>
        <v>1203267.9738562093</v>
      </c>
    </row>
    <row r="47" spans="1:13" x14ac:dyDescent="0.2">
      <c r="A47" s="2" t="s">
        <v>318</v>
      </c>
      <c r="B47" s="1" t="s">
        <v>7</v>
      </c>
      <c r="C47" s="1" t="s">
        <v>320</v>
      </c>
      <c r="D47" s="1">
        <v>6.12</v>
      </c>
      <c r="E47" s="1">
        <v>200</v>
      </c>
      <c r="F47" s="1">
        <v>18</v>
      </c>
      <c r="G47" s="1">
        <f t="shared" si="4"/>
        <v>3600</v>
      </c>
      <c r="H47" s="1">
        <f t="shared" si="1"/>
        <v>588.23529411764707</v>
      </c>
      <c r="I47" s="3">
        <v>2600</v>
      </c>
      <c r="J47" s="37">
        <f t="shared" si="2"/>
        <v>1529411.7647058822</v>
      </c>
      <c r="K47" s="29">
        <v>16000</v>
      </c>
      <c r="L47" s="64">
        <f t="shared" si="6"/>
        <v>3200000</v>
      </c>
      <c r="M47" s="17">
        <f t="shared" si="7"/>
        <v>1670588.2352941178</v>
      </c>
    </row>
    <row r="48" spans="1:13" x14ac:dyDescent="0.2">
      <c r="A48" s="2" t="s">
        <v>321</v>
      </c>
      <c r="B48" s="1" t="s">
        <v>7</v>
      </c>
      <c r="C48" s="1" t="s">
        <v>324</v>
      </c>
      <c r="D48" s="1">
        <v>6.12</v>
      </c>
      <c r="E48" s="1">
        <v>200</v>
      </c>
      <c r="F48" s="1">
        <v>28</v>
      </c>
      <c r="G48" s="1">
        <f t="shared" si="4"/>
        <v>5600</v>
      </c>
      <c r="H48" s="1">
        <f t="shared" si="1"/>
        <v>915.03267973856202</v>
      </c>
      <c r="I48" s="3">
        <v>2600</v>
      </c>
      <c r="J48" s="37">
        <f t="shared" si="2"/>
        <v>2379084.9673202615</v>
      </c>
      <c r="K48" s="64">
        <v>18000</v>
      </c>
      <c r="L48" s="64">
        <f t="shared" si="6"/>
        <v>3600000</v>
      </c>
      <c r="M48" s="17">
        <f t="shared" si="7"/>
        <v>1220915.0326797385</v>
      </c>
    </row>
    <row r="49" spans="1:13" x14ac:dyDescent="0.2">
      <c r="A49" s="2" t="s">
        <v>322</v>
      </c>
      <c r="B49" s="1" t="s">
        <v>7</v>
      </c>
      <c r="C49" s="1" t="s">
        <v>325</v>
      </c>
      <c r="D49" s="1">
        <v>6.12</v>
      </c>
      <c r="E49" s="1">
        <v>200</v>
      </c>
      <c r="F49" s="1">
        <v>26</v>
      </c>
      <c r="G49" s="1">
        <f t="shared" si="4"/>
        <v>5200</v>
      </c>
      <c r="H49" s="1">
        <f t="shared" si="1"/>
        <v>849.67320261437908</v>
      </c>
      <c r="I49" s="3">
        <v>2600</v>
      </c>
      <c r="J49" s="37">
        <f t="shared" si="2"/>
        <v>2209150.3267973857</v>
      </c>
      <c r="K49" s="64">
        <v>18000</v>
      </c>
      <c r="L49" s="64">
        <f t="shared" si="6"/>
        <v>3600000</v>
      </c>
      <c r="M49" s="17">
        <f t="shared" si="7"/>
        <v>1390849.6732026143</v>
      </c>
    </row>
    <row r="50" spans="1:13" x14ac:dyDescent="0.2">
      <c r="A50" s="2" t="s">
        <v>323</v>
      </c>
      <c r="B50" s="1" t="s">
        <v>7</v>
      </c>
      <c r="C50" s="1" t="s">
        <v>326</v>
      </c>
      <c r="D50" s="1">
        <v>6.12</v>
      </c>
      <c r="E50" s="1">
        <v>640</v>
      </c>
      <c r="F50" s="1">
        <v>17</v>
      </c>
      <c r="G50" s="1">
        <f t="shared" si="4"/>
        <v>10880</v>
      </c>
      <c r="H50" s="1">
        <f t="shared" si="1"/>
        <v>1777.7777777777778</v>
      </c>
      <c r="I50" s="3">
        <v>2600</v>
      </c>
      <c r="J50" s="37">
        <f t="shared" si="2"/>
        <v>4622222.222222222</v>
      </c>
      <c r="K50" s="64">
        <v>16000</v>
      </c>
      <c r="L50" s="64">
        <f t="shared" si="6"/>
        <v>10240000</v>
      </c>
      <c r="M50" s="17">
        <f t="shared" si="7"/>
        <v>5617777.777777778</v>
      </c>
    </row>
    <row r="51" spans="1:13" x14ac:dyDescent="0.2">
      <c r="E51" s="7">
        <f>SUM(E3:E50)</f>
        <v>16989</v>
      </c>
      <c r="G51" s="73">
        <f>SUM(G3:G50)</f>
        <v>378162</v>
      </c>
      <c r="H51" s="72">
        <f>SUM(H3:H50)</f>
        <v>61791.176470588245</v>
      </c>
      <c r="J51" s="71">
        <f>SUM(J3:J50)</f>
        <v>160657058.82352942</v>
      </c>
      <c r="L51" s="70">
        <f>SUM(L3:L50)</f>
        <v>269266000</v>
      </c>
      <c r="M51" s="48">
        <f>SUM(M3:M50)</f>
        <v>108608941.17647059</v>
      </c>
    </row>
    <row r="57" spans="1:13" x14ac:dyDescent="0.2">
      <c r="H57" s="53" t="s">
        <v>408</v>
      </c>
      <c r="I57" s="3" t="s">
        <v>25</v>
      </c>
      <c r="J57" s="15">
        <v>160657059</v>
      </c>
      <c r="K57" s="15"/>
    </row>
    <row r="58" spans="1:13" x14ac:dyDescent="0.2">
      <c r="H58" s="53"/>
      <c r="I58" s="3" t="s">
        <v>27</v>
      </c>
      <c r="J58" s="9">
        <v>8543000</v>
      </c>
      <c r="K58" s="9"/>
    </row>
    <row r="59" spans="1:13" x14ac:dyDescent="0.2">
      <c r="I59" s="3" t="s">
        <v>26</v>
      </c>
      <c r="J59" s="3">
        <v>3283000</v>
      </c>
      <c r="K59" s="3"/>
    </row>
    <row r="60" spans="1:13" x14ac:dyDescent="0.2">
      <c r="I60" s="3" t="s">
        <v>33</v>
      </c>
      <c r="J60" s="3">
        <v>8000000</v>
      </c>
      <c r="K60" s="3"/>
    </row>
    <row r="61" spans="1:13" x14ac:dyDescent="0.2">
      <c r="I61" s="3" t="s">
        <v>31</v>
      </c>
      <c r="J61" s="3">
        <v>6000000</v>
      </c>
      <c r="K61" s="3"/>
    </row>
    <row r="62" spans="1:13" x14ac:dyDescent="0.2">
      <c r="I62" s="3" t="s">
        <v>36</v>
      </c>
      <c r="J62" s="3">
        <v>4000000</v>
      </c>
      <c r="K62" s="3"/>
    </row>
    <row r="63" spans="1:13" x14ac:dyDescent="0.2">
      <c r="I63" s="3" t="s">
        <v>29</v>
      </c>
      <c r="J63" s="23">
        <v>12000000</v>
      </c>
      <c r="K63" s="23" t="s">
        <v>245</v>
      </c>
    </row>
    <row r="64" spans="1:13" x14ac:dyDescent="0.2">
      <c r="I64" s="3" t="s">
        <v>34</v>
      </c>
      <c r="J64" s="26">
        <f>SUM(J57:J63)</f>
        <v>202483059</v>
      </c>
      <c r="K64" s="26"/>
    </row>
    <row r="65" spans="9:11" x14ac:dyDescent="0.2">
      <c r="I65" s="3" t="s">
        <v>6</v>
      </c>
      <c r="J65" s="55">
        <v>268946000</v>
      </c>
      <c r="K65" s="55"/>
    </row>
    <row r="66" spans="9:11" ht="18" x14ac:dyDescent="0.35">
      <c r="I66" s="3" t="s">
        <v>35</v>
      </c>
      <c r="J66" s="21">
        <f>J65-J64</f>
        <v>66462941</v>
      </c>
      <c r="K66" s="21"/>
    </row>
    <row r="69" spans="9:11" ht="16" thickBot="1" x14ac:dyDescent="0.25">
      <c r="I69" s="80" t="s">
        <v>346</v>
      </c>
      <c r="J69" s="7"/>
    </row>
    <row r="70" spans="9:11" ht="16" thickBot="1" x14ac:dyDescent="0.25">
      <c r="I70" s="76" t="s">
        <v>342</v>
      </c>
      <c r="J70" s="81" t="s">
        <v>343</v>
      </c>
    </row>
    <row r="71" spans="9:11" x14ac:dyDescent="0.2">
      <c r="I71" s="77" t="s">
        <v>345</v>
      </c>
      <c r="J71" s="78">
        <v>250</v>
      </c>
      <c r="K71" s="75"/>
    </row>
    <row r="72" spans="9:11" x14ac:dyDescent="0.2">
      <c r="I72" s="82" t="s">
        <v>347</v>
      </c>
      <c r="J72" s="78">
        <v>150</v>
      </c>
      <c r="K72" s="75"/>
    </row>
    <row r="73" spans="9:11" x14ac:dyDescent="0.2">
      <c r="I73" s="74" t="s">
        <v>332</v>
      </c>
      <c r="J73" s="79">
        <v>650</v>
      </c>
      <c r="K73" s="9"/>
    </row>
    <row r="74" spans="9:11" x14ac:dyDescent="0.2">
      <c r="I74" s="3" t="s">
        <v>333</v>
      </c>
      <c r="J74" s="9">
        <v>250</v>
      </c>
      <c r="K74" s="3"/>
    </row>
    <row r="75" spans="9:11" x14ac:dyDescent="0.2">
      <c r="I75" s="3" t="s">
        <v>334</v>
      </c>
      <c r="J75" s="3">
        <v>230</v>
      </c>
      <c r="K75" s="3"/>
    </row>
    <row r="76" spans="9:11" x14ac:dyDescent="0.2">
      <c r="I76" s="3" t="s">
        <v>335</v>
      </c>
      <c r="J76" s="3">
        <v>90</v>
      </c>
      <c r="K76" s="3"/>
    </row>
    <row r="77" spans="9:11" x14ac:dyDescent="0.2">
      <c r="I77" s="3" t="s">
        <v>336</v>
      </c>
      <c r="J77" s="3">
        <v>150</v>
      </c>
      <c r="K77" s="3"/>
    </row>
    <row r="78" spans="9:11" x14ac:dyDescent="0.2">
      <c r="I78" s="3" t="s">
        <v>337</v>
      </c>
      <c r="J78" s="3">
        <v>85</v>
      </c>
      <c r="K78" s="23" t="s">
        <v>245</v>
      </c>
    </row>
    <row r="79" spans="9:11" x14ac:dyDescent="0.2">
      <c r="I79" s="3" t="s">
        <v>338</v>
      </c>
      <c r="J79" s="23">
        <v>72</v>
      </c>
      <c r="K79" s="23"/>
    </row>
    <row r="80" spans="9:11" x14ac:dyDescent="0.2">
      <c r="I80" s="3" t="s">
        <v>344</v>
      </c>
      <c r="J80" s="23">
        <v>82</v>
      </c>
      <c r="K80" s="26"/>
    </row>
    <row r="81" spans="9:11" x14ac:dyDescent="0.2">
      <c r="I81" s="3" t="s">
        <v>339</v>
      </c>
      <c r="J81" s="26">
        <v>47</v>
      </c>
      <c r="K81" s="55"/>
    </row>
    <row r="82" spans="9:11" ht="18" x14ac:dyDescent="0.35">
      <c r="I82" s="3" t="s">
        <v>340</v>
      </c>
      <c r="J82" s="55">
        <v>69</v>
      </c>
      <c r="K82" s="21"/>
    </row>
    <row r="83" spans="9:11" ht="18" x14ac:dyDescent="0.35">
      <c r="I83" s="3" t="s">
        <v>341</v>
      </c>
      <c r="J83" s="21">
        <v>17</v>
      </c>
    </row>
    <row r="84" spans="9:11" x14ac:dyDescent="0.2">
      <c r="J84" s="8">
        <f>SUM(J71:J83)</f>
        <v>2142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52"/>
  <sheetViews>
    <sheetView topLeftCell="A25" workbookViewId="0"/>
  </sheetViews>
  <sheetFormatPr baseColWidth="10" defaultRowHeight="15" x14ac:dyDescent="0.2"/>
  <cols>
    <col min="2" max="2" width="11.83203125" customWidth="1"/>
    <col min="3" max="3" width="18.83203125" customWidth="1"/>
    <col min="8" max="8" width="10.83203125" customWidth="1"/>
    <col min="10" max="10" width="13.33203125" customWidth="1"/>
    <col min="12" max="12" width="11.6640625" customWidth="1"/>
    <col min="13" max="13" width="12" customWidth="1"/>
  </cols>
  <sheetData>
    <row r="1" spans="1:13" ht="31" x14ac:dyDescent="0.35">
      <c r="A1" s="56" t="s">
        <v>504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2" t="s">
        <v>348</v>
      </c>
      <c r="B3" s="1" t="s">
        <v>7</v>
      </c>
      <c r="C3" s="1" t="s">
        <v>378</v>
      </c>
      <c r="D3" s="1">
        <v>6.1</v>
      </c>
      <c r="E3" s="1">
        <v>200</v>
      </c>
      <c r="F3" s="1">
        <v>30</v>
      </c>
      <c r="G3" s="44">
        <f t="shared" ref="G3" si="0">E3*F3</f>
        <v>6000</v>
      </c>
      <c r="H3" s="5">
        <f t="shared" ref="H3:H38" si="1">G3/D3</f>
        <v>983.60655737704928</v>
      </c>
      <c r="I3" s="3">
        <v>2580</v>
      </c>
      <c r="J3" s="3">
        <f t="shared" ref="J3:J38" si="2">F3/D3*I3*E3</f>
        <v>2537704.9180327873</v>
      </c>
      <c r="K3" s="3">
        <v>20000</v>
      </c>
      <c r="L3" s="44">
        <f t="shared" ref="L3:L38" si="3">K3*E3</f>
        <v>4000000</v>
      </c>
      <c r="M3" s="3">
        <f>L3-J3</f>
        <v>1462295.0819672127</v>
      </c>
    </row>
    <row r="4" spans="1:13" x14ac:dyDescent="0.2">
      <c r="A4" s="2" t="s">
        <v>349</v>
      </c>
      <c r="B4" s="1" t="s">
        <v>7</v>
      </c>
      <c r="C4" s="1" t="s">
        <v>379</v>
      </c>
      <c r="D4" s="1">
        <v>6.1</v>
      </c>
      <c r="E4" s="1">
        <v>200</v>
      </c>
      <c r="F4" s="1">
        <v>30</v>
      </c>
      <c r="G4" s="44">
        <f>E4*F4</f>
        <v>6000</v>
      </c>
      <c r="H4" s="5">
        <f>G4/D4</f>
        <v>983.60655737704928</v>
      </c>
      <c r="I4" s="3">
        <v>2580</v>
      </c>
      <c r="J4" s="3">
        <f t="shared" si="2"/>
        <v>2537704.9180327873</v>
      </c>
      <c r="K4" s="3">
        <v>20000</v>
      </c>
      <c r="L4" s="44">
        <f t="shared" si="3"/>
        <v>4000000</v>
      </c>
      <c r="M4" s="3">
        <f>L4-J4</f>
        <v>1462295.0819672127</v>
      </c>
    </row>
    <row r="5" spans="1:13" x14ac:dyDescent="0.2">
      <c r="A5" s="2" t="s">
        <v>350</v>
      </c>
      <c r="B5" s="1" t="s">
        <v>7</v>
      </c>
      <c r="C5" s="1" t="s">
        <v>380</v>
      </c>
      <c r="D5" s="1">
        <v>6.1</v>
      </c>
      <c r="E5" s="1">
        <v>100</v>
      </c>
      <c r="F5" s="1">
        <v>30</v>
      </c>
      <c r="G5" s="44">
        <f>E5*F5</f>
        <v>3000</v>
      </c>
      <c r="H5" s="5">
        <f>G5/D5</f>
        <v>491.80327868852464</v>
      </c>
      <c r="I5" s="3">
        <v>2580</v>
      </c>
      <c r="J5" s="3">
        <f t="shared" si="2"/>
        <v>1268852.4590163936</v>
      </c>
      <c r="K5" s="3">
        <v>20000</v>
      </c>
      <c r="L5" s="44">
        <f t="shared" si="3"/>
        <v>2000000</v>
      </c>
      <c r="M5" s="3">
        <f>L5-J5</f>
        <v>731147.54098360636</v>
      </c>
    </row>
    <row r="6" spans="1:13" x14ac:dyDescent="0.2">
      <c r="A6" s="2" t="s">
        <v>351</v>
      </c>
      <c r="B6" s="1" t="s">
        <v>7</v>
      </c>
      <c r="C6" s="1" t="s">
        <v>381</v>
      </c>
      <c r="D6" s="1">
        <v>6.1</v>
      </c>
      <c r="E6" s="1">
        <v>200</v>
      </c>
      <c r="F6" s="1">
        <v>26</v>
      </c>
      <c r="G6" s="1">
        <f>E6*F6</f>
        <v>5200</v>
      </c>
      <c r="H6" s="1">
        <f t="shared" si="1"/>
        <v>852.45901639344265</v>
      </c>
      <c r="I6" s="3">
        <v>2580</v>
      </c>
      <c r="J6" s="37">
        <f t="shared" si="2"/>
        <v>2199344.2622950822</v>
      </c>
      <c r="K6" s="3">
        <v>17000</v>
      </c>
      <c r="L6" s="44">
        <f t="shared" si="3"/>
        <v>3400000</v>
      </c>
      <c r="M6" s="3">
        <f>L6-J6</f>
        <v>1200655.7377049178</v>
      </c>
    </row>
    <row r="7" spans="1:13" x14ac:dyDescent="0.2">
      <c r="A7" s="2" t="s">
        <v>352</v>
      </c>
      <c r="B7" s="1" t="s">
        <v>7</v>
      </c>
      <c r="C7" s="1" t="s">
        <v>380</v>
      </c>
      <c r="D7" s="1">
        <v>6.1</v>
      </c>
      <c r="E7" s="1">
        <v>200</v>
      </c>
      <c r="F7" s="1">
        <v>26</v>
      </c>
      <c r="G7" s="1">
        <f t="shared" ref="G7:G38" si="4">E7*F7</f>
        <v>5200</v>
      </c>
      <c r="H7" s="1">
        <f t="shared" si="1"/>
        <v>852.45901639344265</v>
      </c>
      <c r="I7" s="3">
        <v>2580</v>
      </c>
      <c r="J7" s="37">
        <f t="shared" si="2"/>
        <v>2199344.2622950822</v>
      </c>
      <c r="K7" s="3">
        <v>17000</v>
      </c>
      <c r="L7" s="44">
        <f t="shared" si="3"/>
        <v>3400000</v>
      </c>
      <c r="M7" s="3">
        <f t="shared" ref="M7:M38" si="5">L7-J7</f>
        <v>1200655.7377049178</v>
      </c>
    </row>
    <row r="8" spans="1:13" x14ac:dyDescent="0.2">
      <c r="A8" s="2" t="s">
        <v>355</v>
      </c>
      <c r="B8" s="1" t="s">
        <v>7</v>
      </c>
      <c r="C8" s="1" t="s">
        <v>385</v>
      </c>
      <c r="D8" s="1">
        <v>6.1</v>
      </c>
      <c r="E8" s="1">
        <v>600</v>
      </c>
      <c r="F8" s="1">
        <v>22</v>
      </c>
      <c r="G8" s="1">
        <f>E8*F8</f>
        <v>13200</v>
      </c>
      <c r="H8" s="1">
        <f>G8/D8</f>
        <v>2163.9344262295085</v>
      </c>
      <c r="I8" s="3">
        <v>2580</v>
      </c>
      <c r="J8" s="37">
        <f>F8/D8*I8*E8</f>
        <v>5582950.819672131</v>
      </c>
      <c r="K8" s="29">
        <v>16000</v>
      </c>
      <c r="L8" s="64">
        <f>K8*E8</f>
        <v>9600000</v>
      </c>
      <c r="M8" s="29">
        <f>L8-J8</f>
        <v>4017049.180327869</v>
      </c>
    </row>
    <row r="9" spans="1:13" x14ac:dyDescent="0.2">
      <c r="A9" s="2" t="s">
        <v>353</v>
      </c>
      <c r="B9" s="1" t="s">
        <v>21</v>
      </c>
      <c r="C9" s="1" t="s">
        <v>382</v>
      </c>
      <c r="D9" s="1">
        <v>6.1</v>
      </c>
      <c r="E9" s="1">
        <v>200</v>
      </c>
      <c r="F9" s="1">
        <v>11</v>
      </c>
      <c r="G9" s="1">
        <f t="shared" si="4"/>
        <v>2200</v>
      </c>
      <c r="H9" s="1">
        <f t="shared" si="1"/>
        <v>360.65573770491807</v>
      </c>
      <c r="I9" s="3">
        <v>2580</v>
      </c>
      <c r="J9" s="37">
        <f t="shared" si="2"/>
        <v>930491.80327868857</v>
      </c>
      <c r="K9" s="29">
        <v>10000</v>
      </c>
      <c r="L9" s="64">
        <f t="shared" si="3"/>
        <v>2000000</v>
      </c>
      <c r="M9" s="29">
        <f t="shared" si="5"/>
        <v>1069508.1967213114</v>
      </c>
    </row>
    <row r="10" spans="1:13" x14ac:dyDescent="0.2">
      <c r="A10" s="2" t="s">
        <v>354</v>
      </c>
      <c r="B10" s="1" t="s">
        <v>383</v>
      </c>
      <c r="C10" s="1" t="s">
        <v>384</v>
      </c>
      <c r="D10" s="1">
        <v>6.1</v>
      </c>
      <c r="E10" s="1">
        <v>160</v>
      </c>
      <c r="F10" s="1">
        <v>18</v>
      </c>
      <c r="G10" s="1">
        <f t="shared" si="4"/>
        <v>2880</v>
      </c>
      <c r="H10" s="1">
        <f t="shared" si="1"/>
        <v>472.13114754098365</v>
      </c>
      <c r="I10" s="3">
        <v>2580</v>
      </c>
      <c r="J10" s="37">
        <f t="shared" si="2"/>
        <v>1218098.3606557378</v>
      </c>
      <c r="K10" s="29">
        <v>13000</v>
      </c>
      <c r="L10" s="64">
        <f t="shared" si="3"/>
        <v>2080000</v>
      </c>
      <c r="M10" s="29">
        <f t="shared" si="5"/>
        <v>861901.63934426219</v>
      </c>
    </row>
    <row r="11" spans="1:13" x14ac:dyDescent="0.2">
      <c r="A11" s="2" t="s">
        <v>356</v>
      </c>
      <c r="B11" s="1" t="s">
        <v>7</v>
      </c>
      <c r="C11" s="1" t="s">
        <v>386</v>
      </c>
      <c r="D11" s="1">
        <v>6.1</v>
      </c>
      <c r="E11" s="1">
        <v>300</v>
      </c>
      <c r="F11" s="1">
        <v>25.5</v>
      </c>
      <c r="G11" s="1">
        <f t="shared" si="4"/>
        <v>7650</v>
      </c>
      <c r="H11" s="1">
        <f t="shared" si="1"/>
        <v>1254.0983606557377</v>
      </c>
      <c r="I11" s="3">
        <v>2580</v>
      </c>
      <c r="J11" s="37">
        <f t="shared" si="2"/>
        <v>3235573.770491804</v>
      </c>
      <c r="K11" s="29">
        <v>18000</v>
      </c>
      <c r="L11" s="64">
        <f t="shared" si="3"/>
        <v>5400000</v>
      </c>
      <c r="M11" s="29">
        <f t="shared" si="5"/>
        <v>2164426.229508196</v>
      </c>
    </row>
    <row r="12" spans="1:13" x14ac:dyDescent="0.2">
      <c r="A12" s="2" t="s">
        <v>357</v>
      </c>
      <c r="B12" s="1" t="s">
        <v>383</v>
      </c>
      <c r="C12" s="1" t="s">
        <v>387</v>
      </c>
      <c r="D12" s="1">
        <v>6.1</v>
      </c>
      <c r="E12" s="1">
        <v>300</v>
      </c>
      <c r="F12" s="1">
        <v>21</v>
      </c>
      <c r="G12" s="1">
        <f t="shared" si="4"/>
        <v>6300</v>
      </c>
      <c r="H12" s="1">
        <f t="shared" si="1"/>
        <v>1032.7868852459017</v>
      </c>
      <c r="I12" s="3">
        <v>2580</v>
      </c>
      <c r="J12" s="37">
        <f t="shared" si="2"/>
        <v>2664590.1639344264</v>
      </c>
      <c r="K12" s="29">
        <v>15000</v>
      </c>
      <c r="L12" s="64">
        <f t="shared" si="3"/>
        <v>4500000</v>
      </c>
      <c r="M12" s="29">
        <f t="shared" si="5"/>
        <v>1835409.8360655736</v>
      </c>
    </row>
    <row r="13" spans="1:13" x14ac:dyDescent="0.2">
      <c r="A13" s="2" t="s">
        <v>358</v>
      </c>
      <c r="B13" s="1" t="s">
        <v>23</v>
      </c>
      <c r="C13" s="1" t="s">
        <v>253</v>
      </c>
      <c r="D13" s="1">
        <v>6.1</v>
      </c>
      <c r="E13" s="1">
        <v>200</v>
      </c>
      <c r="F13" s="1">
        <v>22</v>
      </c>
      <c r="G13" s="1">
        <f t="shared" si="4"/>
        <v>4400</v>
      </c>
      <c r="H13" s="1">
        <f t="shared" si="1"/>
        <v>721.31147540983613</v>
      </c>
      <c r="I13" s="3">
        <v>2580</v>
      </c>
      <c r="J13" s="37">
        <f t="shared" si="2"/>
        <v>1860983.6065573771</v>
      </c>
      <c r="K13" s="29">
        <v>15000</v>
      </c>
      <c r="L13" s="64">
        <f t="shared" si="3"/>
        <v>3000000</v>
      </c>
      <c r="M13" s="29">
        <f t="shared" si="5"/>
        <v>1139016.3934426229</v>
      </c>
    </row>
    <row r="14" spans="1:13" x14ac:dyDescent="0.2">
      <c r="A14" s="2" t="s">
        <v>359</v>
      </c>
      <c r="B14" s="1" t="s">
        <v>21</v>
      </c>
      <c r="C14" s="1" t="s">
        <v>388</v>
      </c>
      <c r="D14" s="1">
        <v>6.1</v>
      </c>
      <c r="E14" s="1">
        <v>300</v>
      </c>
      <c r="F14" s="1">
        <v>23</v>
      </c>
      <c r="G14" s="1">
        <f t="shared" si="4"/>
        <v>6900</v>
      </c>
      <c r="H14" s="1">
        <f t="shared" si="1"/>
        <v>1131.1475409836066</v>
      </c>
      <c r="I14" s="3">
        <v>2580</v>
      </c>
      <c r="J14" s="37">
        <f t="shared" si="2"/>
        <v>2918360.6557377051</v>
      </c>
      <c r="K14" s="29">
        <v>15000</v>
      </c>
      <c r="L14" s="64">
        <f t="shared" si="3"/>
        <v>4500000</v>
      </c>
      <c r="M14" s="29">
        <f t="shared" si="5"/>
        <v>1581639.3442622949</v>
      </c>
    </row>
    <row r="15" spans="1:13" x14ac:dyDescent="0.2">
      <c r="A15" s="2" t="s">
        <v>360</v>
      </c>
      <c r="B15" s="1" t="s">
        <v>23</v>
      </c>
      <c r="C15" s="1" t="s">
        <v>389</v>
      </c>
      <c r="D15" s="1">
        <v>6.1</v>
      </c>
      <c r="E15" s="1">
        <v>368</v>
      </c>
      <c r="F15" s="1">
        <v>10</v>
      </c>
      <c r="G15" s="1">
        <f t="shared" si="4"/>
        <v>3680</v>
      </c>
      <c r="H15" s="1">
        <f t="shared" si="1"/>
        <v>603.27868852459017</v>
      </c>
      <c r="I15" s="3">
        <v>2580</v>
      </c>
      <c r="J15" s="37">
        <f t="shared" si="2"/>
        <v>1556459.0163934426</v>
      </c>
      <c r="K15" s="29">
        <v>10000</v>
      </c>
      <c r="L15" s="64">
        <f t="shared" si="3"/>
        <v>3680000</v>
      </c>
      <c r="M15" s="29">
        <f t="shared" si="5"/>
        <v>2123540.9836065574</v>
      </c>
    </row>
    <row r="16" spans="1:13" x14ac:dyDescent="0.2">
      <c r="A16" s="2" t="s">
        <v>361</v>
      </c>
      <c r="B16" s="1" t="s">
        <v>7</v>
      </c>
      <c r="C16" s="1" t="s">
        <v>390</v>
      </c>
      <c r="D16" s="1">
        <v>6.1</v>
      </c>
      <c r="E16" s="1">
        <v>600</v>
      </c>
      <c r="F16" s="1">
        <v>29</v>
      </c>
      <c r="G16" s="1">
        <f t="shared" si="4"/>
        <v>17400</v>
      </c>
      <c r="H16" s="1">
        <f t="shared" si="1"/>
        <v>2852.4590163934427</v>
      </c>
      <c r="I16" s="3">
        <v>2580</v>
      </c>
      <c r="J16" s="37">
        <f t="shared" si="2"/>
        <v>7359344.2622950831</v>
      </c>
      <c r="K16" s="29">
        <v>20000</v>
      </c>
      <c r="L16" s="64">
        <f t="shared" si="3"/>
        <v>12000000</v>
      </c>
      <c r="M16" s="29">
        <f t="shared" si="5"/>
        <v>4640655.7377049169</v>
      </c>
    </row>
    <row r="17" spans="1:13" x14ac:dyDescent="0.2">
      <c r="A17" s="2" t="s">
        <v>362</v>
      </c>
      <c r="B17" s="1" t="s">
        <v>391</v>
      </c>
      <c r="C17" s="1" t="s">
        <v>392</v>
      </c>
      <c r="D17" s="1">
        <v>6.1</v>
      </c>
      <c r="E17" s="1">
        <v>600</v>
      </c>
      <c r="F17" s="1">
        <v>18</v>
      </c>
      <c r="G17" s="1">
        <f t="shared" si="4"/>
        <v>10800</v>
      </c>
      <c r="H17" s="1">
        <f t="shared" si="1"/>
        <v>1770.4918032786886</v>
      </c>
      <c r="I17" s="3">
        <v>2580</v>
      </c>
      <c r="J17" s="37">
        <f t="shared" si="2"/>
        <v>4567868.8524590163</v>
      </c>
      <c r="K17" s="29">
        <v>15000</v>
      </c>
      <c r="L17" s="64">
        <f t="shared" si="3"/>
        <v>9000000</v>
      </c>
      <c r="M17" s="29">
        <f t="shared" si="5"/>
        <v>4432131.1475409837</v>
      </c>
    </row>
    <row r="18" spans="1:13" x14ac:dyDescent="0.2">
      <c r="A18" s="2" t="s">
        <v>363</v>
      </c>
      <c r="B18" s="1" t="s">
        <v>7</v>
      </c>
      <c r="C18" s="1" t="s">
        <v>393</v>
      </c>
      <c r="D18" s="1">
        <v>6.1</v>
      </c>
      <c r="E18" s="1">
        <v>300</v>
      </c>
      <c r="F18" s="1">
        <v>23</v>
      </c>
      <c r="G18" s="1">
        <f t="shared" si="4"/>
        <v>6900</v>
      </c>
      <c r="H18" s="1">
        <f t="shared" si="1"/>
        <v>1131.1475409836066</v>
      </c>
      <c r="I18" s="3">
        <v>2580</v>
      </c>
      <c r="J18" s="37">
        <f t="shared" si="2"/>
        <v>2918360.6557377051</v>
      </c>
      <c r="K18" s="29">
        <v>16000</v>
      </c>
      <c r="L18" s="64">
        <f t="shared" si="3"/>
        <v>4800000</v>
      </c>
      <c r="M18" s="29">
        <f t="shared" si="5"/>
        <v>1881639.3442622949</v>
      </c>
    </row>
    <row r="19" spans="1:13" x14ac:dyDescent="0.2">
      <c r="A19" s="2" t="s">
        <v>364</v>
      </c>
      <c r="B19" s="1" t="s">
        <v>7</v>
      </c>
      <c r="C19" s="1" t="s">
        <v>394</v>
      </c>
      <c r="D19" s="1">
        <v>6.1</v>
      </c>
      <c r="E19" s="1">
        <v>350</v>
      </c>
      <c r="F19" s="1">
        <v>24</v>
      </c>
      <c r="G19" s="1">
        <f t="shared" si="4"/>
        <v>8400</v>
      </c>
      <c r="H19" s="1">
        <f t="shared" si="1"/>
        <v>1377.049180327869</v>
      </c>
      <c r="I19" s="3">
        <v>2580</v>
      </c>
      <c r="J19" s="37">
        <f t="shared" si="2"/>
        <v>3552786.885245902</v>
      </c>
      <c r="K19" s="29">
        <v>18000</v>
      </c>
      <c r="L19" s="64">
        <f t="shared" si="3"/>
        <v>6300000</v>
      </c>
      <c r="M19" s="29">
        <f t="shared" si="5"/>
        <v>2747213.114754098</v>
      </c>
    </row>
    <row r="20" spans="1:13" x14ac:dyDescent="0.2">
      <c r="A20" s="2" t="s">
        <v>365</v>
      </c>
      <c r="B20" s="1" t="s">
        <v>80</v>
      </c>
      <c r="C20" s="1" t="s">
        <v>398</v>
      </c>
      <c r="D20" s="1">
        <v>6.1</v>
      </c>
      <c r="E20" s="1">
        <v>1100</v>
      </c>
      <c r="F20" s="1">
        <v>20</v>
      </c>
      <c r="G20" s="1">
        <f t="shared" si="4"/>
        <v>22000</v>
      </c>
      <c r="H20" s="1">
        <f t="shared" si="1"/>
        <v>3606.5573770491806</v>
      </c>
      <c r="I20" s="3">
        <v>2580</v>
      </c>
      <c r="J20" s="37">
        <f t="shared" si="2"/>
        <v>9304918.0327868853</v>
      </c>
      <c r="K20" s="29">
        <v>15000</v>
      </c>
      <c r="L20" s="64">
        <f t="shared" si="3"/>
        <v>16500000</v>
      </c>
      <c r="M20" s="29">
        <f t="shared" si="5"/>
        <v>7195081.9672131147</v>
      </c>
    </row>
    <row r="21" spans="1:13" x14ac:dyDescent="0.2">
      <c r="A21" s="2" t="s">
        <v>366</v>
      </c>
      <c r="B21" s="1" t="s">
        <v>399</v>
      </c>
      <c r="C21" s="1" t="s">
        <v>253</v>
      </c>
      <c r="D21" s="1">
        <v>6.1</v>
      </c>
      <c r="E21" s="1">
        <v>800</v>
      </c>
      <c r="F21" s="1">
        <v>16.8</v>
      </c>
      <c r="G21" s="1">
        <f t="shared" si="4"/>
        <v>13440</v>
      </c>
      <c r="H21" s="1">
        <f t="shared" si="1"/>
        <v>2203.2786885245905</v>
      </c>
      <c r="I21" s="3">
        <v>2580</v>
      </c>
      <c r="J21" s="37">
        <f t="shared" si="2"/>
        <v>5684459.0163934436</v>
      </c>
      <c r="K21" s="29">
        <v>13000</v>
      </c>
      <c r="L21" s="64">
        <f t="shared" si="3"/>
        <v>10400000</v>
      </c>
      <c r="M21" s="29">
        <f t="shared" si="5"/>
        <v>4715540.9836065564</v>
      </c>
    </row>
    <row r="22" spans="1:13" x14ac:dyDescent="0.2">
      <c r="A22" s="2" t="s">
        <v>367</v>
      </c>
      <c r="B22" s="1" t="s">
        <v>68</v>
      </c>
      <c r="C22" s="1" t="s">
        <v>395</v>
      </c>
      <c r="D22" s="1">
        <v>6.1</v>
      </c>
      <c r="E22" s="1">
        <v>300</v>
      </c>
      <c r="F22" s="1">
        <v>24</v>
      </c>
      <c r="G22" s="1">
        <f t="shared" si="4"/>
        <v>7200</v>
      </c>
      <c r="H22" s="1">
        <f t="shared" si="1"/>
        <v>1180.327868852459</v>
      </c>
      <c r="I22" s="3">
        <v>2580</v>
      </c>
      <c r="J22" s="37">
        <f t="shared" si="2"/>
        <v>3045245.9016393446</v>
      </c>
      <c r="K22" s="29">
        <v>15000</v>
      </c>
      <c r="L22" s="64">
        <f t="shared" si="3"/>
        <v>4500000</v>
      </c>
      <c r="M22" s="29">
        <f t="shared" si="5"/>
        <v>1454754.0983606554</v>
      </c>
    </row>
    <row r="23" spans="1:13" x14ac:dyDescent="0.2">
      <c r="A23" s="2" t="s">
        <v>368</v>
      </c>
      <c r="B23" s="1" t="s">
        <v>19</v>
      </c>
      <c r="C23" s="1" t="s">
        <v>421</v>
      </c>
      <c r="D23" s="1">
        <v>6.1</v>
      </c>
      <c r="E23" s="1">
        <v>160</v>
      </c>
      <c r="F23" s="1">
        <v>30</v>
      </c>
      <c r="G23" s="1">
        <f t="shared" si="4"/>
        <v>4800</v>
      </c>
      <c r="H23" s="1">
        <f t="shared" si="1"/>
        <v>786.88524590163934</v>
      </c>
      <c r="I23" s="3">
        <v>2580</v>
      </c>
      <c r="J23" s="37">
        <f t="shared" si="2"/>
        <v>2030163.9344262297</v>
      </c>
      <c r="K23" s="29">
        <v>18000</v>
      </c>
      <c r="L23" s="64">
        <f t="shared" si="3"/>
        <v>2880000</v>
      </c>
      <c r="M23" s="29">
        <f t="shared" si="5"/>
        <v>849836.06557377032</v>
      </c>
    </row>
    <row r="24" spans="1:13" x14ac:dyDescent="0.2">
      <c r="A24" s="2" t="s">
        <v>369</v>
      </c>
      <c r="B24" s="1" t="s">
        <v>253</v>
      </c>
      <c r="C24" s="1" t="s">
        <v>422</v>
      </c>
      <c r="D24" s="1">
        <v>6.1</v>
      </c>
      <c r="E24" s="1">
        <v>160</v>
      </c>
      <c r="F24" s="1">
        <v>30</v>
      </c>
      <c r="G24" s="1">
        <f t="shared" si="4"/>
        <v>4800</v>
      </c>
      <c r="H24" s="1">
        <f t="shared" si="1"/>
        <v>786.88524590163934</v>
      </c>
      <c r="I24" s="3">
        <v>2580</v>
      </c>
      <c r="J24" s="37">
        <f t="shared" si="2"/>
        <v>2030163.9344262297</v>
      </c>
      <c r="K24" s="29">
        <v>18000</v>
      </c>
      <c r="L24" s="64">
        <f t="shared" si="3"/>
        <v>2880000</v>
      </c>
      <c r="M24" s="29">
        <f t="shared" si="5"/>
        <v>849836.06557377032</v>
      </c>
    </row>
    <row r="25" spans="1:13" x14ac:dyDescent="0.2">
      <c r="A25" s="2" t="s">
        <v>370</v>
      </c>
      <c r="B25" s="1" t="s">
        <v>253</v>
      </c>
      <c r="C25" s="1" t="s">
        <v>396</v>
      </c>
      <c r="D25" s="1">
        <v>6.1</v>
      </c>
      <c r="E25" s="1">
        <v>160</v>
      </c>
      <c r="F25" s="1">
        <v>32</v>
      </c>
      <c r="G25" s="1">
        <f t="shared" si="4"/>
        <v>5120</v>
      </c>
      <c r="H25" s="1">
        <f t="shared" si="1"/>
        <v>839.34426229508199</v>
      </c>
      <c r="I25" s="3">
        <v>2580</v>
      </c>
      <c r="J25" s="37">
        <f t="shared" si="2"/>
        <v>2165508.1967213117</v>
      </c>
      <c r="K25" s="29">
        <v>20000</v>
      </c>
      <c r="L25" s="64">
        <f t="shared" si="3"/>
        <v>3200000</v>
      </c>
      <c r="M25" s="29">
        <f t="shared" si="5"/>
        <v>1034491.8032786883</v>
      </c>
    </row>
    <row r="26" spans="1:13" x14ac:dyDescent="0.2">
      <c r="A26" s="2" t="s">
        <v>371</v>
      </c>
      <c r="B26" s="1" t="s">
        <v>253</v>
      </c>
      <c r="C26" s="1" t="s">
        <v>397</v>
      </c>
      <c r="D26" s="1">
        <v>6.1</v>
      </c>
      <c r="E26" s="1">
        <v>350</v>
      </c>
      <c r="F26" s="1">
        <v>32</v>
      </c>
      <c r="G26" s="1">
        <f t="shared" si="4"/>
        <v>11200</v>
      </c>
      <c r="H26" s="1">
        <f t="shared" si="1"/>
        <v>1836.0655737704919</v>
      </c>
      <c r="I26" s="3">
        <v>2580</v>
      </c>
      <c r="J26" s="37">
        <f t="shared" si="2"/>
        <v>4737049.180327869</v>
      </c>
      <c r="K26" s="29">
        <v>20000</v>
      </c>
      <c r="L26" s="64">
        <f t="shared" si="3"/>
        <v>7000000</v>
      </c>
      <c r="M26" s="29">
        <f t="shared" si="5"/>
        <v>2262950.819672131</v>
      </c>
    </row>
    <row r="27" spans="1:13" x14ac:dyDescent="0.2">
      <c r="A27" s="2" t="s">
        <v>372</v>
      </c>
      <c r="B27" s="1" t="s">
        <v>7</v>
      </c>
      <c r="C27" s="1" t="s">
        <v>406</v>
      </c>
      <c r="D27" s="1">
        <v>6.1</v>
      </c>
      <c r="E27" s="1">
        <v>300</v>
      </c>
      <c r="F27" s="1">
        <v>26</v>
      </c>
      <c r="G27" s="1">
        <f t="shared" si="4"/>
        <v>7800</v>
      </c>
      <c r="H27" s="1">
        <f t="shared" si="1"/>
        <v>1278.688524590164</v>
      </c>
      <c r="I27" s="3">
        <v>2580</v>
      </c>
      <c r="J27" s="37">
        <f t="shared" si="2"/>
        <v>3299016.3934426233</v>
      </c>
      <c r="K27" s="29">
        <v>18000</v>
      </c>
      <c r="L27" s="64">
        <f t="shared" si="3"/>
        <v>5400000</v>
      </c>
      <c r="M27" s="29">
        <f t="shared" si="5"/>
        <v>2100983.6065573767</v>
      </c>
    </row>
    <row r="28" spans="1:13" x14ac:dyDescent="0.2">
      <c r="A28" s="2" t="s">
        <v>373</v>
      </c>
      <c r="B28" s="1" t="s">
        <v>7</v>
      </c>
      <c r="C28" s="1" t="s">
        <v>407</v>
      </c>
      <c r="D28" s="1">
        <v>6.1</v>
      </c>
      <c r="E28" s="1">
        <v>300</v>
      </c>
      <c r="F28" s="1">
        <v>25.5</v>
      </c>
      <c r="G28" s="1">
        <f t="shared" si="4"/>
        <v>7650</v>
      </c>
      <c r="H28" s="1">
        <f t="shared" si="1"/>
        <v>1254.0983606557377</v>
      </c>
      <c r="I28" s="3">
        <v>2580</v>
      </c>
      <c r="J28" s="37">
        <f t="shared" si="2"/>
        <v>3235573.770491804</v>
      </c>
      <c r="K28" s="29">
        <v>18000</v>
      </c>
      <c r="L28" s="64">
        <f t="shared" si="3"/>
        <v>5400000</v>
      </c>
      <c r="M28" s="29">
        <f t="shared" si="5"/>
        <v>2164426.229508196</v>
      </c>
    </row>
    <row r="29" spans="1:13" x14ac:dyDescent="0.2">
      <c r="A29" s="2" t="s">
        <v>372</v>
      </c>
      <c r="B29" s="1" t="s">
        <v>7</v>
      </c>
      <c r="C29" s="1" t="s">
        <v>400</v>
      </c>
      <c r="D29" s="1">
        <v>6.1</v>
      </c>
      <c r="E29" s="1">
        <v>300</v>
      </c>
      <c r="F29" s="1">
        <v>24</v>
      </c>
      <c r="G29" s="1">
        <f t="shared" si="4"/>
        <v>7200</v>
      </c>
      <c r="H29" s="5">
        <f t="shared" si="1"/>
        <v>1180.327868852459</v>
      </c>
      <c r="I29" s="3">
        <v>2580</v>
      </c>
      <c r="J29" s="17">
        <f t="shared" si="2"/>
        <v>3045245.9016393446</v>
      </c>
      <c r="K29" s="29">
        <v>16000</v>
      </c>
      <c r="L29" s="17">
        <f t="shared" si="3"/>
        <v>4800000</v>
      </c>
      <c r="M29" s="17">
        <f t="shared" si="5"/>
        <v>1754754.0983606554</v>
      </c>
    </row>
    <row r="30" spans="1:13" x14ac:dyDescent="0.2">
      <c r="A30" s="2" t="s">
        <v>374</v>
      </c>
      <c r="B30" s="1" t="s">
        <v>7</v>
      </c>
      <c r="C30" s="1" t="s">
        <v>401</v>
      </c>
      <c r="D30" s="1">
        <v>6.1</v>
      </c>
      <c r="E30" s="1">
        <v>200</v>
      </c>
      <c r="F30" s="1">
        <v>26</v>
      </c>
      <c r="G30" s="1">
        <f t="shared" si="4"/>
        <v>5200</v>
      </c>
      <c r="H30" s="1">
        <f t="shared" si="1"/>
        <v>852.45901639344265</v>
      </c>
      <c r="I30" s="3">
        <v>2580</v>
      </c>
      <c r="J30" s="37">
        <f t="shared" si="2"/>
        <v>2199344.2622950822</v>
      </c>
      <c r="K30" s="29">
        <v>18000</v>
      </c>
      <c r="L30" s="17">
        <f t="shared" si="3"/>
        <v>3600000</v>
      </c>
      <c r="M30" s="17">
        <f t="shared" si="5"/>
        <v>1400655.7377049178</v>
      </c>
    </row>
    <row r="31" spans="1:13" x14ac:dyDescent="0.2">
      <c r="A31" s="2" t="s">
        <v>409</v>
      </c>
      <c r="B31" s="1" t="s">
        <v>23</v>
      </c>
      <c r="C31" s="1" t="s">
        <v>410</v>
      </c>
      <c r="D31" s="1">
        <v>6.1</v>
      </c>
      <c r="E31" s="1">
        <v>115</v>
      </c>
      <c r="F31" s="1">
        <v>21</v>
      </c>
      <c r="G31" s="1">
        <f t="shared" si="4"/>
        <v>2415</v>
      </c>
      <c r="H31" s="1">
        <f t="shared" si="1"/>
        <v>395.90163934426232</v>
      </c>
      <c r="I31" s="3">
        <v>2580</v>
      </c>
      <c r="J31" s="37">
        <f t="shared" si="2"/>
        <v>1021426.2295081968</v>
      </c>
      <c r="K31" s="29">
        <v>15000</v>
      </c>
      <c r="L31" s="17">
        <f t="shared" si="3"/>
        <v>1725000</v>
      </c>
      <c r="M31" s="17">
        <f t="shared" si="5"/>
        <v>703573.77049180318</v>
      </c>
    </row>
    <row r="32" spans="1:13" x14ac:dyDescent="0.2">
      <c r="A32" s="2" t="s">
        <v>375</v>
      </c>
      <c r="B32" s="1" t="s">
        <v>411</v>
      </c>
      <c r="C32" s="1" t="s">
        <v>412</v>
      </c>
      <c r="D32" s="1">
        <v>6.1</v>
      </c>
      <c r="E32" s="1">
        <v>30</v>
      </c>
      <c r="F32" s="1">
        <v>22</v>
      </c>
      <c r="G32" s="1">
        <f t="shared" si="4"/>
        <v>660</v>
      </c>
      <c r="H32" s="1">
        <f t="shared" si="1"/>
        <v>108.19672131147541</v>
      </c>
      <c r="I32" s="3">
        <v>2580</v>
      </c>
      <c r="J32" s="37">
        <f t="shared" si="2"/>
        <v>279147.54098360654</v>
      </c>
      <c r="K32" s="29">
        <v>15000</v>
      </c>
      <c r="L32" s="17">
        <f t="shared" si="3"/>
        <v>450000</v>
      </c>
      <c r="M32" s="17">
        <f t="shared" si="5"/>
        <v>170852.45901639346</v>
      </c>
    </row>
    <row r="33" spans="1:13" x14ac:dyDescent="0.2">
      <c r="A33" s="2" t="s">
        <v>375</v>
      </c>
      <c r="B33" s="1" t="s">
        <v>205</v>
      </c>
      <c r="C33" s="1"/>
      <c r="D33" s="1">
        <v>6.1</v>
      </c>
      <c r="E33" s="1">
        <v>300</v>
      </c>
      <c r="F33" s="1">
        <v>45</v>
      </c>
      <c r="G33" s="1">
        <f t="shared" si="4"/>
        <v>13500</v>
      </c>
      <c r="H33" s="1">
        <f t="shared" si="1"/>
        <v>2213.1147540983607</v>
      </c>
      <c r="I33" s="3">
        <v>2580</v>
      </c>
      <c r="J33" s="37">
        <f t="shared" si="2"/>
        <v>5709836.0655737706</v>
      </c>
      <c r="K33" s="29">
        <v>30000</v>
      </c>
      <c r="L33" s="17">
        <f t="shared" si="3"/>
        <v>9000000</v>
      </c>
      <c r="M33" s="17">
        <f t="shared" si="5"/>
        <v>3290163.9344262294</v>
      </c>
    </row>
    <row r="34" spans="1:13" x14ac:dyDescent="0.2">
      <c r="A34" s="2" t="s">
        <v>376</v>
      </c>
      <c r="B34" s="1" t="s">
        <v>21</v>
      </c>
      <c r="C34" s="1" t="s">
        <v>414</v>
      </c>
      <c r="D34" s="1">
        <v>6.1</v>
      </c>
      <c r="E34" s="1">
        <v>1464</v>
      </c>
      <c r="F34" s="1">
        <v>23</v>
      </c>
      <c r="G34" s="1">
        <f t="shared" si="4"/>
        <v>33672</v>
      </c>
      <c r="H34" s="1">
        <f t="shared" si="1"/>
        <v>5520</v>
      </c>
      <c r="I34" s="3">
        <v>2580</v>
      </c>
      <c r="J34" s="37">
        <f t="shared" si="2"/>
        <v>14241600</v>
      </c>
      <c r="K34" s="29">
        <v>16000</v>
      </c>
      <c r="L34" s="17">
        <f t="shared" si="3"/>
        <v>23424000</v>
      </c>
      <c r="M34" s="17">
        <f t="shared" si="5"/>
        <v>9182400</v>
      </c>
    </row>
    <row r="35" spans="1:13" x14ac:dyDescent="0.2">
      <c r="A35" s="2" t="s">
        <v>376</v>
      </c>
      <c r="B35" s="1" t="s">
        <v>21</v>
      </c>
      <c r="C35" s="1" t="s">
        <v>402</v>
      </c>
      <c r="D35" s="1">
        <v>6.1</v>
      </c>
      <c r="E35" s="1">
        <v>700</v>
      </c>
      <c r="F35" s="1">
        <v>24</v>
      </c>
      <c r="G35" s="1">
        <f t="shared" si="4"/>
        <v>16800</v>
      </c>
      <c r="H35" s="1">
        <f t="shared" si="1"/>
        <v>2754.0983606557379</v>
      </c>
      <c r="I35" s="3">
        <v>2580</v>
      </c>
      <c r="J35" s="37">
        <f t="shared" si="2"/>
        <v>7105573.770491804</v>
      </c>
      <c r="K35" s="29">
        <v>18000</v>
      </c>
      <c r="L35" s="17">
        <f t="shared" si="3"/>
        <v>12600000</v>
      </c>
      <c r="M35" s="17">
        <f t="shared" si="5"/>
        <v>5494426.229508196</v>
      </c>
    </row>
    <row r="36" spans="1:13" x14ac:dyDescent="0.2">
      <c r="A36" s="2" t="s">
        <v>377</v>
      </c>
      <c r="B36" s="1" t="s">
        <v>446</v>
      </c>
      <c r="C36" s="1" t="s">
        <v>447</v>
      </c>
      <c r="D36" s="1">
        <v>6.1</v>
      </c>
      <c r="E36" s="1">
        <v>1600</v>
      </c>
      <c r="F36" s="1">
        <v>24</v>
      </c>
      <c r="G36" s="1">
        <f t="shared" si="4"/>
        <v>38400</v>
      </c>
      <c r="H36" s="1">
        <f t="shared" si="1"/>
        <v>6295.0819672131147</v>
      </c>
      <c r="I36" s="3">
        <v>2580</v>
      </c>
      <c r="J36" s="37">
        <f t="shared" si="2"/>
        <v>16241311.475409837</v>
      </c>
      <c r="K36" s="29">
        <v>17000</v>
      </c>
      <c r="L36" s="17">
        <f t="shared" si="3"/>
        <v>27200000</v>
      </c>
      <c r="M36" s="17">
        <f t="shared" si="5"/>
        <v>10958688.524590163</v>
      </c>
    </row>
    <row r="37" spans="1:13" x14ac:dyDescent="0.2">
      <c r="A37" s="2" t="s">
        <v>377</v>
      </c>
      <c r="B37" s="1" t="s">
        <v>383</v>
      </c>
      <c r="C37" s="1" t="s">
        <v>404</v>
      </c>
      <c r="D37" s="1">
        <v>6.1</v>
      </c>
      <c r="E37" s="1">
        <v>53</v>
      </c>
      <c r="F37" s="1">
        <v>15</v>
      </c>
      <c r="G37" s="1">
        <f t="shared" si="4"/>
        <v>795</v>
      </c>
      <c r="H37" s="1">
        <f t="shared" si="1"/>
        <v>130.32786885245903</v>
      </c>
      <c r="I37" s="3">
        <v>2580</v>
      </c>
      <c r="J37" s="37">
        <f t="shared" si="2"/>
        <v>336245.90163934429</v>
      </c>
      <c r="K37" s="29">
        <v>13000</v>
      </c>
      <c r="L37" s="17">
        <f t="shared" si="3"/>
        <v>689000</v>
      </c>
      <c r="M37" s="17">
        <f t="shared" si="5"/>
        <v>352754.09836065571</v>
      </c>
    </row>
    <row r="38" spans="1:13" x14ac:dyDescent="0.2">
      <c r="A38" s="2" t="s">
        <v>377</v>
      </c>
      <c r="B38" s="1" t="s">
        <v>23</v>
      </c>
      <c r="C38" s="1" t="s">
        <v>403</v>
      </c>
      <c r="D38" s="1">
        <v>6.1</v>
      </c>
      <c r="E38" s="1">
        <v>49</v>
      </c>
      <c r="F38" s="1">
        <v>15</v>
      </c>
      <c r="G38" s="1">
        <f t="shared" si="4"/>
        <v>735</v>
      </c>
      <c r="H38" s="1">
        <f t="shared" si="1"/>
        <v>120.49180327868854</v>
      </c>
      <c r="I38" s="3">
        <v>2580</v>
      </c>
      <c r="J38" s="37">
        <f t="shared" si="2"/>
        <v>310868.85245901643</v>
      </c>
      <c r="K38" s="29">
        <v>15000</v>
      </c>
      <c r="L38" s="17">
        <f t="shared" si="3"/>
        <v>735000</v>
      </c>
      <c r="M38" s="17">
        <f t="shared" si="5"/>
        <v>424131.14754098357</v>
      </c>
    </row>
    <row r="39" spans="1:13" ht="18" x14ac:dyDescent="0.35">
      <c r="A39" s="1"/>
      <c r="B39" s="1"/>
      <c r="C39" s="1"/>
      <c r="D39" s="1"/>
      <c r="E39" s="83">
        <f>SUM(E3:E38)</f>
        <v>13619</v>
      </c>
      <c r="F39" s="39"/>
      <c r="G39" s="84">
        <f>SUM(G3:G38)</f>
        <v>319497</v>
      </c>
      <c r="H39" s="85">
        <f>SUM(H3:H38)</f>
        <v>52376.557377049168</v>
      </c>
      <c r="I39" s="39"/>
      <c r="J39" s="86">
        <f>SUM(J3:J38)</f>
        <v>135131518.03278691</v>
      </c>
      <c r="K39" s="39"/>
      <c r="L39" s="87">
        <f>SUM(L3:L38)</f>
        <v>226043000</v>
      </c>
      <c r="M39" s="88">
        <f>SUM(M3:M38)</f>
        <v>90911481.967213094</v>
      </c>
    </row>
    <row r="43" spans="1:13" x14ac:dyDescent="0.2">
      <c r="A43" t="s">
        <v>413</v>
      </c>
      <c r="H43" s="89">
        <v>40496.699999999997</v>
      </c>
      <c r="J43" s="90">
        <v>104481486</v>
      </c>
      <c r="L43" s="90">
        <v>175419000</v>
      </c>
      <c r="M43" s="90">
        <v>70937514</v>
      </c>
    </row>
    <row r="44" spans="1:13" x14ac:dyDescent="0.2">
      <c r="C44" t="s">
        <v>420</v>
      </c>
    </row>
    <row r="49" spans="10:13" x14ac:dyDescent="0.2">
      <c r="J49" t="s">
        <v>419</v>
      </c>
      <c r="K49" t="s">
        <v>415</v>
      </c>
      <c r="L49" t="s">
        <v>416</v>
      </c>
      <c r="M49" s="90">
        <v>456450</v>
      </c>
    </row>
    <row r="50" spans="10:13" x14ac:dyDescent="0.2">
      <c r="K50" t="s">
        <v>417</v>
      </c>
      <c r="L50" s="90">
        <v>384000</v>
      </c>
      <c r="M50">
        <v>384000</v>
      </c>
    </row>
    <row r="51" spans="10:13" x14ac:dyDescent="0.2">
      <c r="K51" t="s">
        <v>418</v>
      </c>
      <c r="L51" s="90">
        <v>1562000</v>
      </c>
      <c r="M51" s="90">
        <v>1562000</v>
      </c>
    </row>
    <row r="52" spans="10:13" x14ac:dyDescent="0.2">
      <c r="M52" s="91">
        <f>SUM(M49:M51)</f>
        <v>2402450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5"/>
  <sheetViews>
    <sheetView topLeftCell="A4" workbookViewId="0">
      <selection activeCell="N12" sqref="A1:N12"/>
    </sheetView>
  </sheetViews>
  <sheetFormatPr baseColWidth="10" defaultRowHeight="15" x14ac:dyDescent="0.2"/>
  <cols>
    <col min="9" max="9" width="11.83203125" customWidth="1"/>
    <col min="10" max="10" width="14.33203125" customWidth="1"/>
    <col min="12" max="12" width="12" customWidth="1"/>
  </cols>
  <sheetData>
    <row r="1" spans="1:13" ht="31" x14ac:dyDescent="0.35">
      <c r="A1" s="56" t="s">
        <v>405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2" t="s">
        <v>348</v>
      </c>
      <c r="B3" s="1" t="s">
        <v>7</v>
      </c>
      <c r="C3" s="1" t="s">
        <v>378</v>
      </c>
      <c r="D3" s="1">
        <v>6.1</v>
      </c>
      <c r="E3" s="1">
        <v>200</v>
      </c>
      <c r="F3" s="1">
        <v>30</v>
      </c>
      <c r="G3" s="44">
        <f t="shared" ref="G3" si="0">E3*F3</f>
        <v>6000</v>
      </c>
      <c r="H3" s="5">
        <f t="shared" ref="H3:H34" si="1">G3/D3</f>
        <v>983.60655737704928</v>
      </c>
      <c r="I3" s="3">
        <v>2580</v>
      </c>
      <c r="J3" s="3">
        <f t="shared" ref="J3:J34" si="2">F3/D3*I3*E3</f>
        <v>2537704.9180327873</v>
      </c>
      <c r="K3" s="3">
        <v>20000</v>
      </c>
      <c r="L3" s="44">
        <f t="shared" ref="L3:L34" si="3">K3*E3</f>
        <v>4000000</v>
      </c>
      <c r="M3" s="3">
        <f>L3-J3</f>
        <v>1462295.0819672127</v>
      </c>
    </row>
    <row r="4" spans="1:13" x14ac:dyDescent="0.2">
      <c r="A4" s="2" t="s">
        <v>349</v>
      </c>
      <c r="B4" s="1" t="s">
        <v>7</v>
      </c>
      <c r="C4" s="1" t="s">
        <v>379</v>
      </c>
      <c r="D4" s="1">
        <v>6.1</v>
      </c>
      <c r="E4" s="1">
        <v>200</v>
      </c>
      <c r="F4" s="1">
        <v>30</v>
      </c>
      <c r="G4" s="44">
        <f>E4*F4</f>
        <v>6000</v>
      </c>
      <c r="H4" s="5">
        <f>G4/D4</f>
        <v>983.60655737704928</v>
      </c>
      <c r="I4" s="3">
        <v>2580</v>
      </c>
      <c r="J4" s="3">
        <f t="shared" si="2"/>
        <v>2537704.9180327873</v>
      </c>
      <c r="K4" s="3">
        <v>20000</v>
      </c>
      <c r="L4" s="44">
        <f t="shared" si="3"/>
        <v>4000000</v>
      </c>
      <c r="M4" s="3">
        <f>L4-J4</f>
        <v>1462295.0819672127</v>
      </c>
    </row>
    <row r="5" spans="1:13" x14ac:dyDescent="0.2">
      <c r="A5" s="2" t="s">
        <v>350</v>
      </c>
      <c r="B5" s="1" t="s">
        <v>7</v>
      </c>
      <c r="C5" s="1" t="s">
        <v>380</v>
      </c>
      <c r="D5" s="1">
        <v>6.1</v>
      </c>
      <c r="E5" s="1">
        <v>100</v>
      </c>
      <c r="F5" s="1">
        <v>30</v>
      </c>
      <c r="G5" s="44">
        <f>E5*F5</f>
        <v>3000</v>
      </c>
      <c r="H5" s="5">
        <f>G5/D5</f>
        <v>491.80327868852464</v>
      </c>
      <c r="I5" s="3">
        <v>2580</v>
      </c>
      <c r="J5" s="3">
        <f t="shared" si="2"/>
        <v>1268852.4590163936</v>
      </c>
      <c r="K5" s="3">
        <v>20000</v>
      </c>
      <c r="L5" s="44">
        <f t="shared" si="3"/>
        <v>2000000</v>
      </c>
      <c r="M5" s="3">
        <f>L5-J5</f>
        <v>731147.54098360636</v>
      </c>
    </row>
    <row r="6" spans="1:13" x14ac:dyDescent="0.2">
      <c r="A6" s="2" t="s">
        <v>351</v>
      </c>
      <c r="B6" s="1" t="s">
        <v>7</v>
      </c>
      <c r="C6" s="1" t="s">
        <v>381</v>
      </c>
      <c r="D6" s="1">
        <v>6.1</v>
      </c>
      <c r="E6" s="1">
        <v>200</v>
      </c>
      <c r="F6" s="1">
        <v>26</v>
      </c>
      <c r="G6" s="1">
        <f>E6*F6</f>
        <v>5200</v>
      </c>
      <c r="H6" s="1">
        <f t="shared" si="1"/>
        <v>852.45901639344265</v>
      </c>
      <c r="I6" s="3">
        <v>2580</v>
      </c>
      <c r="J6" s="37">
        <f t="shared" si="2"/>
        <v>2199344.2622950822</v>
      </c>
      <c r="K6" s="3">
        <v>17000</v>
      </c>
      <c r="L6" s="44">
        <f t="shared" si="3"/>
        <v>3400000</v>
      </c>
      <c r="M6" s="3">
        <f>L6-J6</f>
        <v>1200655.7377049178</v>
      </c>
    </row>
    <row r="7" spans="1:13" x14ac:dyDescent="0.2">
      <c r="A7" s="2" t="s">
        <v>352</v>
      </c>
      <c r="B7" s="1" t="s">
        <v>7</v>
      </c>
      <c r="C7" s="1" t="s">
        <v>380</v>
      </c>
      <c r="D7" s="1">
        <v>6.1</v>
      </c>
      <c r="E7" s="1">
        <v>200</v>
      </c>
      <c r="F7" s="1">
        <v>26</v>
      </c>
      <c r="G7" s="1">
        <f t="shared" ref="G7:G34" si="4">E7*F7</f>
        <v>5200</v>
      </c>
      <c r="H7" s="1">
        <f t="shared" si="1"/>
        <v>852.45901639344265</v>
      </c>
      <c r="I7" s="3">
        <v>2580</v>
      </c>
      <c r="J7" s="37">
        <f t="shared" si="2"/>
        <v>2199344.2622950822</v>
      </c>
      <c r="K7" s="3">
        <v>17000</v>
      </c>
      <c r="L7" s="44">
        <f t="shared" si="3"/>
        <v>3400000</v>
      </c>
      <c r="M7" s="3">
        <f t="shared" ref="M7:M34" si="5">L7-J7</f>
        <v>1200655.7377049178</v>
      </c>
    </row>
    <row r="8" spans="1:13" x14ac:dyDescent="0.2">
      <c r="A8" s="2" t="s">
        <v>355</v>
      </c>
      <c r="B8" s="1" t="s">
        <v>7</v>
      </c>
      <c r="C8" s="1" t="s">
        <v>385</v>
      </c>
      <c r="D8" s="1">
        <v>6.1</v>
      </c>
      <c r="E8" s="1">
        <v>600</v>
      </c>
      <c r="F8" s="1">
        <v>22</v>
      </c>
      <c r="G8" s="1">
        <f>E8*F8</f>
        <v>13200</v>
      </c>
      <c r="H8" s="1">
        <f>G8/D8</f>
        <v>2163.9344262295085</v>
      </c>
      <c r="I8" s="3">
        <v>2580</v>
      </c>
      <c r="J8" s="37">
        <f>F8/D8*I8*E8</f>
        <v>5582950.819672131</v>
      </c>
      <c r="K8" s="29">
        <v>16000</v>
      </c>
      <c r="L8" s="64">
        <f>K8*E8</f>
        <v>9600000</v>
      </c>
      <c r="M8" s="29">
        <f>L8-J8</f>
        <v>4017049.180327869</v>
      </c>
    </row>
    <row r="9" spans="1:13" x14ac:dyDescent="0.2">
      <c r="A9" s="2" t="s">
        <v>353</v>
      </c>
      <c r="B9" s="1" t="s">
        <v>21</v>
      </c>
      <c r="C9" s="1" t="s">
        <v>382</v>
      </c>
      <c r="D9" s="1">
        <v>6.1</v>
      </c>
      <c r="E9" s="1">
        <v>200</v>
      </c>
      <c r="F9" s="1">
        <v>11</v>
      </c>
      <c r="G9" s="1">
        <f t="shared" si="4"/>
        <v>2200</v>
      </c>
      <c r="H9" s="1">
        <f t="shared" si="1"/>
        <v>360.65573770491807</v>
      </c>
      <c r="I9" s="3">
        <v>2580</v>
      </c>
      <c r="J9" s="37">
        <f t="shared" si="2"/>
        <v>930491.80327868857</v>
      </c>
      <c r="K9" s="29">
        <v>10000</v>
      </c>
      <c r="L9" s="64">
        <f t="shared" si="3"/>
        <v>2000000</v>
      </c>
      <c r="M9" s="29">
        <f t="shared" si="5"/>
        <v>1069508.1967213114</v>
      </c>
    </row>
    <row r="10" spans="1:13" x14ac:dyDescent="0.2">
      <c r="A10" s="2" t="s">
        <v>354</v>
      </c>
      <c r="B10" s="1" t="s">
        <v>383</v>
      </c>
      <c r="C10" s="1" t="s">
        <v>384</v>
      </c>
      <c r="D10" s="1">
        <v>6.1</v>
      </c>
      <c r="E10" s="1">
        <v>160</v>
      </c>
      <c r="F10" s="1">
        <v>18</v>
      </c>
      <c r="G10" s="1">
        <f t="shared" si="4"/>
        <v>2880</v>
      </c>
      <c r="H10" s="1">
        <f t="shared" si="1"/>
        <v>472.13114754098365</v>
      </c>
      <c r="I10" s="3">
        <v>2580</v>
      </c>
      <c r="J10" s="37">
        <f t="shared" si="2"/>
        <v>1218098.3606557378</v>
      </c>
      <c r="K10" s="29">
        <v>13000</v>
      </c>
      <c r="L10" s="64">
        <f t="shared" si="3"/>
        <v>2080000</v>
      </c>
      <c r="M10" s="29">
        <f t="shared" si="5"/>
        <v>861901.63934426219</v>
      </c>
    </row>
    <row r="11" spans="1:13" x14ac:dyDescent="0.2">
      <c r="A11" s="2" t="s">
        <v>356</v>
      </c>
      <c r="B11" s="1" t="s">
        <v>7</v>
      </c>
      <c r="C11" s="1" t="s">
        <v>386</v>
      </c>
      <c r="D11" s="1">
        <v>6.1</v>
      </c>
      <c r="E11" s="1">
        <v>300</v>
      </c>
      <c r="F11" s="1">
        <v>25.5</v>
      </c>
      <c r="G11" s="1">
        <f t="shared" si="4"/>
        <v>7650</v>
      </c>
      <c r="H11" s="1">
        <f t="shared" si="1"/>
        <v>1254.0983606557377</v>
      </c>
      <c r="I11" s="3">
        <v>2580</v>
      </c>
      <c r="J11" s="37">
        <f t="shared" si="2"/>
        <v>3235573.770491804</v>
      </c>
      <c r="K11" s="29">
        <v>18000</v>
      </c>
      <c r="L11" s="64">
        <f t="shared" si="3"/>
        <v>5400000</v>
      </c>
      <c r="M11" s="29">
        <f t="shared" si="5"/>
        <v>2164426.229508196</v>
      </c>
    </row>
    <row r="12" spans="1:13" x14ac:dyDescent="0.2">
      <c r="A12" s="2" t="s">
        <v>357</v>
      </c>
      <c r="B12" s="1" t="s">
        <v>383</v>
      </c>
      <c r="C12" s="1" t="s">
        <v>387</v>
      </c>
      <c r="D12" s="1">
        <v>6.1</v>
      </c>
      <c r="E12" s="1">
        <v>300</v>
      </c>
      <c r="F12" s="1">
        <v>21</v>
      </c>
      <c r="G12" s="1">
        <f t="shared" si="4"/>
        <v>6300</v>
      </c>
      <c r="H12" s="1">
        <f t="shared" si="1"/>
        <v>1032.7868852459017</v>
      </c>
      <c r="I12" s="3">
        <v>2580</v>
      </c>
      <c r="J12" s="37">
        <f t="shared" si="2"/>
        <v>2664590.1639344264</v>
      </c>
      <c r="K12" s="29">
        <v>15000</v>
      </c>
      <c r="L12" s="64">
        <f t="shared" si="3"/>
        <v>4500000</v>
      </c>
      <c r="M12" s="29">
        <f t="shared" si="5"/>
        <v>1835409.8360655736</v>
      </c>
    </row>
    <row r="13" spans="1:13" x14ac:dyDescent="0.2">
      <c r="A13" s="2" t="s">
        <v>358</v>
      </c>
      <c r="B13" s="1" t="s">
        <v>23</v>
      </c>
      <c r="C13" s="1" t="s">
        <v>253</v>
      </c>
      <c r="D13" s="1">
        <v>6.1</v>
      </c>
      <c r="E13" s="1">
        <v>200</v>
      </c>
      <c r="F13" s="1">
        <v>22</v>
      </c>
      <c r="G13" s="1">
        <f t="shared" si="4"/>
        <v>4400</v>
      </c>
      <c r="H13" s="1">
        <f t="shared" si="1"/>
        <v>721.31147540983613</v>
      </c>
      <c r="I13" s="3">
        <v>2580</v>
      </c>
      <c r="J13" s="37">
        <f t="shared" si="2"/>
        <v>1860983.6065573771</v>
      </c>
      <c r="K13" s="29">
        <v>15000</v>
      </c>
      <c r="L13" s="64">
        <f t="shared" si="3"/>
        <v>3000000</v>
      </c>
      <c r="M13" s="29">
        <f t="shared" si="5"/>
        <v>1139016.3934426229</v>
      </c>
    </row>
    <row r="14" spans="1:13" x14ac:dyDescent="0.2">
      <c r="A14" s="2" t="s">
        <v>359</v>
      </c>
      <c r="B14" s="1" t="s">
        <v>21</v>
      </c>
      <c r="C14" s="1" t="s">
        <v>388</v>
      </c>
      <c r="D14" s="1">
        <v>6.1</v>
      </c>
      <c r="E14" s="1">
        <v>300</v>
      </c>
      <c r="F14" s="1">
        <v>23</v>
      </c>
      <c r="G14" s="1">
        <f t="shared" si="4"/>
        <v>6900</v>
      </c>
      <c r="H14" s="1">
        <f t="shared" si="1"/>
        <v>1131.1475409836066</v>
      </c>
      <c r="I14" s="3">
        <v>2580</v>
      </c>
      <c r="J14" s="37">
        <f t="shared" si="2"/>
        <v>2918360.6557377051</v>
      </c>
      <c r="K14" s="29">
        <v>15000</v>
      </c>
      <c r="L14" s="64">
        <f t="shared" si="3"/>
        <v>4500000</v>
      </c>
      <c r="M14" s="29">
        <f t="shared" si="5"/>
        <v>1581639.3442622949</v>
      </c>
    </row>
    <row r="15" spans="1:13" x14ac:dyDescent="0.2">
      <c r="A15" s="2" t="s">
        <v>360</v>
      </c>
      <c r="B15" s="1" t="s">
        <v>23</v>
      </c>
      <c r="C15" s="1" t="s">
        <v>389</v>
      </c>
      <c r="D15" s="1">
        <v>6.1</v>
      </c>
      <c r="E15" s="1">
        <v>368</v>
      </c>
      <c r="F15" s="1">
        <v>10</v>
      </c>
      <c r="G15" s="1">
        <f t="shared" si="4"/>
        <v>3680</v>
      </c>
      <c r="H15" s="1">
        <f t="shared" si="1"/>
        <v>603.27868852459017</v>
      </c>
      <c r="I15" s="3">
        <v>2580</v>
      </c>
      <c r="J15" s="37">
        <f t="shared" si="2"/>
        <v>1556459.0163934426</v>
      </c>
      <c r="K15" s="29">
        <v>10000</v>
      </c>
      <c r="L15" s="64">
        <f t="shared" si="3"/>
        <v>3680000</v>
      </c>
      <c r="M15" s="29">
        <f t="shared" si="5"/>
        <v>2123540.9836065574</v>
      </c>
    </row>
    <row r="16" spans="1:13" x14ac:dyDescent="0.2">
      <c r="A16" s="2" t="s">
        <v>362</v>
      </c>
      <c r="B16" s="1" t="s">
        <v>391</v>
      </c>
      <c r="C16" s="1" t="s">
        <v>392</v>
      </c>
      <c r="D16" s="1">
        <v>6.1</v>
      </c>
      <c r="E16" s="1">
        <v>600</v>
      </c>
      <c r="F16" s="1">
        <v>18</v>
      </c>
      <c r="G16" s="1">
        <f t="shared" si="4"/>
        <v>10800</v>
      </c>
      <c r="H16" s="1">
        <f t="shared" si="1"/>
        <v>1770.4918032786886</v>
      </c>
      <c r="I16" s="3">
        <v>2580</v>
      </c>
      <c r="J16" s="37">
        <f t="shared" si="2"/>
        <v>4567868.8524590163</v>
      </c>
      <c r="K16" s="29">
        <v>15000</v>
      </c>
      <c r="L16" s="64">
        <f t="shared" si="3"/>
        <v>9000000</v>
      </c>
      <c r="M16" s="29">
        <f t="shared" si="5"/>
        <v>4432131.1475409837</v>
      </c>
    </row>
    <row r="17" spans="1:13" x14ac:dyDescent="0.2">
      <c r="A17" s="2" t="s">
        <v>363</v>
      </c>
      <c r="B17" s="1" t="s">
        <v>7</v>
      </c>
      <c r="C17" s="1" t="s">
        <v>393</v>
      </c>
      <c r="D17" s="1">
        <v>6.1</v>
      </c>
      <c r="E17" s="1">
        <v>300</v>
      </c>
      <c r="F17" s="1">
        <v>23</v>
      </c>
      <c r="G17" s="1">
        <f t="shared" si="4"/>
        <v>6900</v>
      </c>
      <c r="H17" s="1">
        <f t="shared" si="1"/>
        <v>1131.1475409836066</v>
      </c>
      <c r="I17" s="3">
        <v>2580</v>
      </c>
      <c r="J17" s="37">
        <f t="shared" si="2"/>
        <v>2918360.6557377051</v>
      </c>
      <c r="K17" s="29">
        <v>16000</v>
      </c>
      <c r="L17" s="64">
        <f t="shared" si="3"/>
        <v>4800000</v>
      </c>
      <c r="M17" s="29">
        <f t="shared" si="5"/>
        <v>1881639.3442622949</v>
      </c>
    </row>
    <row r="18" spans="1:13" x14ac:dyDescent="0.2">
      <c r="A18" s="2" t="s">
        <v>364</v>
      </c>
      <c r="B18" s="1" t="s">
        <v>7</v>
      </c>
      <c r="C18" s="1" t="s">
        <v>394</v>
      </c>
      <c r="D18" s="1">
        <v>6.1</v>
      </c>
      <c r="E18" s="1">
        <v>350</v>
      </c>
      <c r="F18" s="1">
        <v>24</v>
      </c>
      <c r="G18" s="1">
        <f t="shared" si="4"/>
        <v>8400</v>
      </c>
      <c r="H18" s="1">
        <f t="shared" si="1"/>
        <v>1377.049180327869</v>
      </c>
      <c r="I18" s="3">
        <v>2580</v>
      </c>
      <c r="J18" s="37">
        <f t="shared" si="2"/>
        <v>3552786.885245902</v>
      </c>
      <c r="K18" s="29">
        <v>18000</v>
      </c>
      <c r="L18" s="64">
        <f t="shared" si="3"/>
        <v>6300000</v>
      </c>
      <c r="M18" s="29">
        <f t="shared" si="5"/>
        <v>2747213.114754098</v>
      </c>
    </row>
    <row r="19" spans="1:13" x14ac:dyDescent="0.2">
      <c r="A19" s="2" t="s">
        <v>365</v>
      </c>
      <c r="B19" s="1" t="s">
        <v>80</v>
      </c>
      <c r="C19" s="1" t="s">
        <v>398</v>
      </c>
      <c r="D19" s="1">
        <v>6.1</v>
      </c>
      <c r="E19" s="1">
        <v>1100</v>
      </c>
      <c r="F19" s="1">
        <v>20</v>
      </c>
      <c r="G19" s="1">
        <f t="shared" si="4"/>
        <v>22000</v>
      </c>
      <c r="H19" s="1">
        <f t="shared" si="1"/>
        <v>3606.5573770491806</v>
      </c>
      <c r="I19" s="3">
        <v>2580</v>
      </c>
      <c r="J19" s="37">
        <f t="shared" si="2"/>
        <v>9304918.0327868853</v>
      </c>
      <c r="K19" s="29">
        <v>15000</v>
      </c>
      <c r="L19" s="64">
        <f t="shared" si="3"/>
        <v>16500000</v>
      </c>
      <c r="M19" s="29">
        <f t="shared" si="5"/>
        <v>7195081.9672131147</v>
      </c>
    </row>
    <row r="20" spans="1:13" x14ac:dyDescent="0.2">
      <c r="A20" s="2" t="s">
        <v>366</v>
      </c>
      <c r="B20" s="1" t="s">
        <v>399</v>
      </c>
      <c r="C20" s="1" t="s">
        <v>253</v>
      </c>
      <c r="D20" s="1">
        <v>6.1</v>
      </c>
      <c r="E20" s="1">
        <v>800</v>
      </c>
      <c r="F20" s="1">
        <v>16.8</v>
      </c>
      <c r="G20" s="1">
        <f t="shared" si="4"/>
        <v>13440</v>
      </c>
      <c r="H20" s="1">
        <f t="shared" si="1"/>
        <v>2203.2786885245905</v>
      </c>
      <c r="I20" s="3">
        <v>2580</v>
      </c>
      <c r="J20" s="37">
        <f t="shared" si="2"/>
        <v>5684459.0163934436</v>
      </c>
      <c r="K20" s="29">
        <v>13000</v>
      </c>
      <c r="L20" s="64">
        <f t="shared" si="3"/>
        <v>10400000</v>
      </c>
      <c r="M20" s="29">
        <f t="shared" si="5"/>
        <v>4715540.9836065564</v>
      </c>
    </row>
    <row r="21" spans="1:13" x14ac:dyDescent="0.2">
      <c r="A21" s="2" t="s">
        <v>367</v>
      </c>
      <c r="B21" s="1" t="s">
        <v>68</v>
      </c>
      <c r="C21" s="1" t="s">
        <v>395</v>
      </c>
      <c r="D21" s="1">
        <v>6.1</v>
      </c>
      <c r="E21" s="1">
        <v>300</v>
      </c>
      <c r="F21" s="1">
        <v>24</v>
      </c>
      <c r="G21" s="1">
        <f t="shared" si="4"/>
        <v>7200</v>
      </c>
      <c r="H21" s="1">
        <f t="shared" si="1"/>
        <v>1180.327868852459</v>
      </c>
      <c r="I21" s="3">
        <v>2580</v>
      </c>
      <c r="J21" s="37">
        <f t="shared" si="2"/>
        <v>3045245.9016393446</v>
      </c>
      <c r="K21" s="29">
        <v>15000</v>
      </c>
      <c r="L21" s="64">
        <f t="shared" si="3"/>
        <v>4500000</v>
      </c>
      <c r="M21" s="29">
        <f t="shared" si="5"/>
        <v>1454754.0983606554</v>
      </c>
    </row>
    <row r="22" spans="1:13" x14ac:dyDescent="0.2">
      <c r="A22" s="2" t="s">
        <v>368</v>
      </c>
      <c r="B22" s="1" t="s">
        <v>19</v>
      </c>
      <c r="C22" s="1" t="s">
        <v>253</v>
      </c>
      <c r="D22" s="1">
        <v>6.1</v>
      </c>
      <c r="E22" s="1">
        <v>160</v>
      </c>
      <c r="F22" s="1">
        <v>30</v>
      </c>
      <c r="G22" s="1">
        <f t="shared" si="4"/>
        <v>4800</v>
      </c>
      <c r="H22" s="1">
        <f t="shared" si="1"/>
        <v>786.88524590163934</v>
      </c>
      <c r="I22" s="3">
        <v>2580</v>
      </c>
      <c r="J22" s="37">
        <f t="shared" si="2"/>
        <v>2030163.9344262297</v>
      </c>
      <c r="K22" s="29">
        <v>18000</v>
      </c>
      <c r="L22" s="64">
        <f t="shared" si="3"/>
        <v>2880000</v>
      </c>
      <c r="M22" s="29">
        <f t="shared" si="5"/>
        <v>849836.06557377032</v>
      </c>
    </row>
    <row r="23" spans="1:13" x14ac:dyDescent="0.2">
      <c r="A23" s="2" t="s">
        <v>369</v>
      </c>
      <c r="B23" s="1" t="s">
        <v>253</v>
      </c>
      <c r="C23" s="1" t="s">
        <v>253</v>
      </c>
      <c r="D23" s="1">
        <v>6.1</v>
      </c>
      <c r="E23" s="1">
        <v>160</v>
      </c>
      <c r="F23" s="1">
        <v>30</v>
      </c>
      <c r="G23" s="1">
        <f t="shared" si="4"/>
        <v>4800</v>
      </c>
      <c r="H23" s="1">
        <f t="shared" si="1"/>
        <v>786.88524590163934</v>
      </c>
      <c r="I23" s="3">
        <v>2580</v>
      </c>
      <c r="J23" s="37">
        <f t="shared" si="2"/>
        <v>2030163.9344262297</v>
      </c>
      <c r="K23" s="29">
        <v>18000</v>
      </c>
      <c r="L23" s="64">
        <f t="shared" si="3"/>
        <v>2880000</v>
      </c>
      <c r="M23" s="29">
        <f t="shared" si="5"/>
        <v>849836.06557377032</v>
      </c>
    </row>
    <row r="24" spans="1:13" x14ac:dyDescent="0.2">
      <c r="A24" s="2" t="s">
        <v>370</v>
      </c>
      <c r="B24" s="1" t="s">
        <v>253</v>
      </c>
      <c r="C24" s="1" t="s">
        <v>396</v>
      </c>
      <c r="D24" s="1">
        <v>6.1</v>
      </c>
      <c r="E24" s="1">
        <v>160</v>
      </c>
      <c r="F24" s="1">
        <v>32</v>
      </c>
      <c r="G24" s="1">
        <f t="shared" si="4"/>
        <v>5120</v>
      </c>
      <c r="H24" s="1">
        <f t="shared" si="1"/>
        <v>839.34426229508199</v>
      </c>
      <c r="I24" s="3">
        <v>2580</v>
      </c>
      <c r="J24" s="37">
        <f t="shared" si="2"/>
        <v>2165508.1967213117</v>
      </c>
      <c r="K24" s="29">
        <v>20000</v>
      </c>
      <c r="L24" s="64">
        <f t="shared" si="3"/>
        <v>3200000</v>
      </c>
      <c r="M24" s="29">
        <f t="shared" si="5"/>
        <v>1034491.8032786883</v>
      </c>
    </row>
    <row r="25" spans="1:13" x14ac:dyDescent="0.2">
      <c r="A25" s="2" t="s">
        <v>371</v>
      </c>
      <c r="B25" s="1" t="s">
        <v>253</v>
      </c>
      <c r="C25" s="1" t="s">
        <v>397</v>
      </c>
      <c r="D25" s="1">
        <v>6.1</v>
      </c>
      <c r="E25" s="1">
        <v>350</v>
      </c>
      <c r="F25" s="1">
        <v>32</v>
      </c>
      <c r="G25" s="1">
        <f t="shared" si="4"/>
        <v>11200</v>
      </c>
      <c r="H25" s="1">
        <f t="shared" si="1"/>
        <v>1836.0655737704919</v>
      </c>
      <c r="I25" s="3">
        <v>2580</v>
      </c>
      <c r="J25" s="37">
        <f t="shared" si="2"/>
        <v>4737049.180327869</v>
      </c>
      <c r="K25" s="29">
        <v>20000</v>
      </c>
      <c r="L25" s="64">
        <f t="shared" si="3"/>
        <v>7000000</v>
      </c>
      <c r="M25" s="29">
        <f t="shared" si="5"/>
        <v>2262950.819672131</v>
      </c>
    </row>
    <row r="26" spans="1:13" x14ac:dyDescent="0.2">
      <c r="A26" s="2" t="s">
        <v>372</v>
      </c>
      <c r="B26" s="1" t="s">
        <v>7</v>
      </c>
      <c r="C26" s="1" t="s">
        <v>400</v>
      </c>
      <c r="D26" s="1">
        <v>6.1</v>
      </c>
      <c r="E26" s="1">
        <v>300</v>
      </c>
      <c r="F26" s="1">
        <v>24</v>
      </c>
      <c r="G26" s="1">
        <f t="shared" si="4"/>
        <v>7200</v>
      </c>
      <c r="H26" s="5">
        <f t="shared" si="1"/>
        <v>1180.327868852459</v>
      </c>
      <c r="I26" s="3">
        <v>2580</v>
      </c>
      <c r="J26" s="17">
        <f t="shared" si="2"/>
        <v>3045245.9016393446</v>
      </c>
      <c r="K26" s="29">
        <v>16000</v>
      </c>
      <c r="L26" s="17">
        <f t="shared" si="3"/>
        <v>4800000</v>
      </c>
      <c r="M26" s="17">
        <f t="shared" si="5"/>
        <v>1754754.0983606554</v>
      </c>
    </row>
    <row r="27" spans="1:13" x14ac:dyDescent="0.2">
      <c r="A27" s="2" t="s">
        <v>374</v>
      </c>
      <c r="B27" s="1" t="s">
        <v>7</v>
      </c>
      <c r="C27" s="1" t="s">
        <v>401</v>
      </c>
      <c r="D27" s="1">
        <v>6.1</v>
      </c>
      <c r="E27" s="1">
        <v>200</v>
      </c>
      <c r="F27" s="1">
        <v>26</v>
      </c>
      <c r="G27" s="1">
        <f t="shared" si="4"/>
        <v>5200</v>
      </c>
      <c r="H27" s="1">
        <f t="shared" si="1"/>
        <v>852.45901639344265</v>
      </c>
      <c r="I27" s="3">
        <v>2580</v>
      </c>
      <c r="J27" s="37">
        <f t="shared" si="2"/>
        <v>2199344.2622950822</v>
      </c>
      <c r="K27" s="29">
        <v>18000</v>
      </c>
      <c r="L27" s="17">
        <f t="shared" si="3"/>
        <v>3600000</v>
      </c>
      <c r="M27" s="17">
        <f t="shared" si="5"/>
        <v>1400655.7377049178</v>
      </c>
    </row>
    <row r="28" spans="1:13" x14ac:dyDescent="0.2">
      <c r="A28" s="2" t="s">
        <v>409</v>
      </c>
      <c r="B28" s="1" t="s">
        <v>23</v>
      </c>
      <c r="C28" s="1" t="s">
        <v>410</v>
      </c>
      <c r="D28" s="1">
        <v>6.1</v>
      </c>
      <c r="E28" s="1">
        <v>115</v>
      </c>
      <c r="F28" s="1">
        <v>21</v>
      </c>
      <c r="G28" s="1">
        <f t="shared" si="4"/>
        <v>2415</v>
      </c>
      <c r="H28" s="1">
        <f t="shared" si="1"/>
        <v>395.90163934426232</v>
      </c>
      <c r="I28" s="3">
        <v>2580</v>
      </c>
      <c r="J28" s="37">
        <f t="shared" si="2"/>
        <v>1021426.2295081968</v>
      </c>
      <c r="K28" s="29">
        <v>15000</v>
      </c>
      <c r="L28" s="17">
        <f t="shared" si="3"/>
        <v>1725000</v>
      </c>
      <c r="M28" s="17">
        <f t="shared" si="5"/>
        <v>703573.77049180318</v>
      </c>
    </row>
    <row r="29" spans="1:13" x14ac:dyDescent="0.2">
      <c r="A29" s="2" t="s">
        <v>375</v>
      </c>
      <c r="B29" s="1" t="s">
        <v>411</v>
      </c>
      <c r="C29" s="1" t="s">
        <v>412</v>
      </c>
      <c r="D29" s="1">
        <v>6.1</v>
      </c>
      <c r="E29" s="1">
        <v>30</v>
      </c>
      <c r="F29" s="1">
        <v>22</v>
      </c>
      <c r="G29" s="1">
        <f t="shared" si="4"/>
        <v>660</v>
      </c>
      <c r="H29" s="1">
        <f t="shared" si="1"/>
        <v>108.19672131147541</v>
      </c>
      <c r="I29" s="3">
        <v>2580</v>
      </c>
      <c r="J29" s="37">
        <f t="shared" si="2"/>
        <v>279147.54098360654</v>
      </c>
      <c r="K29" s="29">
        <v>15000</v>
      </c>
      <c r="L29" s="17">
        <f t="shared" si="3"/>
        <v>450000</v>
      </c>
      <c r="M29" s="17">
        <f t="shared" si="5"/>
        <v>170852.45901639346</v>
      </c>
    </row>
    <row r="30" spans="1:13" x14ac:dyDescent="0.2">
      <c r="A30" s="2" t="s">
        <v>375</v>
      </c>
      <c r="B30" s="1" t="s">
        <v>205</v>
      </c>
      <c r="C30" s="1"/>
      <c r="D30" s="1">
        <v>6.1</v>
      </c>
      <c r="E30" s="1">
        <v>300</v>
      </c>
      <c r="F30" s="1">
        <v>45</v>
      </c>
      <c r="G30" s="1">
        <f t="shared" si="4"/>
        <v>13500</v>
      </c>
      <c r="H30" s="1">
        <f t="shared" si="1"/>
        <v>2213.1147540983607</v>
      </c>
      <c r="I30" s="3">
        <v>2580</v>
      </c>
      <c r="J30" s="37">
        <f t="shared" si="2"/>
        <v>5709836.0655737706</v>
      </c>
      <c r="K30" s="29">
        <v>30000</v>
      </c>
      <c r="L30" s="17">
        <f t="shared" si="3"/>
        <v>9000000</v>
      </c>
      <c r="M30" s="17">
        <f t="shared" si="5"/>
        <v>3290163.9344262294</v>
      </c>
    </row>
    <row r="31" spans="1:13" x14ac:dyDescent="0.2">
      <c r="A31" s="2" t="s">
        <v>376</v>
      </c>
      <c r="B31" s="1" t="s">
        <v>21</v>
      </c>
      <c r="C31" s="1" t="s">
        <v>414</v>
      </c>
      <c r="D31" s="1">
        <v>6.1</v>
      </c>
      <c r="E31" s="1">
        <v>1464</v>
      </c>
      <c r="F31" s="1">
        <v>23</v>
      </c>
      <c r="G31" s="1">
        <f t="shared" si="4"/>
        <v>33672</v>
      </c>
      <c r="H31" s="1">
        <f t="shared" si="1"/>
        <v>5520</v>
      </c>
      <c r="I31" s="3">
        <v>2580</v>
      </c>
      <c r="J31" s="37">
        <f t="shared" si="2"/>
        <v>14241600</v>
      </c>
      <c r="K31" s="29">
        <v>16000</v>
      </c>
      <c r="L31" s="17">
        <f t="shared" si="3"/>
        <v>23424000</v>
      </c>
      <c r="M31" s="17">
        <f t="shared" si="5"/>
        <v>9182400</v>
      </c>
    </row>
    <row r="32" spans="1:13" x14ac:dyDescent="0.2">
      <c r="A32" s="2" t="s">
        <v>376</v>
      </c>
      <c r="B32" s="1" t="s">
        <v>21</v>
      </c>
      <c r="C32" s="1" t="s">
        <v>402</v>
      </c>
      <c r="D32" s="1">
        <v>6.1</v>
      </c>
      <c r="E32" s="1">
        <v>700</v>
      </c>
      <c r="F32" s="1">
        <v>24</v>
      </c>
      <c r="G32" s="1">
        <f t="shared" si="4"/>
        <v>16800</v>
      </c>
      <c r="H32" s="1">
        <f t="shared" si="1"/>
        <v>2754.0983606557379</v>
      </c>
      <c r="I32" s="3">
        <v>2580</v>
      </c>
      <c r="J32" s="37">
        <f t="shared" si="2"/>
        <v>7105573.770491804</v>
      </c>
      <c r="K32" s="29">
        <v>18000</v>
      </c>
      <c r="L32" s="17">
        <f t="shared" si="3"/>
        <v>12600000</v>
      </c>
      <c r="M32" s="17">
        <f t="shared" si="5"/>
        <v>5494426.229508196</v>
      </c>
    </row>
    <row r="33" spans="1:13" x14ac:dyDescent="0.2">
      <c r="A33" s="2" t="s">
        <v>377</v>
      </c>
      <c r="B33" s="1" t="s">
        <v>383</v>
      </c>
      <c r="C33" s="1" t="s">
        <v>404</v>
      </c>
      <c r="D33" s="1">
        <v>6.1</v>
      </c>
      <c r="E33" s="1">
        <v>53</v>
      </c>
      <c r="F33" s="1">
        <v>15</v>
      </c>
      <c r="G33" s="1">
        <f t="shared" si="4"/>
        <v>795</v>
      </c>
      <c r="H33" s="1">
        <f t="shared" si="1"/>
        <v>130.32786885245903</v>
      </c>
      <c r="I33" s="3">
        <v>2580</v>
      </c>
      <c r="J33" s="37">
        <f t="shared" si="2"/>
        <v>336245.90163934429</v>
      </c>
      <c r="K33" s="29">
        <v>13000</v>
      </c>
      <c r="L33" s="17">
        <f t="shared" si="3"/>
        <v>689000</v>
      </c>
      <c r="M33" s="17">
        <f t="shared" si="5"/>
        <v>352754.09836065571</v>
      </c>
    </row>
    <row r="34" spans="1:13" x14ac:dyDescent="0.2">
      <c r="A34" s="2" t="s">
        <v>377</v>
      </c>
      <c r="B34" s="1" t="s">
        <v>23</v>
      </c>
      <c r="C34" s="1" t="s">
        <v>403</v>
      </c>
      <c r="D34" s="1">
        <v>6.1</v>
      </c>
      <c r="E34" s="1">
        <v>49</v>
      </c>
      <c r="F34" s="1">
        <v>15</v>
      </c>
      <c r="G34" s="1">
        <f t="shared" si="4"/>
        <v>735</v>
      </c>
      <c r="H34" s="1">
        <f t="shared" si="1"/>
        <v>120.49180327868854</v>
      </c>
      <c r="I34" s="3">
        <v>2580</v>
      </c>
      <c r="J34" s="37">
        <f t="shared" si="2"/>
        <v>310868.85245901643</v>
      </c>
      <c r="K34" s="29">
        <v>15000</v>
      </c>
      <c r="L34" s="17">
        <f t="shared" si="3"/>
        <v>735000</v>
      </c>
      <c r="M34" s="17">
        <f t="shared" si="5"/>
        <v>424131.14754098357</v>
      </c>
    </row>
    <row r="35" spans="1:13" ht="18" x14ac:dyDescent="0.35">
      <c r="A35" s="1"/>
      <c r="B35" s="1"/>
      <c r="C35" s="1"/>
      <c r="D35" s="1"/>
      <c r="E35" s="83">
        <f>SUM(E3:E34)</f>
        <v>10819</v>
      </c>
      <c r="F35" s="39"/>
      <c r="G35" s="84">
        <f>SUM(G3:G34)</f>
        <v>248247</v>
      </c>
      <c r="H35" s="85">
        <f>SUM(H3:H34)</f>
        <v>40696.229508196724</v>
      </c>
      <c r="I35" s="39"/>
      <c r="J35" s="86">
        <f>SUM(J3:J34)</f>
        <v>104996272.13114753</v>
      </c>
      <c r="K35" s="39"/>
      <c r="L35" s="87">
        <f>SUM(L3:L34)</f>
        <v>176043000</v>
      </c>
      <c r="M35" s="88">
        <f>SUM(M3:M34)</f>
        <v>71046727.868852437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42"/>
  <sheetViews>
    <sheetView topLeftCell="A2" workbookViewId="0">
      <selection activeCell="J2" sqref="J2"/>
    </sheetView>
  </sheetViews>
  <sheetFormatPr baseColWidth="10" defaultRowHeight="15" x14ac:dyDescent="0.2"/>
  <cols>
    <col min="3" max="3" width="12.1640625" customWidth="1"/>
    <col min="10" max="10" width="13" customWidth="1"/>
    <col min="11" max="11" width="13.5" customWidth="1"/>
    <col min="12" max="12" width="12.33203125" customWidth="1"/>
  </cols>
  <sheetData>
    <row r="1" spans="1:13" ht="31" x14ac:dyDescent="0.35">
      <c r="A1" s="56" t="s">
        <v>505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2" t="s">
        <v>423</v>
      </c>
      <c r="B3" s="1" t="s">
        <v>7</v>
      </c>
      <c r="C3" s="1" t="s">
        <v>448</v>
      </c>
      <c r="D3" s="1">
        <v>6.09</v>
      </c>
      <c r="E3" s="1">
        <v>200</v>
      </c>
      <c r="F3" s="1">
        <v>25</v>
      </c>
      <c r="G3" s="44">
        <f t="shared" ref="G3" si="0">E3*F3</f>
        <v>5000</v>
      </c>
      <c r="H3" s="5">
        <f t="shared" ref="H3:H26" si="1">G3/D3</f>
        <v>821.01806239737277</v>
      </c>
      <c r="I3" s="3">
        <v>2550</v>
      </c>
      <c r="J3" s="3">
        <f t="shared" ref="J3:J26" si="2">F3/D3*I3*E3</f>
        <v>2093596.0591133004</v>
      </c>
      <c r="K3" s="3">
        <v>16000</v>
      </c>
      <c r="L3" s="44">
        <f t="shared" ref="L3:L26" si="3">K3*E3</f>
        <v>3200000</v>
      </c>
      <c r="M3" s="3">
        <f>L3-J3</f>
        <v>1106403.9408866996</v>
      </c>
    </row>
    <row r="4" spans="1:13" x14ac:dyDescent="0.2">
      <c r="A4" s="2" t="s">
        <v>424</v>
      </c>
      <c r="B4" s="1" t="s">
        <v>7</v>
      </c>
      <c r="C4" s="1" t="s">
        <v>449</v>
      </c>
      <c r="D4" s="1">
        <v>6.09</v>
      </c>
      <c r="E4" s="1">
        <v>200</v>
      </c>
      <c r="F4" s="1">
        <v>25</v>
      </c>
      <c r="G4" s="44">
        <f>E4*F4</f>
        <v>5000</v>
      </c>
      <c r="H4" s="5">
        <f>G4/D4</f>
        <v>821.01806239737277</v>
      </c>
      <c r="I4" s="3">
        <v>2550</v>
      </c>
      <c r="J4" s="3">
        <f t="shared" si="2"/>
        <v>2093596.0591133004</v>
      </c>
      <c r="K4" s="3">
        <v>16000</v>
      </c>
      <c r="L4" s="44">
        <f t="shared" si="3"/>
        <v>3200000</v>
      </c>
      <c r="M4" s="3">
        <f>L4-J4</f>
        <v>1106403.9408866996</v>
      </c>
    </row>
    <row r="5" spans="1:13" x14ac:dyDescent="0.2">
      <c r="A5" s="2" t="s">
        <v>425</v>
      </c>
      <c r="B5" s="1" t="s">
        <v>7</v>
      </c>
      <c r="C5" s="1" t="s">
        <v>450</v>
      </c>
      <c r="D5" s="1">
        <v>6.09</v>
      </c>
      <c r="E5" s="1">
        <v>150</v>
      </c>
      <c r="F5" s="1">
        <v>24</v>
      </c>
      <c r="G5" s="44">
        <f>E5*F5</f>
        <v>3600</v>
      </c>
      <c r="H5" s="5">
        <f>G5/D5</f>
        <v>591.13300492610836</v>
      </c>
      <c r="I5" s="3">
        <v>2550</v>
      </c>
      <c r="J5" s="3">
        <f t="shared" si="2"/>
        <v>1507389.1625615763</v>
      </c>
      <c r="K5" s="3">
        <v>16000</v>
      </c>
      <c r="L5" s="44">
        <f t="shared" si="3"/>
        <v>2400000</v>
      </c>
      <c r="M5" s="3">
        <f>L5-J5</f>
        <v>892610.83743842365</v>
      </c>
    </row>
    <row r="6" spans="1:13" x14ac:dyDescent="0.2">
      <c r="A6" s="2" t="s">
        <v>426</v>
      </c>
      <c r="B6" s="1" t="s">
        <v>7</v>
      </c>
      <c r="C6" s="1" t="s">
        <v>381</v>
      </c>
      <c r="D6" s="1">
        <v>6.09</v>
      </c>
      <c r="E6" s="1">
        <v>150</v>
      </c>
      <c r="F6" s="1">
        <v>24</v>
      </c>
      <c r="G6" s="1">
        <f>E6*F6</f>
        <v>3600</v>
      </c>
      <c r="H6" s="1">
        <f t="shared" si="1"/>
        <v>591.13300492610836</v>
      </c>
      <c r="I6" s="3">
        <v>2550</v>
      </c>
      <c r="J6" s="37">
        <f t="shared" si="2"/>
        <v>1507389.1625615763</v>
      </c>
      <c r="K6" s="3">
        <v>16000</v>
      </c>
      <c r="L6" s="44">
        <f t="shared" si="3"/>
        <v>2400000</v>
      </c>
      <c r="M6" s="3">
        <f>L6-J6</f>
        <v>892610.83743842365</v>
      </c>
    </row>
    <row r="7" spans="1:13" x14ac:dyDescent="0.2">
      <c r="A7" s="2" t="s">
        <v>427</v>
      </c>
      <c r="B7" s="1" t="s">
        <v>7</v>
      </c>
      <c r="C7" s="1" t="s">
        <v>380</v>
      </c>
      <c r="D7" s="1">
        <v>6.09</v>
      </c>
      <c r="E7" s="1">
        <v>150</v>
      </c>
      <c r="F7" s="1">
        <v>24</v>
      </c>
      <c r="G7" s="1">
        <f t="shared" ref="G7:G26" si="4">E7*F7</f>
        <v>3600</v>
      </c>
      <c r="H7" s="1">
        <f t="shared" si="1"/>
        <v>591.13300492610836</v>
      </c>
      <c r="I7" s="3">
        <v>2550</v>
      </c>
      <c r="J7" s="37">
        <f t="shared" si="2"/>
        <v>1507389.1625615763</v>
      </c>
      <c r="K7" s="3">
        <v>16000</v>
      </c>
      <c r="L7" s="44">
        <f t="shared" si="3"/>
        <v>2400000</v>
      </c>
      <c r="M7" s="3">
        <f t="shared" ref="M7:M26" si="5">L7-J7</f>
        <v>892610.83743842365</v>
      </c>
    </row>
    <row r="8" spans="1:13" x14ac:dyDescent="0.2">
      <c r="A8" s="2" t="s">
        <v>428</v>
      </c>
      <c r="B8" s="1" t="s">
        <v>7</v>
      </c>
      <c r="C8" s="1" t="s">
        <v>451</v>
      </c>
      <c r="D8" s="1">
        <v>6.09</v>
      </c>
      <c r="E8" s="1">
        <v>240</v>
      </c>
      <c r="F8" s="1">
        <v>23</v>
      </c>
      <c r="G8" s="1">
        <f>E8*F8</f>
        <v>5520</v>
      </c>
      <c r="H8" s="1">
        <f>G8/D8</f>
        <v>906.4039408866995</v>
      </c>
      <c r="I8" s="3">
        <v>2550</v>
      </c>
      <c r="J8" s="37">
        <f>F8/D8*I8*E8</f>
        <v>2311330.0492610838</v>
      </c>
      <c r="K8" s="29">
        <v>16000</v>
      </c>
      <c r="L8" s="64">
        <f>K8*E8</f>
        <v>3840000</v>
      </c>
      <c r="M8" s="29">
        <f>L8-J8</f>
        <v>1528669.9507389162</v>
      </c>
    </row>
    <row r="9" spans="1:13" x14ac:dyDescent="0.2">
      <c r="A9" s="2" t="s">
        <v>429</v>
      </c>
      <c r="B9" s="1" t="s">
        <v>7</v>
      </c>
      <c r="C9" s="1" t="s">
        <v>452</v>
      </c>
      <c r="D9" s="1">
        <v>6.09</v>
      </c>
      <c r="E9" s="1">
        <v>200</v>
      </c>
      <c r="F9" s="1">
        <v>21</v>
      </c>
      <c r="G9" s="1">
        <f t="shared" si="4"/>
        <v>4200</v>
      </c>
      <c r="H9" s="1">
        <f t="shared" si="1"/>
        <v>689.65517241379314</v>
      </c>
      <c r="I9" s="3">
        <v>2550</v>
      </c>
      <c r="J9" s="37">
        <f t="shared" si="2"/>
        <v>1758620.6896551724</v>
      </c>
      <c r="K9" s="29">
        <v>16000</v>
      </c>
      <c r="L9" s="64">
        <f t="shared" si="3"/>
        <v>3200000</v>
      </c>
      <c r="M9" s="29">
        <f t="shared" si="5"/>
        <v>1441379.3103448276</v>
      </c>
    </row>
    <row r="10" spans="1:13" x14ac:dyDescent="0.2">
      <c r="A10" s="2" t="s">
        <v>430</v>
      </c>
      <c r="B10" s="1" t="s">
        <v>7</v>
      </c>
      <c r="C10" s="1" t="s">
        <v>453</v>
      </c>
      <c r="D10" s="1">
        <v>6.09</v>
      </c>
      <c r="E10" s="1">
        <v>1870</v>
      </c>
      <c r="F10" s="1">
        <v>25</v>
      </c>
      <c r="G10" s="1">
        <f t="shared" si="4"/>
        <v>46750</v>
      </c>
      <c r="H10" s="1">
        <f t="shared" si="1"/>
        <v>7676.5188834154351</v>
      </c>
      <c r="I10" s="3">
        <v>2550</v>
      </c>
      <c r="J10" s="37">
        <f t="shared" si="2"/>
        <v>19575123.152709357</v>
      </c>
      <c r="K10" s="29">
        <v>17000</v>
      </c>
      <c r="L10" s="64">
        <f t="shared" si="3"/>
        <v>31790000</v>
      </c>
      <c r="M10" s="29">
        <f t="shared" si="5"/>
        <v>12214876.847290643</v>
      </c>
    </row>
    <row r="11" spans="1:13" x14ac:dyDescent="0.2">
      <c r="A11" s="2" t="s">
        <v>431</v>
      </c>
      <c r="B11" s="1" t="s">
        <v>7</v>
      </c>
      <c r="C11" s="1" t="s">
        <v>454</v>
      </c>
      <c r="D11" s="1">
        <v>6.09</v>
      </c>
      <c r="E11" s="1">
        <v>592</v>
      </c>
      <c r="F11" s="1">
        <v>22</v>
      </c>
      <c r="G11" s="1">
        <f t="shared" si="4"/>
        <v>13024</v>
      </c>
      <c r="H11" s="1">
        <f t="shared" si="1"/>
        <v>2138.5878489326765</v>
      </c>
      <c r="I11" s="3">
        <v>2550</v>
      </c>
      <c r="J11" s="37">
        <f t="shared" si="2"/>
        <v>5453399.0147783253</v>
      </c>
      <c r="K11" s="29">
        <v>20000</v>
      </c>
      <c r="L11" s="64">
        <f t="shared" si="3"/>
        <v>11840000</v>
      </c>
      <c r="M11" s="29">
        <f t="shared" si="5"/>
        <v>6386600.9852216747</v>
      </c>
    </row>
    <row r="12" spans="1:13" x14ac:dyDescent="0.2">
      <c r="A12" s="2" t="s">
        <v>432</v>
      </c>
      <c r="B12" s="1" t="s">
        <v>207</v>
      </c>
      <c r="C12" s="1" t="s">
        <v>455</v>
      </c>
      <c r="D12" s="1">
        <v>6.09</v>
      </c>
      <c r="E12" s="1">
        <v>320</v>
      </c>
      <c r="F12" s="1">
        <v>22</v>
      </c>
      <c r="G12" s="1">
        <f t="shared" si="4"/>
        <v>7040</v>
      </c>
      <c r="H12" s="1">
        <f t="shared" si="1"/>
        <v>1155.9934318555008</v>
      </c>
      <c r="I12" s="3">
        <v>2550</v>
      </c>
      <c r="J12" s="37">
        <f t="shared" si="2"/>
        <v>2947783.251231527</v>
      </c>
      <c r="K12" s="29">
        <v>15000</v>
      </c>
      <c r="L12" s="64">
        <f t="shared" si="3"/>
        <v>4800000</v>
      </c>
      <c r="M12" s="29">
        <f t="shared" si="5"/>
        <v>1852216.748768473</v>
      </c>
    </row>
    <row r="13" spans="1:13" x14ac:dyDescent="0.2">
      <c r="A13" s="2" t="s">
        <v>433</v>
      </c>
      <c r="B13" s="1" t="s">
        <v>23</v>
      </c>
      <c r="C13" s="1" t="s">
        <v>456</v>
      </c>
      <c r="D13" s="1">
        <v>6.09</v>
      </c>
      <c r="E13" s="1">
        <v>190</v>
      </c>
      <c r="F13" s="1">
        <v>17</v>
      </c>
      <c r="G13" s="1">
        <f t="shared" si="4"/>
        <v>3230</v>
      </c>
      <c r="H13" s="1">
        <f t="shared" si="1"/>
        <v>530.37766830870282</v>
      </c>
      <c r="I13" s="3">
        <v>2550</v>
      </c>
      <c r="J13" s="37">
        <f t="shared" si="2"/>
        <v>1352463.0541871921</v>
      </c>
      <c r="K13" s="29">
        <v>13000</v>
      </c>
      <c r="L13" s="64">
        <f t="shared" si="3"/>
        <v>2470000</v>
      </c>
      <c r="M13" s="29">
        <f t="shared" si="5"/>
        <v>1117536.9458128079</v>
      </c>
    </row>
    <row r="14" spans="1:13" x14ac:dyDescent="0.2">
      <c r="A14" s="2" t="s">
        <v>434</v>
      </c>
      <c r="B14" s="1" t="s">
        <v>23</v>
      </c>
      <c r="C14" s="1" t="s">
        <v>457</v>
      </c>
      <c r="D14" s="1">
        <v>6.09</v>
      </c>
      <c r="E14" s="1">
        <v>150</v>
      </c>
      <c r="F14" s="1">
        <v>17</v>
      </c>
      <c r="G14" s="1">
        <f t="shared" si="4"/>
        <v>2550</v>
      </c>
      <c r="H14" s="1">
        <f t="shared" si="1"/>
        <v>418.7192118226601</v>
      </c>
      <c r="I14" s="3">
        <v>2550</v>
      </c>
      <c r="J14" s="37">
        <f t="shared" si="2"/>
        <v>1067733.9901477832</v>
      </c>
      <c r="K14" s="29">
        <v>13000</v>
      </c>
      <c r="L14" s="64">
        <f t="shared" si="3"/>
        <v>1950000</v>
      </c>
      <c r="M14" s="29">
        <f t="shared" si="5"/>
        <v>882266.00985221681</v>
      </c>
    </row>
    <row r="15" spans="1:13" x14ac:dyDescent="0.2">
      <c r="A15" s="2" t="s">
        <v>435</v>
      </c>
      <c r="B15" s="1" t="s">
        <v>7</v>
      </c>
      <c r="C15" s="1" t="s">
        <v>458</v>
      </c>
      <c r="D15" s="1">
        <v>6.09</v>
      </c>
      <c r="E15" s="1">
        <v>200</v>
      </c>
      <c r="F15" s="1">
        <v>22</v>
      </c>
      <c r="G15" s="1">
        <f t="shared" si="4"/>
        <v>4400</v>
      </c>
      <c r="H15" s="1">
        <f t="shared" si="1"/>
        <v>722.49589490968799</v>
      </c>
      <c r="I15" s="3">
        <v>2550</v>
      </c>
      <c r="J15" s="37">
        <f t="shared" si="2"/>
        <v>1842364.5320197043</v>
      </c>
      <c r="K15" s="29">
        <v>18000</v>
      </c>
      <c r="L15" s="64">
        <f t="shared" si="3"/>
        <v>3600000</v>
      </c>
      <c r="M15" s="29">
        <f t="shared" si="5"/>
        <v>1757635.4679802957</v>
      </c>
    </row>
    <row r="16" spans="1:13" x14ac:dyDescent="0.2">
      <c r="A16" s="2" t="s">
        <v>436</v>
      </c>
      <c r="B16" s="1" t="s">
        <v>7</v>
      </c>
      <c r="C16" s="1" t="s">
        <v>403</v>
      </c>
      <c r="D16" s="1">
        <v>6.09</v>
      </c>
      <c r="E16" s="1">
        <v>150</v>
      </c>
      <c r="F16" s="1">
        <v>22</v>
      </c>
      <c r="G16" s="1">
        <f t="shared" si="4"/>
        <v>3300</v>
      </c>
      <c r="H16" s="1">
        <f t="shared" si="1"/>
        <v>541.87192118226608</v>
      </c>
      <c r="I16" s="3">
        <v>2550</v>
      </c>
      <c r="J16" s="37">
        <f t="shared" si="2"/>
        <v>1381773.3990147782</v>
      </c>
      <c r="K16" s="29">
        <v>17000</v>
      </c>
      <c r="L16" s="64">
        <f t="shared" si="3"/>
        <v>2550000</v>
      </c>
      <c r="M16" s="29">
        <f t="shared" si="5"/>
        <v>1168226.6009852218</v>
      </c>
    </row>
    <row r="17" spans="1:13" x14ac:dyDescent="0.2">
      <c r="A17" s="2" t="s">
        <v>437</v>
      </c>
      <c r="B17" s="1" t="s">
        <v>7</v>
      </c>
      <c r="C17" s="1" t="s">
        <v>403</v>
      </c>
      <c r="D17" s="1">
        <v>6.09</v>
      </c>
      <c r="E17" s="1">
        <v>200</v>
      </c>
      <c r="F17" s="1">
        <v>22</v>
      </c>
      <c r="G17" s="1">
        <f t="shared" si="4"/>
        <v>4400</v>
      </c>
      <c r="H17" s="1">
        <f t="shared" si="1"/>
        <v>722.49589490968799</v>
      </c>
      <c r="I17" s="3">
        <v>2550</v>
      </c>
      <c r="J17" s="37">
        <f t="shared" si="2"/>
        <v>1842364.5320197043</v>
      </c>
      <c r="K17" s="29">
        <v>17000</v>
      </c>
      <c r="L17" s="64">
        <f t="shared" si="3"/>
        <v>3400000</v>
      </c>
      <c r="M17" s="29">
        <f t="shared" si="5"/>
        <v>1557635.4679802957</v>
      </c>
    </row>
    <row r="18" spans="1:13" x14ac:dyDescent="0.2">
      <c r="A18" s="2" t="s">
        <v>438</v>
      </c>
      <c r="B18" s="1" t="s">
        <v>459</v>
      </c>
      <c r="C18" s="1" t="s">
        <v>460</v>
      </c>
      <c r="D18" s="1">
        <v>6.09</v>
      </c>
      <c r="E18" s="1">
        <v>150</v>
      </c>
      <c r="F18" s="1">
        <v>25</v>
      </c>
      <c r="G18" s="1">
        <f t="shared" si="4"/>
        <v>3750</v>
      </c>
      <c r="H18" s="1">
        <f t="shared" si="1"/>
        <v>615.76354679802955</v>
      </c>
      <c r="I18" s="3">
        <v>2550</v>
      </c>
      <c r="J18" s="37">
        <f t="shared" si="2"/>
        <v>1570197.0443349753</v>
      </c>
      <c r="K18" s="29">
        <v>15000</v>
      </c>
      <c r="L18" s="64">
        <f t="shared" si="3"/>
        <v>2250000</v>
      </c>
      <c r="M18" s="29">
        <f t="shared" si="5"/>
        <v>679802.9556650247</v>
      </c>
    </row>
    <row r="19" spans="1:13" x14ac:dyDescent="0.2">
      <c r="A19" s="2" t="s">
        <v>439</v>
      </c>
      <c r="B19" s="1" t="s">
        <v>459</v>
      </c>
      <c r="C19" s="1" t="s">
        <v>461</v>
      </c>
      <c r="D19" s="1">
        <v>6.09</v>
      </c>
      <c r="E19" s="1">
        <v>150</v>
      </c>
      <c r="F19" s="1">
        <v>24</v>
      </c>
      <c r="G19" s="1">
        <f t="shared" si="4"/>
        <v>3600</v>
      </c>
      <c r="H19" s="1">
        <f t="shared" si="1"/>
        <v>591.13300492610836</v>
      </c>
      <c r="I19" s="3">
        <v>2550</v>
      </c>
      <c r="J19" s="37">
        <f t="shared" si="2"/>
        <v>1507389.1625615763</v>
      </c>
      <c r="K19" s="29">
        <v>15000</v>
      </c>
      <c r="L19" s="64">
        <f t="shared" si="3"/>
        <v>2250000</v>
      </c>
      <c r="M19" s="29">
        <f t="shared" si="5"/>
        <v>742610.83743842365</v>
      </c>
    </row>
    <row r="20" spans="1:13" x14ac:dyDescent="0.2">
      <c r="A20" s="2" t="s">
        <v>440</v>
      </c>
      <c r="B20" s="1" t="s">
        <v>459</v>
      </c>
      <c r="C20" s="1" t="s">
        <v>462</v>
      </c>
      <c r="D20" s="1">
        <v>6.09</v>
      </c>
      <c r="E20" s="1">
        <v>150</v>
      </c>
      <c r="F20" s="1">
        <v>24.5</v>
      </c>
      <c r="G20" s="1">
        <f t="shared" si="4"/>
        <v>3675</v>
      </c>
      <c r="H20" s="1">
        <f t="shared" si="1"/>
        <v>603.44827586206895</v>
      </c>
      <c r="I20" s="3">
        <v>2550</v>
      </c>
      <c r="J20" s="37">
        <f t="shared" si="2"/>
        <v>1538793.1034482757</v>
      </c>
      <c r="K20" s="29">
        <v>15000</v>
      </c>
      <c r="L20" s="64">
        <f t="shared" si="3"/>
        <v>2250000</v>
      </c>
      <c r="M20" s="29">
        <f t="shared" si="5"/>
        <v>711206.89655172429</v>
      </c>
    </row>
    <row r="21" spans="1:13" x14ac:dyDescent="0.2">
      <c r="A21" s="2" t="s">
        <v>441</v>
      </c>
      <c r="B21" s="1" t="s">
        <v>459</v>
      </c>
      <c r="C21" s="1" t="s">
        <v>463</v>
      </c>
      <c r="D21" s="1">
        <v>6.09</v>
      </c>
      <c r="E21" s="1">
        <v>150</v>
      </c>
      <c r="F21" s="1">
        <v>24</v>
      </c>
      <c r="G21" s="1">
        <f t="shared" si="4"/>
        <v>3600</v>
      </c>
      <c r="H21" s="1">
        <f t="shared" si="1"/>
        <v>591.13300492610836</v>
      </c>
      <c r="I21" s="3">
        <v>2550</v>
      </c>
      <c r="J21" s="37">
        <f t="shared" si="2"/>
        <v>1507389.1625615763</v>
      </c>
      <c r="K21" s="29">
        <v>15000</v>
      </c>
      <c r="L21" s="64">
        <f t="shared" si="3"/>
        <v>2250000</v>
      </c>
      <c r="M21" s="29">
        <f t="shared" si="5"/>
        <v>742610.83743842365</v>
      </c>
    </row>
    <row r="22" spans="1:13" x14ac:dyDescent="0.2">
      <c r="A22" s="2" t="s">
        <v>442</v>
      </c>
      <c r="B22" s="1" t="s">
        <v>485</v>
      </c>
      <c r="C22" s="1" t="s">
        <v>486</v>
      </c>
      <c r="D22" s="1">
        <v>6.09</v>
      </c>
      <c r="E22" s="1">
        <v>150</v>
      </c>
      <c r="F22" s="1">
        <v>20</v>
      </c>
      <c r="G22" s="1">
        <f t="shared" si="4"/>
        <v>3000</v>
      </c>
      <c r="H22" s="1">
        <f t="shared" si="1"/>
        <v>492.61083743842363</v>
      </c>
      <c r="I22" s="3">
        <v>2550</v>
      </c>
      <c r="J22" s="37">
        <f t="shared" si="2"/>
        <v>1256157.6354679801</v>
      </c>
      <c r="K22" s="29">
        <v>15000</v>
      </c>
      <c r="L22" s="64">
        <f t="shared" si="3"/>
        <v>2250000</v>
      </c>
      <c r="M22" s="29">
        <f t="shared" si="5"/>
        <v>993842.36453201994</v>
      </c>
    </row>
    <row r="23" spans="1:13" x14ac:dyDescent="0.2">
      <c r="A23" s="2" t="s">
        <v>442</v>
      </c>
      <c r="B23" s="1" t="s">
        <v>459</v>
      </c>
      <c r="C23" s="1" t="s">
        <v>464</v>
      </c>
      <c r="D23" s="1">
        <v>6.09</v>
      </c>
      <c r="E23" s="1">
        <v>150</v>
      </c>
      <c r="F23" s="1">
        <v>23</v>
      </c>
      <c r="G23" s="1">
        <f t="shared" si="4"/>
        <v>3450</v>
      </c>
      <c r="H23" s="1">
        <f t="shared" si="1"/>
        <v>566.50246305418716</v>
      </c>
      <c r="I23" s="3">
        <v>2550</v>
      </c>
      <c r="J23" s="37">
        <f t="shared" si="2"/>
        <v>1444581.2807881774</v>
      </c>
      <c r="K23" s="29">
        <v>15000</v>
      </c>
      <c r="L23" s="64">
        <f t="shared" si="3"/>
        <v>2250000</v>
      </c>
      <c r="M23" s="29">
        <f t="shared" si="5"/>
        <v>805418.71921182261</v>
      </c>
    </row>
    <row r="24" spans="1:13" x14ac:dyDescent="0.2">
      <c r="A24" s="2" t="s">
        <v>443</v>
      </c>
      <c r="B24" s="1" t="s">
        <v>459</v>
      </c>
      <c r="C24" s="1" t="s">
        <v>465</v>
      </c>
      <c r="D24" s="1">
        <v>6.09</v>
      </c>
      <c r="E24" s="1">
        <v>150</v>
      </c>
      <c r="F24" s="1">
        <v>25</v>
      </c>
      <c r="G24" s="1">
        <f t="shared" si="4"/>
        <v>3750</v>
      </c>
      <c r="H24" s="1">
        <f t="shared" si="1"/>
        <v>615.76354679802955</v>
      </c>
      <c r="I24" s="3">
        <v>2550</v>
      </c>
      <c r="J24" s="37">
        <f t="shared" si="2"/>
        <v>1570197.0443349753</v>
      </c>
      <c r="K24" s="29">
        <v>15000</v>
      </c>
      <c r="L24" s="64">
        <f t="shared" si="3"/>
        <v>2250000</v>
      </c>
      <c r="M24" s="29">
        <f t="shared" si="5"/>
        <v>679802.9556650247</v>
      </c>
    </row>
    <row r="25" spans="1:13" x14ac:dyDescent="0.2">
      <c r="A25" s="2" t="s">
        <v>444</v>
      </c>
      <c r="B25" s="1" t="s">
        <v>15</v>
      </c>
      <c r="C25" s="1" t="s">
        <v>466</v>
      </c>
      <c r="D25" s="1">
        <v>6.09</v>
      </c>
      <c r="E25" s="1">
        <v>150</v>
      </c>
      <c r="F25" s="1">
        <v>25</v>
      </c>
      <c r="G25" s="1">
        <f t="shared" si="4"/>
        <v>3750</v>
      </c>
      <c r="H25" s="1">
        <f t="shared" si="1"/>
        <v>615.76354679802955</v>
      </c>
      <c r="I25" s="3">
        <v>2550</v>
      </c>
      <c r="J25" s="37">
        <f t="shared" si="2"/>
        <v>1570197.0443349753</v>
      </c>
      <c r="K25" s="29">
        <v>16000</v>
      </c>
      <c r="L25" s="64">
        <f t="shared" si="3"/>
        <v>2400000</v>
      </c>
      <c r="M25" s="29">
        <f t="shared" si="5"/>
        <v>829802.9556650247</v>
      </c>
    </row>
    <row r="26" spans="1:13" x14ac:dyDescent="0.2">
      <c r="A26" s="2" t="s">
        <v>445</v>
      </c>
      <c r="B26" s="1" t="s">
        <v>23</v>
      </c>
      <c r="C26" s="1" t="s">
        <v>467</v>
      </c>
      <c r="D26" s="1">
        <v>6.09</v>
      </c>
      <c r="E26" s="1">
        <v>500</v>
      </c>
      <c r="F26" s="1">
        <v>21</v>
      </c>
      <c r="G26" s="1">
        <f t="shared" si="4"/>
        <v>10500</v>
      </c>
      <c r="H26" s="1">
        <f t="shared" si="1"/>
        <v>1724.1379310344828</v>
      </c>
      <c r="I26" s="3">
        <v>2550</v>
      </c>
      <c r="J26" s="37">
        <f t="shared" si="2"/>
        <v>4396551.7241379311</v>
      </c>
      <c r="K26" s="29">
        <v>15000</v>
      </c>
      <c r="L26" s="64">
        <f t="shared" si="3"/>
        <v>7500000</v>
      </c>
      <c r="M26" s="17">
        <f t="shared" si="5"/>
        <v>3103448.2758620689</v>
      </c>
    </row>
    <row r="27" spans="1:13" x14ac:dyDescent="0.2">
      <c r="A27" s="1"/>
      <c r="B27" s="1"/>
      <c r="C27" s="1"/>
      <c r="D27" s="1"/>
      <c r="E27" s="92">
        <f>SUM(E3:E26)</f>
        <v>6662</v>
      </c>
      <c r="F27" s="1"/>
      <c r="G27" s="84">
        <f>SUM(G3:G26)</f>
        <v>154289</v>
      </c>
      <c r="H27" s="93">
        <f>SUM(H3:H26)</f>
        <v>25334.811165845644</v>
      </c>
      <c r="I27" s="1"/>
      <c r="J27" s="94">
        <f>SUM(J3:J26)</f>
        <v>64603768.472906403</v>
      </c>
      <c r="K27" s="1"/>
      <c r="L27" s="87">
        <f>SUM(L3:L26)</f>
        <v>108690000</v>
      </c>
      <c r="M27" s="20">
        <f>SUM(M3:M26)</f>
        <v>44086231.527093597</v>
      </c>
    </row>
    <row r="33" spans="10:12" x14ac:dyDescent="0.2">
      <c r="J33" s="3" t="s">
        <v>25</v>
      </c>
      <c r="K33" s="15">
        <v>64603768</v>
      </c>
      <c r="L33" s="15"/>
    </row>
    <row r="34" spans="10:12" x14ac:dyDescent="0.2">
      <c r="J34" s="3" t="s">
        <v>27</v>
      </c>
      <c r="K34" s="9">
        <v>2552000</v>
      </c>
      <c r="L34" s="9"/>
    </row>
    <row r="35" spans="10:12" x14ac:dyDescent="0.2">
      <c r="J35" s="3" t="s">
        <v>26</v>
      </c>
      <c r="K35" s="3">
        <v>3333000</v>
      </c>
      <c r="L35" s="3"/>
    </row>
    <row r="36" spans="10:12" x14ac:dyDescent="0.2">
      <c r="J36" s="3" t="s">
        <v>33</v>
      </c>
      <c r="K36" s="3">
        <v>2000000</v>
      </c>
      <c r="L36" s="3"/>
    </row>
    <row r="37" spans="10:12" x14ac:dyDescent="0.2">
      <c r="J37" s="3" t="s">
        <v>31</v>
      </c>
      <c r="K37" s="3">
        <v>6000000</v>
      </c>
      <c r="L37" s="3"/>
    </row>
    <row r="38" spans="10:12" x14ac:dyDescent="0.2">
      <c r="J38" s="3" t="s">
        <v>36</v>
      </c>
      <c r="K38" s="3">
        <v>4000000</v>
      </c>
      <c r="L38" s="3"/>
    </row>
    <row r="39" spans="10:12" x14ac:dyDescent="0.2">
      <c r="J39" s="3" t="s">
        <v>29</v>
      </c>
      <c r="K39" s="23">
        <v>5290000</v>
      </c>
      <c r="L39" s="23" t="s">
        <v>245</v>
      </c>
    </row>
    <row r="40" spans="10:12" x14ac:dyDescent="0.2">
      <c r="J40" s="3" t="s">
        <v>34</v>
      </c>
      <c r="K40" s="26">
        <f>SUM(K33:K39)</f>
        <v>87778768</v>
      </c>
      <c r="L40" s="26"/>
    </row>
    <row r="41" spans="10:12" x14ac:dyDescent="0.2">
      <c r="J41" s="3" t="s">
        <v>6</v>
      </c>
      <c r="K41" s="55">
        <v>108690000</v>
      </c>
      <c r="L41" s="55"/>
    </row>
    <row r="42" spans="10:12" ht="18" x14ac:dyDescent="0.35">
      <c r="J42" s="3" t="s">
        <v>35</v>
      </c>
      <c r="K42" s="21">
        <f>K41-K40</f>
        <v>20911232</v>
      </c>
      <c r="L42" s="21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1"/>
  <sheetViews>
    <sheetView workbookViewId="0">
      <selection activeCell="K19" sqref="K19"/>
    </sheetView>
  </sheetViews>
  <sheetFormatPr baseColWidth="10" defaultRowHeight="15" x14ac:dyDescent="0.2"/>
  <cols>
    <col min="3" max="3" width="12.5" customWidth="1"/>
    <col min="10" max="10" width="13.5" customWidth="1"/>
    <col min="12" max="12" width="11.6640625" customWidth="1"/>
  </cols>
  <sheetData>
    <row r="1" spans="1:13" ht="31" x14ac:dyDescent="0.35">
      <c r="A1" s="56" t="s">
        <v>506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2" t="s">
        <v>423</v>
      </c>
      <c r="B3" s="1" t="s">
        <v>468</v>
      </c>
      <c r="C3" s="1" t="s">
        <v>447</v>
      </c>
      <c r="D3" s="1">
        <v>6.08</v>
      </c>
      <c r="E3" s="1">
        <v>1800</v>
      </c>
      <c r="F3" s="1">
        <v>24</v>
      </c>
      <c r="G3" s="44">
        <f t="shared" ref="G3" si="0">E3*F3</f>
        <v>43200</v>
      </c>
      <c r="H3" s="5">
        <f t="shared" ref="H3:H20" si="1">G3/D3</f>
        <v>7105.2631578947367</v>
      </c>
      <c r="I3" s="3">
        <v>2530</v>
      </c>
      <c r="J3" s="3">
        <f t="shared" ref="J3:J20" si="2">F3/D3*I3*E3</f>
        <v>17976315.789473686</v>
      </c>
      <c r="K3" s="3">
        <v>16000</v>
      </c>
      <c r="L3" s="44">
        <f t="shared" ref="L3:L20" si="3">K3*E3</f>
        <v>28800000</v>
      </c>
      <c r="M3" s="3">
        <f>L3-J3</f>
        <v>10823684.210526314</v>
      </c>
    </row>
    <row r="4" spans="1:13" x14ac:dyDescent="0.2">
      <c r="A4" s="2" t="s">
        <v>424</v>
      </c>
      <c r="B4" s="1" t="s">
        <v>7</v>
      </c>
      <c r="C4" s="1" t="s">
        <v>469</v>
      </c>
      <c r="D4" s="1">
        <v>6.08</v>
      </c>
      <c r="E4" s="1">
        <v>740</v>
      </c>
      <c r="F4" s="1">
        <v>33</v>
      </c>
      <c r="G4" s="44">
        <f>E4*F4</f>
        <v>24420</v>
      </c>
      <c r="H4" s="5">
        <f>G4/D4</f>
        <v>4016.4473684210525</v>
      </c>
      <c r="I4" s="3">
        <v>2530</v>
      </c>
      <c r="J4" s="3">
        <f t="shared" si="2"/>
        <v>10161611.842105262</v>
      </c>
      <c r="K4" s="3">
        <v>20000</v>
      </c>
      <c r="L4" s="44">
        <f t="shared" si="3"/>
        <v>14800000</v>
      </c>
      <c r="M4" s="3">
        <f>L4-J4</f>
        <v>4638388.157894738</v>
      </c>
    </row>
    <row r="5" spans="1:13" x14ac:dyDescent="0.2">
      <c r="A5" s="2" t="s">
        <v>425</v>
      </c>
      <c r="B5" s="1" t="s">
        <v>7</v>
      </c>
      <c r="C5" s="1" t="s">
        <v>470</v>
      </c>
      <c r="D5" s="1">
        <v>6.08</v>
      </c>
      <c r="E5" s="1">
        <v>200</v>
      </c>
      <c r="F5" s="1">
        <v>26</v>
      </c>
      <c r="G5" s="44">
        <f>E5*F5</f>
        <v>5200</v>
      </c>
      <c r="H5" s="5">
        <f>G5/D5</f>
        <v>855.26315789473688</v>
      </c>
      <c r="I5" s="3">
        <v>2530</v>
      </c>
      <c r="J5" s="3">
        <f t="shared" si="2"/>
        <v>2163815.789473684</v>
      </c>
      <c r="K5" s="3">
        <v>17000</v>
      </c>
      <c r="L5" s="44">
        <f t="shared" si="3"/>
        <v>3400000</v>
      </c>
      <c r="M5" s="3">
        <f>L5-J5</f>
        <v>1236184.210526316</v>
      </c>
    </row>
    <row r="6" spans="1:13" x14ac:dyDescent="0.2">
      <c r="A6" s="2" t="s">
        <v>426</v>
      </c>
      <c r="B6" s="1" t="s">
        <v>7</v>
      </c>
      <c r="C6" s="1" t="s">
        <v>471</v>
      </c>
      <c r="D6" s="1">
        <v>6.08</v>
      </c>
      <c r="E6" s="1">
        <v>200</v>
      </c>
      <c r="F6" s="1">
        <v>27.5</v>
      </c>
      <c r="G6" s="1">
        <f>E6*F6</f>
        <v>5500</v>
      </c>
      <c r="H6" s="1">
        <f t="shared" si="1"/>
        <v>904.60526315789468</v>
      </c>
      <c r="I6" s="3">
        <v>2530</v>
      </c>
      <c r="J6" s="37">
        <f t="shared" si="2"/>
        <v>2288651.3157894737</v>
      </c>
      <c r="K6" s="3">
        <v>18000</v>
      </c>
      <c r="L6" s="44">
        <f t="shared" si="3"/>
        <v>3600000</v>
      </c>
      <c r="M6" s="3">
        <f>L6-J6</f>
        <v>1311348.6842105263</v>
      </c>
    </row>
    <row r="7" spans="1:13" x14ac:dyDescent="0.2">
      <c r="A7" s="2" t="s">
        <v>427</v>
      </c>
      <c r="B7" s="1" t="s">
        <v>7</v>
      </c>
      <c r="C7" s="1" t="s">
        <v>472</v>
      </c>
      <c r="D7" s="1">
        <v>6.08</v>
      </c>
      <c r="E7" s="1">
        <v>200</v>
      </c>
      <c r="F7" s="1">
        <v>27</v>
      </c>
      <c r="G7" s="1">
        <f t="shared" ref="G7:G20" si="4">E7*F7</f>
        <v>5400</v>
      </c>
      <c r="H7" s="1">
        <f t="shared" si="1"/>
        <v>888.15789473684208</v>
      </c>
      <c r="I7" s="3">
        <v>2530</v>
      </c>
      <c r="J7" s="37">
        <f t="shared" si="2"/>
        <v>2247039.4736842108</v>
      </c>
      <c r="K7" s="3">
        <v>18000</v>
      </c>
      <c r="L7" s="44">
        <f t="shared" si="3"/>
        <v>3600000</v>
      </c>
      <c r="M7" s="3">
        <f t="shared" ref="M7:M20" si="5">L7-J7</f>
        <v>1352960.5263157892</v>
      </c>
    </row>
    <row r="8" spans="1:13" x14ac:dyDescent="0.2">
      <c r="A8" s="2" t="s">
        <v>428</v>
      </c>
      <c r="B8" s="1" t="s">
        <v>42</v>
      </c>
      <c r="C8" s="1" t="s">
        <v>473</v>
      </c>
      <c r="D8" s="1">
        <v>6.08</v>
      </c>
      <c r="E8" s="1">
        <v>200</v>
      </c>
      <c r="F8" s="1">
        <v>23</v>
      </c>
      <c r="G8" s="1">
        <f>E8*F8</f>
        <v>4600</v>
      </c>
      <c r="H8" s="1">
        <f>G8/D8</f>
        <v>756.57894736842104</v>
      </c>
      <c r="I8" s="3">
        <v>2530</v>
      </c>
      <c r="J8" s="37">
        <f>F8/D8*I8*E8</f>
        <v>1914144.7368421054</v>
      </c>
      <c r="K8" s="29">
        <v>15000</v>
      </c>
      <c r="L8" s="64">
        <f>K8*E8</f>
        <v>3000000</v>
      </c>
      <c r="M8" s="29">
        <f>L8-J8</f>
        <v>1085855.2631578946</v>
      </c>
    </row>
    <row r="9" spans="1:13" x14ac:dyDescent="0.2">
      <c r="A9" s="2" t="s">
        <v>429</v>
      </c>
      <c r="B9" s="1" t="s">
        <v>42</v>
      </c>
      <c r="C9" s="1" t="s">
        <v>474</v>
      </c>
      <c r="D9" s="1">
        <v>6.08</v>
      </c>
      <c r="E9" s="1">
        <v>200</v>
      </c>
      <c r="F9" s="1">
        <v>24</v>
      </c>
      <c r="G9" s="1">
        <f t="shared" si="4"/>
        <v>4800</v>
      </c>
      <c r="H9" s="1">
        <f t="shared" si="1"/>
        <v>789.47368421052636</v>
      </c>
      <c r="I9" s="3">
        <v>2530</v>
      </c>
      <c r="J9" s="37">
        <f t="shared" si="2"/>
        <v>1997368.4210526317</v>
      </c>
      <c r="K9" s="29">
        <v>16000</v>
      </c>
      <c r="L9" s="64">
        <f t="shared" si="3"/>
        <v>3200000</v>
      </c>
      <c r="M9" s="29">
        <f t="shared" si="5"/>
        <v>1202631.5789473683</v>
      </c>
    </row>
    <row r="10" spans="1:13" x14ac:dyDescent="0.2">
      <c r="A10" s="2" t="s">
        <v>430</v>
      </c>
      <c r="B10" s="1" t="s">
        <v>42</v>
      </c>
      <c r="C10" s="1" t="s">
        <v>475</v>
      </c>
      <c r="D10" s="1">
        <v>6.08</v>
      </c>
      <c r="E10" s="1">
        <v>200</v>
      </c>
      <c r="F10" s="1">
        <v>24</v>
      </c>
      <c r="G10" s="1">
        <f t="shared" si="4"/>
        <v>4800</v>
      </c>
      <c r="H10" s="1">
        <f t="shared" si="1"/>
        <v>789.47368421052636</v>
      </c>
      <c r="I10" s="3">
        <v>2530</v>
      </c>
      <c r="J10" s="37">
        <f t="shared" si="2"/>
        <v>1997368.4210526317</v>
      </c>
      <c r="K10" s="29">
        <v>16000</v>
      </c>
      <c r="L10" s="64">
        <f t="shared" si="3"/>
        <v>3200000</v>
      </c>
      <c r="M10" s="29">
        <f t="shared" si="5"/>
        <v>1202631.5789473683</v>
      </c>
    </row>
    <row r="11" spans="1:13" x14ac:dyDescent="0.2">
      <c r="A11" s="2" t="s">
        <v>431</v>
      </c>
      <c r="B11" s="1" t="s">
        <v>42</v>
      </c>
      <c r="C11" s="1" t="s">
        <v>476</v>
      </c>
      <c r="D11" s="1">
        <v>6.08</v>
      </c>
      <c r="E11" s="1">
        <v>200</v>
      </c>
      <c r="F11" s="1">
        <v>24</v>
      </c>
      <c r="G11" s="1">
        <f t="shared" si="4"/>
        <v>4800</v>
      </c>
      <c r="H11" s="1">
        <f t="shared" si="1"/>
        <v>789.47368421052636</v>
      </c>
      <c r="I11" s="3">
        <v>2530</v>
      </c>
      <c r="J11" s="37">
        <f t="shared" si="2"/>
        <v>1997368.4210526317</v>
      </c>
      <c r="K11" s="29">
        <v>16000</v>
      </c>
      <c r="L11" s="64">
        <f t="shared" si="3"/>
        <v>3200000</v>
      </c>
      <c r="M11" s="29">
        <f t="shared" si="5"/>
        <v>1202631.5789473683</v>
      </c>
    </row>
    <row r="12" spans="1:13" x14ac:dyDescent="0.2">
      <c r="A12" s="2" t="s">
        <v>432</v>
      </c>
      <c r="B12" s="1" t="s">
        <v>42</v>
      </c>
      <c r="C12" s="1" t="s">
        <v>477</v>
      </c>
      <c r="D12" s="1">
        <v>6.08</v>
      </c>
      <c r="E12" s="1">
        <v>150</v>
      </c>
      <c r="F12" s="1">
        <v>23</v>
      </c>
      <c r="G12" s="1">
        <f t="shared" si="4"/>
        <v>3450</v>
      </c>
      <c r="H12" s="1">
        <f t="shared" si="1"/>
        <v>567.43421052631584</v>
      </c>
      <c r="I12" s="3">
        <v>2530</v>
      </c>
      <c r="J12" s="37">
        <f t="shared" si="2"/>
        <v>1435608.5526315791</v>
      </c>
      <c r="K12" s="29">
        <v>15000</v>
      </c>
      <c r="L12" s="64">
        <f t="shared" si="3"/>
        <v>2250000</v>
      </c>
      <c r="M12" s="29">
        <f t="shared" si="5"/>
        <v>814391.44736842089</v>
      </c>
    </row>
    <row r="13" spans="1:13" x14ac:dyDescent="0.2">
      <c r="A13" s="2" t="s">
        <v>433</v>
      </c>
      <c r="B13" s="1" t="s">
        <v>7</v>
      </c>
      <c r="C13" s="1" t="s">
        <v>478</v>
      </c>
      <c r="D13" s="1">
        <v>6.08</v>
      </c>
      <c r="E13" s="1">
        <v>200</v>
      </c>
      <c r="F13" s="1">
        <v>26</v>
      </c>
      <c r="G13" s="1">
        <f t="shared" si="4"/>
        <v>5200</v>
      </c>
      <c r="H13" s="1">
        <f t="shared" si="1"/>
        <v>855.26315789473688</v>
      </c>
      <c r="I13" s="3">
        <v>2530</v>
      </c>
      <c r="J13" s="37">
        <f t="shared" si="2"/>
        <v>2163815.789473684</v>
      </c>
      <c r="K13" s="29">
        <v>18000</v>
      </c>
      <c r="L13" s="64">
        <f t="shared" si="3"/>
        <v>3600000</v>
      </c>
      <c r="M13" s="29">
        <f t="shared" si="5"/>
        <v>1436184.210526316</v>
      </c>
    </row>
    <row r="14" spans="1:13" x14ac:dyDescent="0.2">
      <c r="A14" s="2" t="s">
        <v>434</v>
      </c>
      <c r="B14" s="1" t="s">
        <v>7</v>
      </c>
      <c r="C14" s="1" t="s">
        <v>479</v>
      </c>
      <c r="D14" s="1">
        <v>6.08</v>
      </c>
      <c r="E14" s="1">
        <v>200</v>
      </c>
      <c r="F14" s="1">
        <v>25</v>
      </c>
      <c r="G14" s="1">
        <f t="shared" si="4"/>
        <v>5000</v>
      </c>
      <c r="H14" s="1">
        <f t="shared" si="1"/>
        <v>822.36842105263156</v>
      </c>
      <c r="I14" s="3">
        <v>2530</v>
      </c>
      <c r="J14" s="37">
        <f t="shared" si="2"/>
        <v>2080592.1052631577</v>
      </c>
      <c r="K14" s="29">
        <v>17000</v>
      </c>
      <c r="L14" s="64">
        <f t="shared" si="3"/>
        <v>3400000</v>
      </c>
      <c r="M14" s="29">
        <f t="shared" si="5"/>
        <v>1319407.8947368423</v>
      </c>
    </row>
    <row r="15" spans="1:13" x14ac:dyDescent="0.2">
      <c r="A15" s="2" t="s">
        <v>435</v>
      </c>
      <c r="B15" s="1" t="s">
        <v>7</v>
      </c>
      <c r="C15" s="1" t="s">
        <v>480</v>
      </c>
      <c r="D15" s="1">
        <v>6.08</v>
      </c>
      <c r="E15" s="1">
        <v>200</v>
      </c>
      <c r="F15" s="1">
        <v>26</v>
      </c>
      <c r="G15" s="1">
        <f t="shared" si="4"/>
        <v>5200</v>
      </c>
      <c r="H15" s="1">
        <f t="shared" si="1"/>
        <v>855.26315789473688</v>
      </c>
      <c r="I15" s="3">
        <v>2530</v>
      </c>
      <c r="J15" s="37">
        <f t="shared" si="2"/>
        <v>2163815.789473684</v>
      </c>
      <c r="K15" s="29">
        <v>18000</v>
      </c>
      <c r="L15" s="64">
        <f t="shared" si="3"/>
        <v>3600000</v>
      </c>
      <c r="M15" s="29">
        <f t="shared" si="5"/>
        <v>1436184.210526316</v>
      </c>
    </row>
    <row r="16" spans="1:13" x14ac:dyDescent="0.2">
      <c r="A16" s="2" t="s">
        <v>436</v>
      </c>
      <c r="B16" s="1" t="s">
        <v>23</v>
      </c>
      <c r="C16" s="1" t="s">
        <v>481</v>
      </c>
      <c r="D16" s="1">
        <v>6.08</v>
      </c>
      <c r="E16" s="1">
        <v>1532</v>
      </c>
      <c r="F16" s="1">
        <v>20</v>
      </c>
      <c r="G16" s="1">
        <f t="shared" si="4"/>
        <v>30640</v>
      </c>
      <c r="H16" s="1">
        <f t="shared" si="1"/>
        <v>5039.4736842105267</v>
      </c>
      <c r="I16" s="3">
        <v>2530</v>
      </c>
      <c r="J16" s="37">
        <f t="shared" si="2"/>
        <v>12749868.421052631</v>
      </c>
      <c r="K16" s="29">
        <v>15000</v>
      </c>
      <c r="L16" s="64">
        <f t="shared" si="3"/>
        <v>22980000</v>
      </c>
      <c r="M16" s="29">
        <f t="shared" si="5"/>
        <v>10230131.578947369</v>
      </c>
    </row>
    <row r="17" spans="1:13" x14ac:dyDescent="0.2">
      <c r="A17" s="2" t="s">
        <v>437</v>
      </c>
      <c r="B17" s="1" t="s">
        <v>7</v>
      </c>
      <c r="C17" s="1" t="s">
        <v>482</v>
      </c>
      <c r="D17" s="1">
        <v>6.08</v>
      </c>
      <c r="E17" s="1">
        <v>962</v>
      </c>
      <c r="F17" s="1">
        <v>25.5</v>
      </c>
      <c r="G17" s="1">
        <f t="shared" si="4"/>
        <v>24531</v>
      </c>
      <c r="H17" s="1">
        <f t="shared" si="1"/>
        <v>4034.7039473684208</v>
      </c>
      <c r="I17" s="3">
        <v>2530</v>
      </c>
      <c r="J17" s="37">
        <f t="shared" si="2"/>
        <v>10207800.986842105</v>
      </c>
      <c r="K17" s="29">
        <v>18000</v>
      </c>
      <c r="L17" s="64">
        <f t="shared" si="3"/>
        <v>17316000</v>
      </c>
      <c r="M17" s="29">
        <f t="shared" si="5"/>
        <v>7108199.0131578948</v>
      </c>
    </row>
    <row r="18" spans="1:13" x14ac:dyDescent="0.2">
      <c r="A18" s="2" t="s">
        <v>438</v>
      </c>
      <c r="B18" s="1" t="s">
        <v>7</v>
      </c>
      <c r="C18" s="1" t="s">
        <v>483</v>
      </c>
      <c r="D18" s="1">
        <v>6.08</v>
      </c>
      <c r="E18" s="1">
        <v>1700</v>
      </c>
      <c r="F18" s="1">
        <v>24</v>
      </c>
      <c r="G18" s="1">
        <f t="shared" si="4"/>
        <v>40800</v>
      </c>
      <c r="H18" s="1">
        <f t="shared" si="1"/>
        <v>6710.5263157894733</v>
      </c>
      <c r="I18" s="3">
        <v>2530</v>
      </c>
      <c r="J18" s="37">
        <f t="shared" si="2"/>
        <v>16977631.578947369</v>
      </c>
      <c r="K18" s="29">
        <v>17000</v>
      </c>
      <c r="L18" s="64">
        <f t="shared" si="3"/>
        <v>28900000</v>
      </c>
      <c r="M18" s="29">
        <f t="shared" si="5"/>
        <v>11922368.421052631</v>
      </c>
    </row>
    <row r="19" spans="1:13" x14ac:dyDescent="0.2">
      <c r="A19" s="2" t="s">
        <v>439</v>
      </c>
      <c r="B19" s="1" t="s">
        <v>7</v>
      </c>
      <c r="C19" s="1" t="s">
        <v>484</v>
      </c>
      <c r="D19" s="1">
        <v>6.08</v>
      </c>
      <c r="E19" s="1">
        <v>200</v>
      </c>
      <c r="F19" s="1">
        <v>25</v>
      </c>
      <c r="G19" s="1">
        <f t="shared" si="4"/>
        <v>5000</v>
      </c>
      <c r="H19" s="1">
        <f t="shared" si="1"/>
        <v>822.36842105263156</v>
      </c>
      <c r="I19" s="3">
        <v>2530</v>
      </c>
      <c r="J19" s="37">
        <f t="shared" si="2"/>
        <v>2080592.1052631577</v>
      </c>
      <c r="K19" s="29">
        <v>16000</v>
      </c>
      <c r="L19" s="64">
        <f t="shared" si="3"/>
        <v>3200000</v>
      </c>
      <c r="M19" s="29">
        <f t="shared" si="5"/>
        <v>1119407.8947368423</v>
      </c>
    </row>
    <row r="20" spans="1:13" x14ac:dyDescent="0.2">
      <c r="A20" s="2" t="s">
        <v>440</v>
      </c>
      <c r="B20" s="1" t="s">
        <v>7</v>
      </c>
      <c r="C20" s="1" t="s">
        <v>253</v>
      </c>
      <c r="D20" s="1">
        <v>6.08</v>
      </c>
      <c r="E20" s="1">
        <v>200</v>
      </c>
      <c r="F20" s="1">
        <v>25</v>
      </c>
      <c r="G20" s="1">
        <f t="shared" si="4"/>
        <v>5000</v>
      </c>
      <c r="H20" s="1">
        <f t="shared" si="1"/>
        <v>822.36842105263156</v>
      </c>
      <c r="I20" s="3">
        <v>2530</v>
      </c>
      <c r="J20" s="37">
        <f t="shared" si="2"/>
        <v>2080592.1052631577</v>
      </c>
      <c r="K20" s="29">
        <v>16000</v>
      </c>
      <c r="L20" s="64">
        <f t="shared" si="3"/>
        <v>3200000</v>
      </c>
      <c r="M20" s="29">
        <f t="shared" si="5"/>
        <v>1119407.8947368423</v>
      </c>
    </row>
    <row r="21" spans="1:13" x14ac:dyDescent="0.2">
      <c r="E21" s="7">
        <f>SUM(E3:E20)</f>
        <v>9284</v>
      </c>
      <c r="G21" s="71">
        <f>SUM(G3:G20)</f>
        <v>227541</v>
      </c>
      <c r="H21" s="96">
        <f>SUM(H3:H20)</f>
        <v>37424.506578947374</v>
      </c>
      <c r="J21" s="97">
        <f>SUM(J3:J20)</f>
        <v>94684001.644736856</v>
      </c>
      <c r="L21" s="95">
        <f>SUM(L3:L20)</f>
        <v>155246000</v>
      </c>
      <c r="M21" s="48">
        <f>SUM(M3:M20)</f>
        <v>60561998.355263159</v>
      </c>
    </row>
    <row r="31" spans="1:13" x14ac:dyDescent="0.2">
      <c r="K31" t="s">
        <v>507</v>
      </c>
      <c r="M31" s="41" t="s">
        <v>508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51"/>
  <sheetViews>
    <sheetView workbookViewId="0">
      <selection activeCell="C1" sqref="C1"/>
    </sheetView>
  </sheetViews>
  <sheetFormatPr baseColWidth="10" defaultRowHeight="15" x14ac:dyDescent="0.2"/>
  <cols>
    <col min="8" max="8" width="11.6640625" customWidth="1"/>
    <col min="9" max="9" width="12.5" customWidth="1"/>
    <col min="10" max="10" width="14" customWidth="1"/>
    <col min="12" max="12" width="13.5" customWidth="1"/>
  </cols>
  <sheetData>
    <row r="1" spans="1:13" ht="31" x14ac:dyDescent="0.35">
      <c r="A1" s="56" t="s">
        <v>861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2" t="s">
        <v>500</v>
      </c>
      <c r="B3" s="1" t="s">
        <v>7</v>
      </c>
      <c r="C3" s="1" t="s">
        <v>487</v>
      </c>
      <c r="D3" s="1">
        <v>6.08</v>
      </c>
      <c r="E3" s="1">
        <v>219</v>
      </c>
      <c r="F3" s="1">
        <v>18</v>
      </c>
      <c r="G3" s="44">
        <f t="shared" ref="G3" si="0">E3*F3</f>
        <v>3942</v>
      </c>
      <c r="H3" s="5">
        <f t="shared" ref="H3:H32" si="1">G3/D3</f>
        <v>648.35526315789468</v>
      </c>
      <c r="I3" s="3">
        <v>2530</v>
      </c>
      <c r="J3" s="3">
        <f t="shared" ref="J3:J32" si="2">F3/D3*I3*E3</f>
        <v>1640338.8157894735</v>
      </c>
      <c r="K3" s="3">
        <v>18000</v>
      </c>
      <c r="L3" s="44">
        <f t="shared" ref="L3:L32" si="3">K3*E3</f>
        <v>3942000</v>
      </c>
      <c r="M3" s="3">
        <f>L3-J3</f>
        <v>2301661.1842105268</v>
      </c>
    </row>
    <row r="4" spans="1:13" x14ac:dyDescent="0.2">
      <c r="A4" s="2"/>
      <c r="B4" s="1" t="s">
        <v>23</v>
      </c>
      <c r="C4" s="1" t="s">
        <v>488</v>
      </c>
      <c r="D4" s="1">
        <v>6.08</v>
      </c>
      <c r="E4" s="1">
        <v>500</v>
      </c>
      <c r="F4" s="1">
        <v>32</v>
      </c>
      <c r="G4" s="44">
        <f>E4*F4</f>
        <v>16000</v>
      </c>
      <c r="H4" s="5">
        <f>G4/D4</f>
        <v>2631.5789473684208</v>
      </c>
      <c r="I4" s="3">
        <v>2530</v>
      </c>
      <c r="J4" s="3">
        <f t="shared" si="2"/>
        <v>6657894.7368421061</v>
      </c>
      <c r="K4" s="3">
        <v>20000</v>
      </c>
      <c r="L4" s="44">
        <f t="shared" si="3"/>
        <v>10000000</v>
      </c>
      <c r="M4" s="3">
        <f>L4-J4</f>
        <v>3342105.2631578939</v>
      </c>
    </row>
    <row r="5" spans="1:13" x14ac:dyDescent="0.2">
      <c r="A5" s="2"/>
      <c r="B5" s="1" t="s">
        <v>7</v>
      </c>
      <c r="C5" s="1" t="s">
        <v>489</v>
      </c>
      <c r="D5" s="1">
        <v>6.08</v>
      </c>
      <c r="E5" s="1">
        <v>200</v>
      </c>
      <c r="F5" s="1">
        <v>30</v>
      </c>
      <c r="G5" s="44">
        <f>E5*F5</f>
        <v>6000</v>
      </c>
      <c r="H5" s="5">
        <f>G5/D5</f>
        <v>986.84210526315792</v>
      </c>
      <c r="I5" s="3">
        <v>2530</v>
      </c>
      <c r="J5" s="3">
        <f t="shared" si="2"/>
        <v>2496710.5263157892</v>
      </c>
      <c r="K5" s="3">
        <v>20000</v>
      </c>
      <c r="L5" s="44">
        <f t="shared" si="3"/>
        <v>4000000</v>
      </c>
      <c r="M5" s="3">
        <f>L5-J5</f>
        <v>1503289.4736842108</v>
      </c>
    </row>
    <row r="6" spans="1:13" x14ac:dyDescent="0.2">
      <c r="A6" s="2"/>
      <c r="B6" s="1" t="s">
        <v>7</v>
      </c>
      <c r="C6" s="1" t="s">
        <v>380</v>
      </c>
      <c r="D6" s="1">
        <v>6.08</v>
      </c>
      <c r="E6" s="1">
        <v>100</v>
      </c>
      <c r="F6" s="1">
        <v>32</v>
      </c>
      <c r="G6" s="1">
        <f>E6*F6</f>
        <v>3200</v>
      </c>
      <c r="H6" s="1">
        <f t="shared" si="1"/>
        <v>526.31578947368416</v>
      </c>
      <c r="I6" s="3">
        <v>2530</v>
      </c>
      <c r="J6" s="37">
        <f t="shared" si="2"/>
        <v>1331578.9473684211</v>
      </c>
      <c r="K6" s="3">
        <v>20000</v>
      </c>
      <c r="L6" s="44">
        <f t="shared" si="3"/>
        <v>2000000</v>
      </c>
      <c r="M6" s="3">
        <f>L6-J6</f>
        <v>668421.05263157887</v>
      </c>
    </row>
    <row r="7" spans="1:13" x14ac:dyDescent="0.2">
      <c r="A7" s="2"/>
      <c r="B7" s="1" t="s">
        <v>7</v>
      </c>
      <c r="C7" s="1" t="s">
        <v>490</v>
      </c>
      <c r="D7" s="1">
        <v>6.08</v>
      </c>
      <c r="E7" s="1">
        <v>150</v>
      </c>
      <c r="F7" s="1">
        <v>26.5</v>
      </c>
      <c r="G7" s="1">
        <f t="shared" ref="G7:G32" si="4">E7*F7</f>
        <v>3975</v>
      </c>
      <c r="H7" s="1">
        <f t="shared" si="1"/>
        <v>653.78289473684208</v>
      </c>
      <c r="I7" s="3">
        <v>2530</v>
      </c>
      <c r="J7" s="37">
        <f t="shared" si="2"/>
        <v>1654070.7236842103</v>
      </c>
      <c r="K7" s="3">
        <v>18000</v>
      </c>
      <c r="L7" s="44">
        <f t="shared" si="3"/>
        <v>2700000</v>
      </c>
      <c r="M7" s="3">
        <f t="shared" ref="M7:M32" si="5">L7-J7</f>
        <v>1045929.2763157897</v>
      </c>
    </row>
    <row r="8" spans="1:13" x14ac:dyDescent="0.2">
      <c r="A8" s="2"/>
      <c r="B8" s="1" t="s">
        <v>7</v>
      </c>
      <c r="C8" s="1" t="s">
        <v>380</v>
      </c>
      <c r="D8" s="1">
        <v>6.08</v>
      </c>
      <c r="E8" s="1">
        <v>150</v>
      </c>
      <c r="F8" s="1">
        <v>26.5</v>
      </c>
      <c r="G8" s="1">
        <f>E8*F8</f>
        <v>3975</v>
      </c>
      <c r="H8" s="1">
        <f>G8/D8</f>
        <v>653.78289473684208</v>
      </c>
      <c r="I8" s="3">
        <v>2530</v>
      </c>
      <c r="J8" s="37">
        <f>F8/D8*I8*E8</f>
        <v>1654070.7236842103</v>
      </c>
      <c r="K8" s="29">
        <v>18000</v>
      </c>
      <c r="L8" s="64">
        <f>K8*E8</f>
        <v>2700000</v>
      </c>
      <c r="M8" s="29">
        <f>L8-J8</f>
        <v>1045929.2763157897</v>
      </c>
    </row>
    <row r="9" spans="1:13" x14ac:dyDescent="0.2">
      <c r="A9" s="2"/>
      <c r="B9" s="1" t="s">
        <v>23</v>
      </c>
      <c r="C9" s="1" t="s">
        <v>491</v>
      </c>
      <c r="D9" s="1">
        <v>6.08</v>
      </c>
      <c r="E9" s="1">
        <v>300</v>
      </c>
      <c r="F9" s="1">
        <v>15</v>
      </c>
      <c r="G9" s="1">
        <f t="shared" si="4"/>
        <v>4500</v>
      </c>
      <c r="H9" s="1">
        <f t="shared" si="1"/>
        <v>740.13157894736844</v>
      </c>
      <c r="I9" s="3">
        <v>2530</v>
      </c>
      <c r="J9" s="37">
        <f t="shared" si="2"/>
        <v>1872532.894736842</v>
      </c>
      <c r="K9" s="29">
        <v>15000</v>
      </c>
      <c r="L9" s="64">
        <f t="shared" si="3"/>
        <v>4500000</v>
      </c>
      <c r="M9" s="29">
        <f t="shared" si="5"/>
        <v>2627467.1052631577</v>
      </c>
    </row>
    <row r="10" spans="1:13" x14ac:dyDescent="0.2">
      <c r="A10" s="2"/>
      <c r="B10" s="1" t="s">
        <v>7</v>
      </c>
      <c r="C10" s="1" t="s">
        <v>492</v>
      </c>
      <c r="D10" s="1">
        <v>6.08</v>
      </c>
      <c r="E10" s="1">
        <v>250</v>
      </c>
      <c r="F10" s="1">
        <v>22</v>
      </c>
      <c r="G10" s="1">
        <f t="shared" si="4"/>
        <v>5500</v>
      </c>
      <c r="H10" s="1">
        <f t="shared" si="1"/>
        <v>904.60526315789468</v>
      </c>
      <c r="I10" s="3">
        <v>2530</v>
      </c>
      <c r="J10" s="37">
        <f t="shared" si="2"/>
        <v>2288651.3157894737</v>
      </c>
      <c r="K10" s="29">
        <v>17000</v>
      </c>
      <c r="L10" s="64">
        <f t="shared" si="3"/>
        <v>4250000</v>
      </c>
      <c r="M10" s="29">
        <f t="shared" si="5"/>
        <v>1961348.6842105263</v>
      </c>
    </row>
    <row r="11" spans="1:13" x14ac:dyDescent="0.2">
      <c r="A11" s="2"/>
      <c r="B11" s="1" t="s">
        <v>7</v>
      </c>
      <c r="C11" s="1" t="s">
        <v>493</v>
      </c>
      <c r="D11" s="1">
        <v>6.08</v>
      </c>
      <c r="E11" s="1">
        <v>1000</v>
      </c>
      <c r="F11" s="1">
        <v>23</v>
      </c>
      <c r="G11" s="1">
        <f t="shared" si="4"/>
        <v>23000</v>
      </c>
      <c r="H11" s="1">
        <f t="shared" si="1"/>
        <v>3782.8947368421054</v>
      </c>
      <c r="I11" s="3">
        <v>2530</v>
      </c>
      <c r="J11" s="37">
        <f t="shared" si="2"/>
        <v>9570723.6842105258</v>
      </c>
      <c r="K11" s="29">
        <v>17000</v>
      </c>
      <c r="L11" s="64">
        <f t="shared" si="3"/>
        <v>17000000</v>
      </c>
      <c r="M11" s="29">
        <f t="shared" si="5"/>
        <v>7429276.3157894742</v>
      </c>
    </row>
    <row r="12" spans="1:13" x14ac:dyDescent="0.2">
      <c r="A12" s="2"/>
      <c r="B12" s="1" t="s">
        <v>42</v>
      </c>
      <c r="C12" s="1" t="s">
        <v>494</v>
      </c>
      <c r="D12" s="1">
        <v>6.08</v>
      </c>
      <c r="E12" s="1">
        <v>150</v>
      </c>
      <c r="F12" s="1">
        <v>20</v>
      </c>
      <c r="G12" s="1">
        <f t="shared" si="4"/>
        <v>3000</v>
      </c>
      <c r="H12" s="1">
        <f t="shared" si="1"/>
        <v>493.42105263157896</v>
      </c>
      <c r="I12" s="3">
        <v>2530</v>
      </c>
      <c r="J12" s="37">
        <f t="shared" si="2"/>
        <v>1248355.2631578948</v>
      </c>
      <c r="K12" s="29">
        <v>17000</v>
      </c>
      <c r="L12" s="64">
        <f t="shared" si="3"/>
        <v>2550000</v>
      </c>
      <c r="M12" s="29">
        <f t="shared" si="5"/>
        <v>1301644.7368421052</v>
      </c>
    </row>
    <row r="13" spans="1:13" x14ac:dyDescent="0.2">
      <c r="A13" s="2"/>
      <c r="B13" s="1" t="s">
        <v>42</v>
      </c>
      <c r="C13" s="1" t="s">
        <v>495</v>
      </c>
      <c r="D13" s="1">
        <v>6.08</v>
      </c>
      <c r="E13" s="1">
        <v>100</v>
      </c>
      <c r="F13" s="1">
        <v>26</v>
      </c>
      <c r="G13" s="1">
        <f t="shared" si="4"/>
        <v>2600</v>
      </c>
      <c r="H13" s="1">
        <f t="shared" si="1"/>
        <v>427.63157894736844</v>
      </c>
      <c r="I13" s="3">
        <v>2530</v>
      </c>
      <c r="J13" s="37">
        <f t="shared" si="2"/>
        <v>1081907.894736842</v>
      </c>
      <c r="K13" s="29">
        <v>15000</v>
      </c>
      <c r="L13" s="64">
        <f t="shared" si="3"/>
        <v>1500000</v>
      </c>
      <c r="M13" s="29">
        <f t="shared" si="5"/>
        <v>418092.10526315798</v>
      </c>
    </row>
    <row r="14" spans="1:13" x14ac:dyDescent="0.2">
      <c r="A14" s="2"/>
      <c r="B14" s="1" t="s">
        <v>7</v>
      </c>
      <c r="C14" s="1" t="s">
        <v>325</v>
      </c>
      <c r="D14" s="1">
        <v>6.08</v>
      </c>
      <c r="E14" s="1">
        <v>400</v>
      </c>
      <c r="F14" s="1">
        <v>26</v>
      </c>
      <c r="G14" s="1">
        <f t="shared" si="4"/>
        <v>10400</v>
      </c>
      <c r="H14" s="1">
        <f t="shared" si="1"/>
        <v>1710.5263157894738</v>
      </c>
      <c r="I14" s="3">
        <v>2530</v>
      </c>
      <c r="J14" s="37">
        <f t="shared" si="2"/>
        <v>4327631.5789473681</v>
      </c>
      <c r="K14" s="29">
        <v>17000</v>
      </c>
      <c r="L14" s="64">
        <f t="shared" si="3"/>
        <v>6800000</v>
      </c>
      <c r="M14" s="29">
        <f t="shared" si="5"/>
        <v>2472368.4210526319</v>
      </c>
    </row>
    <row r="15" spans="1:13" x14ac:dyDescent="0.2">
      <c r="A15" s="2"/>
      <c r="B15" s="1" t="s">
        <v>7</v>
      </c>
      <c r="C15" s="1" t="s">
        <v>496</v>
      </c>
      <c r="D15" s="1">
        <v>6.08</v>
      </c>
      <c r="E15" s="1">
        <v>900</v>
      </c>
      <c r="F15" s="1">
        <v>24</v>
      </c>
      <c r="G15" s="1">
        <f t="shared" si="4"/>
        <v>21600</v>
      </c>
      <c r="H15" s="1">
        <f t="shared" si="1"/>
        <v>3552.6315789473683</v>
      </c>
      <c r="I15" s="3">
        <v>2530</v>
      </c>
      <c r="J15" s="37">
        <f t="shared" si="2"/>
        <v>8988157.8947368432</v>
      </c>
      <c r="K15" s="29">
        <v>16000</v>
      </c>
      <c r="L15" s="64">
        <f t="shared" si="3"/>
        <v>14400000</v>
      </c>
      <c r="M15" s="29">
        <f t="shared" si="5"/>
        <v>5411842.1052631568</v>
      </c>
    </row>
    <row r="16" spans="1:13" x14ac:dyDescent="0.2">
      <c r="A16" s="2"/>
      <c r="B16" s="1" t="s">
        <v>7</v>
      </c>
      <c r="C16" s="1" t="s">
        <v>497</v>
      </c>
      <c r="D16" s="1">
        <v>6.08</v>
      </c>
      <c r="E16" s="1">
        <v>200</v>
      </c>
      <c r="F16" s="1">
        <v>24</v>
      </c>
      <c r="G16" s="1">
        <f t="shared" si="4"/>
        <v>4800</v>
      </c>
      <c r="H16" s="1">
        <f t="shared" si="1"/>
        <v>789.47368421052636</v>
      </c>
      <c r="I16" s="3">
        <v>2530</v>
      </c>
      <c r="J16" s="37">
        <f t="shared" si="2"/>
        <v>1997368.4210526317</v>
      </c>
      <c r="K16" s="29">
        <v>16000</v>
      </c>
      <c r="L16" s="64">
        <f t="shared" si="3"/>
        <v>3200000</v>
      </c>
      <c r="M16" s="29">
        <f t="shared" si="5"/>
        <v>1202631.5789473683</v>
      </c>
    </row>
    <row r="17" spans="1:13" x14ac:dyDescent="0.2">
      <c r="A17" s="2"/>
      <c r="B17" s="1" t="s">
        <v>7</v>
      </c>
      <c r="C17" s="1" t="s">
        <v>497</v>
      </c>
      <c r="D17" s="1">
        <v>6.08</v>
      </c>
      <c r="E17" s="1">
        <v>200</v>
      </c>
      <c r="F17" s="1">
        <v>23</v>
      </c>
      <c r="G17" s="1">
        <f t="shared" si="4"/>
        <v>4600</v>
      </c>
      <c r="H17" s="1">
        <f t="shared" si="1"/>
        <v>756.57894736842104</v>
      </c>
      <c r="I17" s="3">
        <v>2530</v>
      </c>
      <c r="J17" s="37">
        <f t="shared" si="2"/>
        <v>1914144.7368421054</v>
      </c>
      <c r="K17" s="29">
        <v>16000</v>
      </c>
      <c r="L17" s="64">
        <f t="shared" si="3"/>
        <v>3200000</v>
      </c>
      <c r="M17" s="29">
        <f t="shared" si="5"/>
        <v>1285855.2631578946</v>
      </c>
    </row>
    <row r="18" spans="1:13" x14ac:dyDescent="0.2">
      <c r="A18" s="2"/>
      <c r="B18" s="1" t="s">
        <v>7</v>
      </c>
      <c r="C18" s="1" t="s">
        <v>304</v>
      </c>
      <c r="D18" s="1">
        <v>6.08</v>
      </c>
      <c r="E18" s="1">
        <v>250</v>
      </c>
      <c r="F18" s="1">
        <v>24</v>
      </c>
      <c r="G18" s="1">
        <f t="shared" si="4"/>
        <v>6000</v>
      </c>
      <c r="H18" s="1">
        <f t="shared" si="1"/>
        <v>986.84210526315792</v>
      </c>
      <c r="I18" s="3">
        <v>2530</v>
      </c>
      <c r="J18" s="37">
        <f t="shared" si="2"/>
        <v>2496710.5263157897</v>
      </c>
      <c r="K18" s="29">
        <v>17000</v>
      </c>
      <c r="L18" s="64">
        <f t="shared" si="3"/>
        <v>4250000</v>
      </c>
      <c r="M18" s="29">
        <f t="shared" si="5"/>
        <v>1753289.4736842103</v>
      </c>
    </row>
    <row r="19" spans="1:13" x14ac:dyDescent="0.2">
      <c r="A19" s="2"/>
      <c r="B19" s="1" t="s">
        <v>23</v>
      </c>
      <c r="C19" s="1" t="s">
        <v>498</v>
      </c>
      <c r="D19" s="1">
        <v>6.08</v>
      </c>
      <c r="E19" s="1">
        <v>219</v>
      </c>
      <c r="F19" s="1">
        <v>16</v>
      </c>
      <c r="G19" s="1">
        <f t="shared" si="4"/>
        <v>3504</v>
      </c>
      <c r="H19" s="1">
        <f t="shared" si="1"/>
        <v>576.31578947368416</v>
      </c>
      <c r="I19" s="3">
        <v>2530</v>
      </c>
      <c r="J19" s="37">
        <f t="shared" si="2"/>
        <v>1458078.9473684211</v>
      </c>
      <c r="K19" s="29">
        <v>13000</v>
      </c>
      <c r="L19" s="64">
        <f t="shared" si="3"/>
        <v>2847000</v>
      </c>
      <c r="M19" s="29">
        <f t="shared" si="5"/>
        <v>1388921.0526315789</v>
      </c>
    </row>
    <row r="20" spans="1:13" x14ac:dyDescent="0.2">
      <c r="A20" s="2"/>
      <c r="B20" s="1" t="s">
        <v>23</v>
      </c>
      <c r="C20" s="1" t="s">
        <v>499</v>
      </c>
      <c r="D20" s="1">
        <v>6.08</v>
      </c>
      <c r="E20" s="1">
        <v>630</v>
      </c>
      <c r="F20" s="1">
        <v>9.5</v>
      </c>
      <c r="G20" s="1">
        <f t="shared" si="4"/>
        <v>5985</v>
      </c>
      <c r="H20" s="1">
        <f t="shared" si="1"/>
        <v>984.375</v>
      </c>
      <c r="I20" s="3">
        <v>2530</v>
      </c>
      <c r="J20" s="37">
        <f t="shared" si="2"/>
        <v>2490468.75</v>
      </c>
      <c r="K20" s="29">
        <v>10000</v>
      </c>
      <c r="L20" s="64">
        <f t="shared" si="3"/>
        <v>6300000</v>
      </c>
      <c r="M20" s="29">
        <f t="shared" si="5"/>
        <v>3809531.25</v>
      </c>
    </row>
    <row r="21" spans="1:13" x14ac:dyDescent="0.2">
      <c r="A21" s="2"/>
      <c r="B21" s="1" t="s">
        <v>7</v>
      </c>
      <c r="C21" s="1" t="s">
        <v>501</v>
      </c>
      <c r="D21" s="1">
        <v>6.08</v>
      </c>
      <c r="E21" s="1">
        <v>200</v>
      </c>
      <c r="F21" s="1">
        <v>21</v>
      </c>
      <c r="G21" s="1">
        <f t="shared" si="4"/>
        <v>4200</v>
      </c>
      <c r="H21" s="1">
        <f t="shared" si="1"/>
        <v>690.78947368421052</v>
      </c>
      <c r="I21" s="3">
        <v>2530</v>
      </c>
      <c r="J21" s="37">
        <f t="shared" si="2"/>
        <v>1747697.3684210526</v>
      </c>
      <c r="K21" s="29">
        <v>18000</v>
      </c>
      <c r="L21" s="64">
        <f t="shared" si="3"/>
        <v>3600000</v>
      </c>
      <c r="M21" s="29">
        <f t="shared" si="5"/>
        <v>1852302.6315789474</v>
      </c>
    </row>
    <row r="22" spans="1:13" x14ac:dyDescent="0.2">
      <c r="A22" s="2"/>
      <c r="B22" s="1" t="s">
        <v>7</v>
      </c>
      <c r="C22" s="1" t="s">
        <v>502</v>
      </c>
      <c r="D22" s="1">
        <v>6.08</v>
      </c>
      <c r="E22" s="1">
        <v>1150</v>
      </c>
      <c r="F22" s="1">
        <v>22</v>
      </c>
      <c r="G22" s="1">
        <f t="shared" si="4"/>
        <v>25300</v>
      </c>
      <c r="H22" s="1">
        <f t="shared" si="1"/>
        <v>4161.1842105263158</v>
      </c>
      <c r="I22" s="3">
        <v>2530</v>
      </c>
      <c r="J22" s="37">
        <f t="shared" si="2"/>
        <v>10527796.052631579</v>
      </c>
      <c r="K22" s="29">
        <v>15000</v>
      </c>
      <c r="L22" s="64">
        <f t="shared" si="3"/>
        <v>17250000</v>
      </c>
      <c r="M22" s="29">
        <f t="shared" si="5"/>
        <v>6722203.9473684207</v>
      </c>
    </row>
    <row r="23" spans="1:13" x14ac:dyDescent="0.2">
      <c r="A23" s="2"/>
      <c r="B23" s="1" t="s">
        <v>7</v>
      </c>
      <c r="C23" s="1" t="s">
        <v>820</v>
      </c>
      <c r="D23" s="1">
        <v>6.08</v>
      </c>
      <c r="E23" s="1">
        <v>200</v>
      </c>
      <c r="F23" s="1">
        <v>26</v>
      </c>
      <c r="G23" s="1">
        <f t="shared" si="4"/>
        <v>5200</v>
      </c>
      <c r="H23" s="1">
        <f t="shared" si="1"/>
        <v>855.26315789473688</v>
      </c>
      <c r="I23" s="3">
        <v>2530</v>
      </c>
      <c r="J23" s="37">
        <f t="shared" si="2"/>
        <v>2163815.789473684</v>
      </c>
      <c r="K23" s="29">
        <v>16000</v>
      </c>
      <c r="L23" s="64">
        <f t="shared" si="3"/>
        <v>3200000</v>
      </c>
      <c r="M23" s="29">
        <f t="shared" si="5"/>
        <v>1036184.210526316</v>
      </c>
    </row>
    <row r="24" spans="1:13" x14ac:dyDescent="0.2">
      <c r="A24" s="2"/>
      <c r="B24" s="1" t="s">
        <v>7</v>
      </c>
      <c r="C24" s="1" t="s">
        <v>821</v>
      </c>
      <c r="D24" s="1">
        <v>6.08</v>
      </c>
      <c r="E24" s="1">
        <v>200</v>
      </c>
      <c r="F24" s="1">
        <v>26</v>
      </c>
      <c r="G24" s="1">
        <f t="shared" si="4"/>
        <v>5200</v>
      </c>
      <c r="H24" s="1">
        <f t="shared" si="1"/>
        <v>855.26315789473688</v>
      </c>
      <c r="I24" s="3">
        <v>2530</v>
      </c>
      <c r="J24" s="37">
        <f t="shared" si="2"/>
        <v>2163815.789473684</v>
      </c>
      <c r="K24" s="29">
        <v>16000</v>
      </c>
      <c r="L24" s="64">
        <f t="shared" si="3"/>
        <v>3200000</v>
      </c>
      <c r="M24" s="29">
        <f t="shared" si="5"/>
        <v>1036184.210526316</v>
      </c>
    </row>
    <row r="25" spans="1:13" x14ac:dyDescent="0.2">
      <c r="A25" s="2"/>
      <c r="B25" s="1" t="s">
        <v>7</v>
      </c>
      <c r="C25" s="1" t="s">
        <v>822</v>
      </c>
      <c r="D25" s="1">
        <v>6.08</v>
      </c>
      <c r="E25" s="1">
        <v>200</v>
      </c>
      <c r="F25" s="1">
        <v>25</v>
      </c>
      <c r="G25" s="1">
        <f t="shared" si="4"/>
        <v>5000</v>
      </c>
      <c r="H25" s="1">
        <f t="shared" si="1"/>
        <v>822.36842105263156</v>
      </c>
      <c r="I25" s="3">
        <v>2530</v>
      </c>
      <c r="J25" s="37">
        <f t="shared" si="2"/>
        <v>2080592.1052631577</v>
      </c>
      <c r="K25" s="29">
        <v>16000</v>
      </c>
      <c r="L25" s="64">
        <f t="shared" si="3"/>
        <v>3200000</v>
      </c>
      <c r="M25" s="29">
        <f t="shared" si="5"/>
        <v>1119407.8947368423</v>
      </c>
    </row>
    <row r="26" spans="1:13" x14ac:dyDescent="0.2">
      <c r="A26" s="2"/>
      <c r="B26" s="1" t="s">
        <v>7</v>
      </c>
      <c r="C26" s="1" t="s">
        <v>823</v>
      </c>
      <c r="D26" s="1">
        <v>6.08</v>
      </c>
      <c r="E26" s="1">
        <v>150</v>
      </c>
      <c r="F26" s="1">
        <v>25</v>
      </c>
      <c r="G26" s="1">
        <f t="shared" si="4"/>
        <v>3750</v>
      </c>
      <c r="H26" s="1">
        <f t="shared" si="1"/>
        <v>616.77631578947364</v>
      </c>
      <c r="I26" s="3">
        <v>2530</v>
      </c>
      <c r="J26" s="37">
        <f t="shared" si="2"/>
        <v>1560444.0789473683</v>
      </c>
      <c r="K26" s="29">
        <v>16000</v>
      </c>
      <c r="L26" s="64">
        <f t="shared" si="3"/>
        <v>2400000</v>
      </c>
      <c r="M26" s="29">
        <f t="shared" si="5"/>
        <v>839555.92105263169</v>
      </c>
    </row>
    <row r="27" spans="1:13" x14ac:dyDescent="0.2">
      <c r="A27" s="2"/>
      <c r="B27" s="1" t="s">
        <v>7</v>
      </c>
      <c r="C27" s="1" t="s">
        <v>825</v>
      </c>
      <c r="D27" s="1">
        <v>6.08</v>
      </c>
      <c r="E27" s="1">
        <v>150</v>
      </c>
      <c r="F27" s="1">
        <v>24</v>
      </c>
      <c r="G27" s="1">
        <f t="shared" si="4"/>
        <v>3600</v>
      </c>
      <c r="H27" s="1">
        <f t="shared" si="1"/>
        <v>592.10526315789468</v>
      </c>
      <c r="I27" s="3">
        <v>2530</v>
      </c>
      <c r="J27" s="37">
        <f t="shared" si="2"/>
        <v>1498026.3157894737</v>
      </c>
      <c r="K27" s="29">
        <v>16000</v>
      </c>
      <c r="L27" s="64">
        <f t="shared" si="3"/>
        <v>2400000</v>
      </c>
      <c r="M27" s="29">
        <f t="shared" si="5"/>
        <v>901973.68421052629</v>
      </c>
    </row>
    <row r="28" spans="1:13" x14ac:dyDescent="0.2">
      <c r="A28" s="2"/>
      <c r="B28" s="1" t="s">
        <v>23</v>
      </c>
      <c r="C28" s="1" t="s">
        <v>859</v>
      </c>
      <c r="D28" s="1">
        <v>6.08</v>
      </c>
      <c r="E28" s="1">
        <v>2930</v>
      </c>
      <c r="F28" s="1">
        <v>20</v>
      </c>
      <c r="G28" s="1">
        <f t="shared" si="4"/>
        <v>58600</v>
      </c>
      <c r="H28" s="1">
        <f t="shared" si="1"/>
        <v>9638.1578947368416</v>
      </c>
      <c r="I28" s="3">
        <v>2530</v>
      </c>
      <c r="J28" s="37">
        <f t="shared" si="2"/>
        <v>24384539.47368421</v>
      </c>
      <c r="K28" s="29">
        <v>14000</v>
      </c>
      <c r="L28" s="64">
        <f t="shared" si="3"/>
        <v>41020000</v>
      </c>
      <c r="M28" s="29">
        <f t="shared" si="5"/>
        <v>16635460.52631579</v>
      </c>
    </row>
    <row r="29" spans="1:13" x14ac:dyDescent="0.2">
      <c r="A29" s="2"/>
      <c r="B29" s="1" t="s">
        <v>7</v>
      </c>
      <c r="C29" s="1" t="s">
        <v>824</v>
      </c>
      <c r="D29" s="1">
        <v>6.08</v>
      </c>
      <c r="E29" s="1">
        <v>150</v>
      </c>
      <c r="F29" s="1">
        <v>24</v>
      </c>
      <c r="G29" s="1">
        <f t="shared" si="4"/>
        <v>3600</v>
      </c>
      <c r="H29" s="1">
        <f t="shared" si="1"/>
        <v>592.10526315789468</v>
      </c>
      <c r="I29" s="3">
        <v>2530</v>
      </c>
      <c r="J29" s="37">
        <f t="shared" si="2"/>
        <v>1498026.3157894737</v>
      </c>
      <c r="K29" s="29">
        <v>16000</v>
      </c>
      <c r="L29" s="64">
        <f t="shared" si="3"/>
        <v>2400000</v>
      </c>
      <c r="M29" s="29">
        <f t="shared" si="5"/>
        <v>901973.68421052629</v>
      </c>
    </row>
    <row r="30" spans="1:13" x14ac:dyDescent="0.2">
      <c r="A30" s="2"/>
      <c r="B30" s="1" t="s">
        <v>7</v>
      </c>
      <c r="C30" s="1" t="s">
        <v>826</v>
      </c>
      <c r="D30" s="1">
        <v>6.08</v>
      </c>
      <c r="E30" s="1">
        <v>150</v>
      </c>
      <c r="F30" s="1">
        <v>24</v>
      </c>
      <c r="G30" s="1">
        <f t="shared" si="4"/>
        <v>3600</v>
      </c>
      <c r="H30" s="1">
        <f t="shared" si="1"/>
        <v>592.10526315789468</v>
      </c>
      <c r="I30" s="3">
        <v>2530</v>
      </c>
      <c r="J30" s="37">
        <f t="shared" si="2"/>
        <v>1498026.3157894737</v>
      </c>
      <c r="K30" s="29">
        <v>16000</v>
      </c>
      <c r="L30" s="64">
        <f t="shared" si="3"/>
        <v>2400000</v>
      </c>
      <c r="M30" s="29">
        <f t="shared" si="5"/>
        <v>901973.68421052629</v>
      </c>
    </row>
    <row r="31" spans="1:13" x14ac:dyDescent="0.2">
      <c r="A31" s="2"/>
      <c r="B31" s="1" t="s">
        <v>7</v>
      </c>
      <c r="C31" s="1" t="s">
        <v>827</v>
      </c>
      <c r="D31" s="1">
        <v>6.08</v>
      </c>
      <c r="E31" s="1">
        <v>150</v>
      </c>
      <c r="F31" s="1">
        <v>24</v>
      </c>
      <c r="G31" s="1">
        <f t="shared" si="4"/>
        <v>3600</v>
      </c>
      <c r="H31" s="1">
        <f t="shared" si="1"/>
        <v>592.10526315789468</v>
      </c>
      <c r="I31" s="3">
        <v>2530</v>
      </c>
      <c r="J31" s="37">
        <f t="shared" si="2"/>
        <v>1498026.3157894737</v>
      </c>
      <c r="K31" s="29">
        <v>16000</v>
      </c>
      <c r="L31" s="64">
        <f t="shared" si="3"/>
        <v>2400000</v>
      </c>
      <c r="M31" s="29">
        <f t="shared" si="5"/>
        <v>901973.68421052629</v>
      </c>
    </row>
    <row r="32" spans="1:13" x14ac:dyDescent="0.2">
      <c r="A32" s="2"/>
      <c r="B32" s="1" t="s">
        <v>7</v>
      </c>
      <c r="C32" s="1" t="s">
        <v>828</v>
      </c>
      <c r="D32" s="1">
        <v>6.08</v>
      </c>
      <c r="E32" s="1">
        <v>200</v>
      </c>
      <c r="F32" s="1">
        <v>24</v>
      </c>
      <c r="G32" s="1">
        <f t="shared" si="4"/>
        <v>4800</v>
      </c>
      <c r="H32" s="1">
        <f t="shared" si="1"/>
        <v>789.47368421052636</v>
      </c>
      <c r="I32" s="3">
        <v>2530</v>
      </c>
      <c r="J32" s="37">
        <f t="shared" si="2"/>
        <v>1997368.4210526317</v>
      </c>
      <c r="K32" s="29">
        <v>16000</v>
      </c>
      <c r="L32" s="64">
        <f t="shared" si="3"/>
        <v>3200000</v>
      </c>
      <c r="M32" s="29">
        <f t="shared" si="5"/>
        <v>1202631.5789473683</v>
      </c>
    </row>
    <row r="33" spans="1:13" x14ac:dyDescent="0.2">
      <c r="A33" s="1"/>
      <c r="B33" s="1"/>
      <c r="C33" s="1"/>
      <c r="D33" s="1"/>
      <c r="E33" s="92">
        <f>SUM(E3:E32)</f>
        <v>11748</v>
      </c>
      <c r="F33" s="1"/>
      <c r="G33" s="86">
        <f>SUM(G3:G32)</f>
        <v>259031</v>
      </c>
      <c r="H33" s="109">
        <f>SUM(H3:H32)</f>
        <v>42603.782894736833</v>
      </c>
      <c r="I33" s="1"/>
      <c r="J33" s="87">
        <f>SUM(J3:J32)</f>
        <v>107787570.72368422</v>
      </c>
      <c r="K33" s="1"/>
      <c r="L33" s="110">
        <f>SUM(L3:L32)</f>
        <v>182809000</v>
      </c>
      <c r="M33" s="20">
        <f>SUM(M3:M32)</f>
        <v>75021429.276315778</v>
      </c>
    </row>
    <row r="41" spans="1:13" x14ac:dyDescent="0.2">
      <c r="J41" t="s">
        <v>829</v>
      </c>
    </row>
    <row r="42" spans="1:13" x14ac:dyDescent="0.2">
      <c r="I42" s="3" t="s">
        <v>25</v>
      </c>
      <c r="J42" s="15">
        <v>107787571</v>
      </c>
      <c r="K42" s="15"/>
    </row>
    <row r="43" spans="1:13" x14ac:dyDescent="0.2">
      <c r="I43" s="3" t="s">
        <v>27</v>
      </c>
      <c r="J43" s="9">
        <v>3000000</v>
      </c>
      <c r="K43" s="9"/>
    </row>
    <row r="44" spans="1:13" x14ac:dyDescent="0.2">
      <c r="I44" s="3" t="s">
        <v>26</v>
      </c>
      <c r="J44" s="3">
        <v>3333000</v>
      </c>
      <c r="K44" s="3"/>
    </row>
    <row r="45" spans="1:13" x14ac:dyDescent="0.2">
      <c r="I45" s="3" t="s">
        <v>33</v>
      </c>
      <c r="J45" s="3">
        <v>2000000</v>
      </c>
      <c r="K45" s="3"/>
    </row>
    <row r="46" spans="1:13" x14ac:dyDescent="0.2">
      <c r="I46" s="3" t="s">
        <v>31</v>
      </c>
      <c r="J46" s="3">
        <v>6350000</v>
      </c>
      <c r="K46" s="3"/>
    </row>
    <row r="47" spans="1:13" x14ac:dyDescent="0.2">
      <c r="I47" s="3" t="s">
        <v>36</v>
      </c>
      <c r="J47" s="3">
        <v>3410000</v>
      </c>
      <c r="K47" s="3"/>
    </row>
    <row r="48" spans="1:13" x14ac:dyDescent="0.2">
      <c r="I48" s="3" t="s">
        <v>29</v>
      </c>
      <c r="J48" s="23">
        <v>12950000</v>
      </c>
      <c r="K48" s="23" t="s">
        <v>245</v>
      </c>
    </row>
    <row r="49" spans="9:11" x14ac:dyDescent="0.2">
      <c r="I49" s="3" t="s">
        <v>34</v>
      </c>
      <c r="J49" s="26">
        <f>SUM(J42:J48)</f>
        <v>138830571</v>
      </c>
      <c r="K49" s="26"/>
    </row>
    <row r="50" spans="9:11" x14ac:dyDescent="0.2">
      <c r="I50" s="3" t="s">
        <v>6</v>
      </c>
      <c r="J50" s="55">
        <v>182809000</v>
      </c>
      <c r="K50" s="55"/>
    </row>
    <row r="51" spans="9:11" ht="18" x14ac:dyDescent="0.35">
      <c r="I51" s="3" t="s">
        <v>35</v>
      </c>
      <c r="J51" s="21">
        <f>J50-J49</f>
        <v>43978429</v>
      </c>
      <c r="K51" s="21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50"/>
  <sheetViews>
    <sheetView topLeftCell="A21" workbookViewId="0"/>
  </sheetViews>
  <sheetFormatPr baseColWidth="10" defaultRowHeight="15" x14ac:dyDescent="0.2"/>
  <cols>
    <col min="10" max="10" width="13.33203125" customWidth="1"/>
    <col min="12" max="12" width="12.1640625" customWidth="1"/>
  </cols>
  <sheetData>
    <row r="1" spans="1:13" ht="31" x14ac:dyDescent="0.35">
      <c r="A1" s="56" t="s">
        <v>1023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2" t="s">
        <v>830</v>
      </c>
      <c r="B3" s="1" t="s">
        <v>7</v>
      </c>
      <c r="C3" s="1" t="s">
        <v>831</v>
      </c>
      <c r="D3" s="1">
        <v>6.03</v>
      </c>
      <c r="E3" s="1">
        <v>150</v>
      </c>
      <c r="F3" s="1">
        <v>26.5</v>
      </c>
      <c r="G3" s="44">
        <f t="shared" ref="G3" si="0">E3*F3</f>
        <v>3975</v>
      </c>
      <c r="H3" s="5">
        <f t="shared" ref="H3:H35" si="1">G3/D3</f>
        <v>659.20398009950247</v>
      </c>
      <c r="I3" s="3">
        <v>2525</v>
      </c>
      <c r="J3" s="3">
        <f t="shared" ref="J3:J35" si="2">F3/D3*I3*E3</f>
        <v>1664490.0497512438</v>
      </c>
      <c r="K3" s="3">
        <v>17000</v>
      </c>
      <c r="L3" s="44">
        <f t="shared" ref="L3:L35" si="3">K3*E3</f>
        <v>2550000</v>
      </c>
      <c r="M3" s="3">
        <f>L3-J3</f>
        <v>885509.95024875621</v>
      </c>
    </row>
    <row r="4" spans="1:13" x14ac:dyDescent="0.2">
      <c r="A4" s="2"/>
      <c r="B4" s="1" t="s">
        <v>253</v>
      </c>
      <c r="C4" s="1" t="s">
        <v>832</v>
      </c>
      <c r="D4" s="1">
        <v>6.03</v>
      </c>
      <c r="E4" s="1">
        <v>150</v>
      </c>
      <c r="F4" s="1">
        <v>26.5</v>
      </c>
      <c r="G4" s="44">
        <f>E4*F4</f>
        <v>3975</v>
      </c>
      <c r="H4" s="5">
        <f>G4/D4</f>
        <v>659.20398009950247</v>
      </c>
      <c r="I4" s="3">
        <v>2525</v>
      </c>
      <c r="J4" s="3">
        <f t="shared" si="2"/>
        <v>1664490.0497512438</v>
      </c>
      <c r="K4" s="3">
        <v>17000</v>
      </c>
      <c r="L4" s="44">
        <f t="shared" si="3"/>
        <v>2550000</v>
      </c>
      <c r="M4" s="3">
        <f>L4-J4</f>
        <v>885509.95024875621</v>
      </c>
    </row>
    <row r="5" spans="1:13" x14ac:dyDescent="0.2">
      <c r="A5" s="2"/>
      <c r="B5" s="1" t="s">
        <v>253</v>
      </c>
      <c r="C5" s="1" t="s">
        <v>833</v>
      </c>
      <c r="D5" s="1">
        <v>6.03</v>
      </c>
      <c r="E5" s="1">
        <v>200</v>
      </c>
      <c r="F5" s="1">
        <v>25</v>
      </c>
      <c r="G5" s="44">
        <f>E5*F5</f>
        <v>5000</v>
      </c>
      <c r="H5" s="5">
        <f>G5/D5</f>
        <v>829.18739635157544</v>
      </c>
      <c r="I5" s="3">
        <v>2525</v>
      </c>
      <c r="J5" s="3">
        <f t="shared" si="2"/>
        <v>2093698.1757877283</v>
      </c>
      <c r="K5" s="3">
        <v>17000</v>
      </c>
      <c r="L5" s="44">
        <f t="shared" si="3"/>
        <v>3400000</v>
      </c>
      <c r="M5" s="3">
        <f>L5-J5</f>
        <v>1306301.8242122717</v>
      </c>
    </row>
    <row r="6" spans="1:13" x14ac:dyDescent="0.2">
      <c r="A6" s="2"/>
      <c r="B6" s="1" t="s">
        <v>253</v>
      </c>
      <c r="C6" s="1" t="s">
        <v>379</v>
      </c>
      <c r="D6" s="1">
        <v>6.03</v>
      </c>
      <c r="E6" s="1">
        <v>200</v>
      </c>
      <c r="F6" s="1">
        <v>26</v>
      </c>
      <c r="G6" s="1">
        <f>E6*F6</f>
        <v>5200</v>
      </c>
      <c r="H6" s="1">
        <f t="shared" si="1"/>
        <v>862.35489220563841</v>
      </c>
      <c r="I6" s="3">
        <v>2525</v>
      </c>
      <c r="J6" s="37">
        <f t="shared" si="2"/>
        <v>2177446.1028192369</v>
      </c>
      <c r="K6" s="3">
        <v>17000</v>
      </c>
      <c r="L6" s="44">
        <f t="shared" si="3"/>
        <v>3400000</v>
      </c>
      <c r="M6" s="3">
        <f>L6-J6</f>
        <v>1222553.8971807631</v>
      </c>
    </row>
    <row r="7" spans="1:13" x14ac:dyDescent="0.2">
      <c r="A7" s="2"/>
      <c r="B7" s="1" t="s">
        <v>253</v>
      </c>
      <c r="C7" s="1">
        <v>7261</v>
      </c>
      <c r="D7" s="1">
        <v>6.03</v>
      </c>
      <c r="E7" s="1">
        <v>200</v>
      </c>
      <c r="F7" s="1">
        <v>30</v>
      </c>
      <c r="G7" s="1">
        <f t="shared" ref="G7:G35" si="4">E7*F7</f>
        <v>6000</v>
      </c>
      <c r="H7" s="1">
        <f t="shared" si="1"/>
        <v>995.02487562189049</v>
      </c>
      <c r="I7" s="3">
        <v>2525</v>
      </c>
      <c r="J7" s="37">
        <f t="shared" si="2"/>
        <v>2512437.8109452734</v>
      </c>
      <c r="K7" s="3">
        <v>20000</v>
      </c>
      <c r="L7" s="44">
        <f t="shared" si="3"/>
        <v>4000000</v>
      </c>
      <c r="M7" s="3">
        <f t="shared" ref="M7:M35" si="5">L7-J7</f>
        <v>1487562.1890547266</v>
      </c>
    </row>
    <row r="8" spans="1:13" x14ac:dyDescent="0.2">
      <c r="A8" s="2"/>
      <c r="B8" s="1" t="s">
        <v>253</v>
      </c>
      <c r="C8" s="1" t="s">
        <v>380</v>
      </c>
      <c r="D8" s="1">
        <v>6.03</v>
      </c>
      <c r="E8" s="1">
        <v>100</v>
      </c>
      <c r="F8" s="1">
        <v>32</v>
      </c>
      <c r="G8" s="1">
        <f>E8*F8</f>
        <v>3200</v>
      </c>
      <c r="H8" s="1">
        <f>G8/D8</f>
        <v>530.67993366500832</v>
      </c>
      <c r="I8" s="3">
        <v>2525</v>
      </c>
      <c r="J8" s="37">
        <f>F8/D8*I8*E8</f>
        <v>1339966.8325041458</v>
      </c>
      <c r="K8" s="29">
        <v>20000</v>
      </c>
      <c r="L8" s="64">
        <f>K8*E8</f>
        <v>2000000</v>
      </c>
      <c r="M8" s="29">
        <f>L8-J8</f>
        <v>660033.1674958542</v>
      </c>
    </row>
    <row r="9" spans="1:13" x14ac:dyDescent="0.2">
      <c r="A9" s="2"/>
      <c r="B9" s="1" t="s">
        <v>7</v>
      </c>
      <c r="C9" s="1" t="s">
        <v>834</v>
      </c>
      <c r="D9" s="1">
        <v>6.03</v>
      </c>
      <c r="E9" s="1">
        <v>200</v>
      </c>
      <c r="F9" s="1">
        <v>21</v>
      </c>
      <c r="G9" s="1">
        <f t="shared" si="4"/>
        <v>4200</v>
      </c>
      <c r="H9" s="1">
        <f t="shared" si="1"/>
        <v>696.51741293532336</v>
      </c>
      <c r="I9" s="3">
        <v>2525</v>
      </c>
      <c r="J9" s="37">
        <f t="shared" si="2"/>
        <v>1758706.4676616916</v>
      </c>
      <c r="K9" s="29">
        <v>16000</v>
      </c>
      <c r="L9" s="64">
        <f t="shared" si="3"/>
        <v>3200000</v>
      </c>
      <c r="M9" s="29">
        <f t="shared" si="5"/>
        <v>1441293.5323383084</v>
      </c>
    </row>
    <row r="10" spans="1:13" x14ac:dyDescent="0.2">
      <c r="A10" s="2"/>
      <c r="B10" s="1" t="s">
        <v>7</v>
      </c>
      <c r="C10" s="1" t="s">
        <v>835</v>
      </c>
      <c r="D10" s="1">
        <v>6.03</v>
      </c>
      <c r="E10" s="1">
        <v>200</v>
      </c>
      <c r="F10" s="1">
        <v>26</v>
      </c>
      <c r="G10" s="1">
        <f t="shared" si="4"/>
        <v>5200</v>
      </c>
      <c r="H10" s="1">
        <f t="shared" si="1"/>
        <v>862.35489220563841</v>
      </c>
      <c r="I10" s="3">
        <v>2525</v>
      </c>
      <c r="J10" s="37">
        <f t="shared" si="2"/>
        <v>2177446.1028192369</v>
      </c>
      <c r="K10" s="29">
        <v>16000</v>
      </c>
      <c r="L10" s="64">
        <f t="shared" si="3"/>
        <v>3200000</v>
      </c>
      <c r="M10" s="29">
        <f t="shared" si="5"/>
        <v>1022553.8971807631</v>
      </c>
    </row>
    <row r="11" spans="1:13" x14ac:dyDescent="0.2">
      <c r="A11" s="1"/>
      <c r="B11" s="1" t="s">
        <v>253</v>
      </c>
      <c r="C11" s="1" t="s">
        <v>836</v>
      </c>
      <c r="D11" s="1">
        <v>6.03</v>
      </c>
      <c r="E11" s="1">
        <v>200</v>
      </c>
      <c r="F11" s="1">
        <v>25</v>
      </c>
      <c r="G11" s="1">
        <f t="shared" si="4"/>
        <v>5000</v>
      </c>
      <c r="H11" s="1">
        <f t="shared" si="1"/>
        <v>829.18739635157544</v>
      </c>
      <c r="I11" s="3">
        <v>2525</v>
      </c>
      <c r="J11" s="37">
        <f t="shared" si="2"/>
        <v>2093698.1757877283</v>
      </c>
      <c r="K11" s="29">
        <v>16000</v>
      </c>
      <c r="L11" s="64">
        <f t="shared" si="3"/>
        <v>3200000</v>
      </c>
      <c r="M11" s="29">
        <f t="shared" si="5"/>
        <v>1106301.8242122717</v>
      </c>
    </row>
    <row r="12" spans="1:13" x14ac:dyDescent="0.2">
      <c r="A12" s="1"/>
      <c r="B12" s="1" t="s">
        <v>253</v>
      </c>
      <c r="C12" s="1" t="s">
        <v>837</v>
      </c>
      <c r="D12" s="1">
        <v>6.03</v>
      </c>
      <c r="E12" s="1">
        <v>200</v>
      </c>
      <c r="F12" s="1">
        <v>26</v>
      </c>
      <c r="G12" s="1">
        <f t="shared" si="4"/>
        <v>5200</v>
      </c>
      <c r="H12" s="1">
        <f t="shared" si="1"/>
        <v>862.35489220563841</v>
      </c>
      <c r="I12" s="3">
        <v>2525</v>
      </c>
      <c r="J12" s="37">
        <f t="shared" si="2"/>
        <v>2177446.1028192369</v>
      </c>
      <c r="K12" s="29">
        <v>16000</v>
      </c>
      <c r="L12" s="64">
        <f t="shared" si="3"/>
        <v>3200000</v>
      </c>
      <c r="M12" s="29">
        <f t="shared" si="5"/>
        <v>1022553.8971807631</v>
      </c>
    </row>
    <row r="13" spans="1:13" x14ac:dyDescent="0.2">
      <c r="A13" s="1"/>
      <c r="B13" s="1" t="s">
        <v>253</v>
      </c>
      <c r="C13" s="1" t="s">
        <v>480</v>
      </c>
      <c r="D13" s="1">
        <v>6.03</v>
      </c>
      <c r="E13" s="1">
        <v>200</v>
      </c>
      <c r="F13" s="1">
        <v>26</v>
      </c>
      <c r="G13" s="1">
        <f t="shared" si="4"/>
        <v>5200</v>
      </c>
      <c r="H13" s="1">
        <f t="shared" si="1"/>
        <v>862.35489220563841</v>
      </c>
      <c r="I13" s="3">
        <v>2525</v>
      </c>
      <c r="J13" s="37">
        <f t="shared" si="2"/>
        <v>2177446.1028192369</v>
      </c>
      <c r="K13" s="29">
        <v>16000</v>
      </c>
      <c r="L13" s="64">
        <f t="shared" si="3"/>
        <v>3200000</v>
      </c>
      <c r="M13" s="29">
        <f t="shared" si="5"/>
        <v>1022553.8971807631</v>
      </c>
    </row>
    <row r="14" spans="1:13" x14ac:dyDescent="0.2">
      <c r="A14" s="1"/>
      <c r="B14" s="1" t="s">
        <v>253</v>
      </c>
      <c r="C14" s="1" t="s">
        <v>838</v>
      </c>
      <c r="D14" s="1">
        <v>6.03</v>
      </c>
      <c r="E14" s="1">
        <v>200</v>
      </c>
      <c r="F14" s="1">
        <v>26</v>
      </c>
      <c r="G14" s="1">
        <f t="shared" si="4"/>
        <v>5200</v>
      </c>
      <c r="H14" s="1">
        <f t="shared" si="1"/>
        <v>862.35489220563841</v>
      </c>
      <c r="I14" s="3">
        <v>2525</v>
      </c>
      <c r="J14" s="37">
        <f t="shared" si="2"/>
        <v>2177446.1028192369</v>
      </c>
      <c r="K14" s="29">
        <v>16000</v>
      </c>
      <c r="L14" s="64">
        <f t="shared" si="3"/>
        <v>3200000</v>
      </c>
      <c r="M14" s="29">
        <f t="shared" si="5"/>
        <v>1022553.8971807631</v>
      </c>
    </row>
    <row r="15" spans="1:13" x14ac:dyDescent="0.2">
      <c r="A15" s="1"/>
      <c r="B15" s="1" t="s">
        <v>253</v>
      </c>
      <c r="C15" s="1" t="s">
        <v>839</v>
      </c>
      <c r="D15" s="1">
        <v>6.03</v>
      </c>
      <c r="E15" s="1">
        <v>200</v>
      </c>
      <c r="F15" s="1">
        <v>26</v>
      </c>
      <c r="G15" s="1">
        <f t="shared" si="4"/>
        <v>5200</v>
      </c>
      <c r="H15" s="1">
        <f t="shared" si="1"/>
        <v>862.35489220563841</v>
      </c>
      <c r="I15" s="3">
        <v>2525</v>
      </c>
      <c r="J15" s="37">
        <f t="shared" si="2"/>
        <v>2177446.1028192369</v>
      </c>
      <c r="K15" s="29">
        <v>16000</v>
      </c>
      <c r="L15" s="64">
        <f t="shared" si="3"/>
        <v>3200000</v>
      </c>
      <c r="M15" s="29">
        <f t="shared" si="5"/>
        <v>1022553.8971807631</v>
      </c>
    </row>
    <row r="16" spans="1:13" x14ac:dyDescent="0.2">
      <c r="A16" s="1"/>
      <c r="B16" s="1" t="s">
        <v>841</v>
      </c>
      <c r="C16" s="1" t="s">
        <v>840</v>
      </c>
      <c r="D16" s="1">
        <v>6.03</v>
      </c>
      <c r="E16" s="1">
        <v>200</v>
      </c>
      <c r="F16" s="1">
        <v>24</v>
      </c>
      <c r="G16" s="1">
        <f t="shared" si="4"/>
        <v>4800</v>
      </c>
      <c r="H16" s="1">
        <f t="shared" si="1"/>
        <v>796.01990049751237</v>
      </c>
      <c r="I16" s="3">
        <v>2525</v>
      </c>
      <c r="J16" s="37">
        <f t="shared" si="2"/>
        <v>2009950.2487562185</v>
      </c>
      <c r="K16" s="29">
        <v>15000</v>
      </c>
      <c r="L16" s="64">
        <f t="shared" si="3"/>
        <v>3000000</v>
      </c>
      <c r="M16" s="29">
        <f t="shared" si="5"/>
        <v>990049.75124378153</v>
      </c>
    </row>
    <row r="17" spans="1:13" x14ac:dyDescent="0.2">
      <c r="A17" s="1"/>
      <c r="B17" s="1" t="s">
        <v>7</v>
      </c>
      <c r="C17" s="1" t="s">
        <v>842</v>
      </c>
      <c r="D17" s="1">
        <v>6.03</v>
      </c>
      <c r="E17" s="1">
        <v>200</v>
      </c>
      <c r="F17" s="1">
        <v>28</v>
      </c>
      <c r="G17" s="1">
        <f t="shared" si="4"/>
        <v>5600</v>
      </c>
      <c r="H17" s="1">
        <f t="shared" si="1"/>
        <v>928.68988391376445</v>
      </c>
      <c r="I17" s="3">
        <v>2525</v>
      </c>
      <c r="J17" s="37">
        <f t="shared" si="2"/>
        <v>2344941.9568822556</v>
      </c>
      <c r="K17" s="29">
        <v>18000</v>
      </c>
      <c r="L17" s="64">
        <f t="shared" si="3"/>
        <v>3600000</v>
      </c>
      <c r="M17" s="29">
        <f t="shared" si="5"/>
        <v>1255058.0431177444</v>
      </c>
    </row>
    <row r="18" spans="1:13" x14ac:dyDescent="0.2">
      <c r="A18" s="1"/>
      <c r="B18" s="1" t="s">
        <v>253</v>
      </c>
      <c r="C18" s="1" t="s">
        <v>843</v>
      </c>
      <c r="D18" s="1">
        <v>6.03</v>
      </c>
      <c r="E18" s="1">
        <v>200</v>
      </c>
      <c r="F18" s="1">
        <v>28</v>
      </c>
      <c r="G18" s="1">
        <f t="shared" si="4"/>
        <v>5600</v>
      </c>
      <c r="H18" s="1">
        <f t="shared" si="1"/>
        <v>928.68988391376445</v>
      </c>
      <c r="I18" s="3">
        <v>2525</v>
      </c>
      <c r="J18" s="37">
        <f t="shared" si="2"/>
        <v>2344941.9568822556</v>
      </c>
      <c r="K18" s="29">
        <v>18000</v>
      </c>
      <c r="L18" s="64">
        <f t="shared" si="3"/>
        <v>3600000</v>
      </c>
      <c r="M18" s="29">
        <f t="shared" si="5"/>
        <v>1255058.0431177444</v>
      </c>
    </row>
    <row r="19" spans="1:13" x14ac:dyDescent="0.2">
      <c r="A19" s="1"/>
      <c r="B19" s="1" t="s">
        <v>253</v>
      </c>
      <c r="C19" s="1" t="s">
        <v>844</v>
      </c>
      <c r="D19" s="1">
        <v>6.03</v>
      </c>
      <c r="E19" s="1">
        <v>150</v>
      </c>
      <c r="F19" s="1">
        <v>27</v>
      </c>
      <c r="G19" s="1">
        <f t="shared" si="4"/>
        <v>4050</v>
      </c>
      <c r="H19" s="1">
        <f t="shared" si="1"/>
        <v>671.64179104477614</v>
      </c>
      <c r="I19" s="3">
        <v>2525</v>
      </c>
      <c r="J19" s="37">
        <f t="shared" si="2"/>
        <v>1695895.5223880594</v>
      </c>
      <c r="K19" s="29">
        <v>18000</v>
      </c>
      <c r="L19" s="64">
        <f t="shared" si="3"/>
        <v>2700000</v>
      </c>
      <c r="M19" s="29">
        <f t="shared" si="5"/>
        <v>1004104.4776119406</v>
      </c>
    </row>
    <row r="20" spans="1:13" x14ac:dyDescent="0.2">
      <c r="A20" s="1"/>
      <c r="B20" s="1" t="s">
        <v>253</v>
      </c>
      <c r="C20" s="1" t="s">
        <v>845</v>
      </c>
      <c r="D20" s="1">
        <v>6.03</v>
      </c>
      <c r="E20" s="1">
        <v>150</v>
      </c>
      <c r="F20" s="1">
        <v>27</v>
      </c>
      <c r="G20" s="1">
        <f t="shared" si="4"/>
        <v>4050</v>
      </c>
      <c r="H20" s="1">
        <f t="shared" si="1"/>
        <v>671.64179104477614</v>
      </c>
      <c r="I20" s="3">
        <v>2525</v>
      </c>
      <c r="J20" s="37">
        <f t="shared" si="2"/>
        <v>1695895.5223880594</v>
      </c>
      <c r="K20" s="29">
        <v>18000</v>
      </c>
      <c r="L20" s="64">
        <f t="shared" si="3"/>
        <v>2700000</v>
      </c>
      <c r="M20" s="29">
        <f t="shared" si="5"/>
        <v>1004104.4776119406</v>
      </c>
    </row>
    <row r="21" spans="1:13" x14ac:dyDescent="0.2">
      <c r="A21" s="1"/>
      <c r="B21" s="1" t="s">
        <v>253</v>
      </c>
      <c r="C21" s="1" t="s">
        <v>846</v>
      </c>
      <c r="D21" s="1">
        <v>6.03</v>
      </c>
      <c r="E21" s="1">
        <v>150</v>
      </c>
      <c r="F21" s="1">
        <v>27</v>
      </c>
      <c r="G21" s="1">
        <f t="shared" si="4"/>
        <v>4050</v>
      </c>
      <c r="H21" s="1">
        <f t="shared" si="1"/>
        <v>671.64179104477614</v>
      </c>
      <c r="I21" s="3">
        <v>2525</v>
      </c>
      <c r="J21" s="37">
        <f t="shared" si="2"/>
        <v>1695895.5223880594</v>
      </c>
      <c r="K21" s="29">
        <v>18000</v>
      </c>
      <c r="L21" s="64">
        <f t="shared" si="3"/>
        <v>2700000</v>
      </c>
      <c r="M21" s="29">
        <f t="shared" si="5"/>
        <v>1004104.4776119406</v>
      </c>
    </row>
    <row r="22" spans="1:13" x14ac:dyDescent="0.2">
      <c r="A22" s="1"/>
      <c r="B22" s="1" t="s">
        <v>15</v>
      </c>
      <c r="C22" s="1" t="s">
        <v>847</v>
      </c>
      <c r="D22" s="1">
        <v>6.03</v>
      </c>
      <c r="E22" s="1">
        <v>150</v>
      </c>
      <c r="F22" s="1">
        <v>27</v>
      </c>
      <c r="G22" s="1">
        <f t="shared" si="4"/>
        <v>4050</v>
      </c>
      <c r="H22" s="1">
        <f t="shared" si="1"/>
        <v>671.64179104477614</v>
      </c>
      <c r="I22" s="3">
        <v>2525</v>
      </c>
      <c r="J22" s="37">
        <f t="shared" si="2"/>
        <v>1695895.5223880594</v>
      </c>
      <c r="K22" s="29">
        <v>17000</v>
      </c>
      <c r="L22" s="64">
        <f t="shared" si="3"/>
        <v>2550000</v>
      </c>
      <c r="M22" s="29">
        <f t="shared" si="5"/>
        <v>854104.47761194059</v>
      </c>
    </row>
    <row r="23" spans="1:13" x14ac:dyDescent="0.2">
      <c r="A23" s="1"/>
      <c r="B23" s="1" t="s">
        <v>253</v>
      </c>
      <c r="C23" s="1" t="s">
        <v>848</v>
      </c>
      <c r="D23" s="1">
        <v>6.03</v>
      </c>
      <c r="E23" s="1">
        <v>150</v>
      </c>
      <c r="F23" s="1">
        <v>27</v>
      </c>
      <c r="G23" s="1">
        <f t="shared" si="4"/>
        <v>4050</v>
      </c>
      <c r="H23" s="1">
        <f t="shared" si="1"/>
        <v>671.64179104477614</v>
      </c>
      <c r="I23" s="3">
        <v>2525</v>
      </c>
      <c r="J23" s="37">
        <f t="shared" si="2"/>
        <v>1695895.5223880594</v>
      </c>
      <c r="K23" s="29">
        <v>17000</v>
      </c>
      <c r="L23" s="64">
        <f t="shared" si="3"/>
        <v>2550000</v>
      </c>
      <c r="M23" s="29">
        <f t="shared" si="5"/>
        <v>854104.47761194059</v>
      </c>
    </row>
    <row r="24" spans="1:13" x14ac:dyDescent="0.2">
      <c r="A24" s="1"/>
      <c r="B24" s="1" t="s">
        <v>7</v>
      </c>
      <c r="C24" s="1" t="s">
        <v>849</v>
      </c>
      <c r="D24" s="1">
        <v>6.03</v>
      </c>
      <c r="E24" s="1">
        <v>200</v>
      </c>
      <c r="F24" s="1">
        <v>22</v>
      </c>
      <c r="G24" s="1">
        <f t="shared" si="4"/>
        <v>4400</v>
      </c>
      <c r="H24" s="1">
        <f t="shared" si="1"/>
        <v>729.68490878938633</v>
      </c>
      <c r="I24" s="3">
        <v>2525</v>
      </c>
      <c r="J24" s="37">
        <f t="shared" si="2"/>
        <v>1842454.3946932005</v>
      </c>
      <c r="K24" s="29">
        <v>16000</v>
      </c>
      <c r="L24" s="64">
        <f t="shared" si="3"/>
        <v>3200000</v>
      </c>
      <c r="M24" s="29">
        <f t="shared" si="5"/>
        <v>1357545.6053067995</v>
      </c>
    </row>
    <row r="25" spans="1:13" x14ac:dyDescent="0.2">
      <c r="A25" s="1"/>
      <c r="B25" s="1" t="s">
        <v>7</v>
      </c>
      <c r="C25" s="1" t="s">
        <v>850</v>
      </c>
      <c r="D25" s="1">
        <v>6.03</v>
      </c>
      <c r="E25" s="1">
        <v>1463</v>
      </c>
      <c r="F25" s="1">
        <v>22</v>
      </c>
      <c r="G25" s="1">
        <f t="shared" si="4"/>
        <v>32186</v>
      </c>
      <c r="H25" s="1">
        <f t="shared" si="1"/>
        <v>5337.6451077943611</v>
      </c>
      <c r="I25" s="3">
        <v>2525</v>
      </c>
      <c r="J25" s="37">
        <f t="shared" si="2"/>
        <v>13477553.897180762</v>
      </c>
      <c r="K25" s="29">
        <v>15000</v>
      </c>
      <c r="L25" s="64">
        <f t="shared" si="3"/>
        <v>21945000</v>
      </c>
      <c r="M25" s="29">
        <f t="shared" si="5"/>
        <v>8467446.1028192379</v>
      </c>
    </row>
    <row r="26" spans="1:13" x14ac:dyDescent="0.2">
      <c r="A26" s="1"/>
      <c r="B26" s="1" t="s">
        <v>7</v>
      </c>
      <c r="C26" s="1" t="s">
        <v>253</v>
      </c>
      <c r="D26" s="1">
        <v>6.03</v>
      </c>
      <c r="E26" s="1">
        <v>130</v>
      </c>
      <c r="F26" s="1">
        <v>23</v>
      </c>
      <c r="G26" s="1">
        <f t="shared" si="4"/>
        <v>2990</v>
      </c>
      <c r="H26" s="1">
        <f t="shared" si="1"/>
        <v>495.85406301824213</v>
      </c>
      <c r="I26" s="3">
        <v>2525</v>
      </c>
      <c r="J26" s="37">
        <f t="shared" si="2"/>
        <v>1252031.5091210613</v>
      </c>
      <c r="K26" s="29">
        <v>16000</v>
      </c>
      <c r="L26" s="64">
        <f t="shared" si="3"/>
        <v>2080000</v>
      </c>
      <c r="M26" s="29">
        <f t="shared" si="5"/>
        <v>827968.4908789387</v>
      </c>
    </row>
    <row r="27" spans="1:13" x14ac:dyDescent="0.2">
      <c r="A27" s="1"/>
      <c r="B27" s="1" t="s">
        <v>253</v>
      </c>
      <c r="C27" s="1" t="s">
        <v>851</v>
      </c>
      <c r="D27" s="1">
        <v>6.03</v>
      </c>
      <c r="E27" s="1">
        <v>50</v>
      </c>
      <c r="F27" s="1">
        <v>20</v>
      </c>
      <c r="G27" s="1">
        <f t="shared" si="4"/>
        <v>1000</v>
      </c>
      <c r="H27" s="1">
        <f t="shared" si="1"/>
        <v>165.83747927031507</v>
      </c>
      <c r="I27" s="3">
        <v>2525</v>
      </c>
      <c r="J27" s="37">
        <f t="shared" si="2"/>
        <v>418739.63515754556</v>
      </c>
      <c r="K27" s="29">
        <v>16000</v>
      </c>
      <c r="L27" s="64">
        <f t="shared" si="3"/>
        <v>800000</v>
      </c>
      <c r="M27" s="29">
        <f t="shared" si="5"/>
        <v>381260.36484245444</v>
      </c>
    </row>
    <row r="28" spans="1:13" x14ac:dyDescent="0.2">
      <c r="A28" s="1"/>
      <c r="B28" s="1" t="s">
        <v>23</v>
      </c>
      <c r="C28" s="1" t="s">
        <v>852</v>
      </c>
      <c r="D28" s="1">
        <v>6.03</v>
      </c>
      <c r="E28" s="1">
        <v>214</v>
      </c>
      <c r="F28" s="1">
        <v>18</v>
      </c>
      <c r="G28" s="1">
        <f t="shared" si="4"/>
        <v>3852</v>
      </c>
      <c r="H28" s="1">
        <f t="shared" si="1"/>
        <v>638.80597014925365</v>
      </c>
      <c r="I28" s="3">
        <v>2525</v>
      </c>
      <c r="J28" s="37">
        <f t="shared" si="2"/>
        <v>1612985.0746268656</v>
      </c>
      <c r="K28" s="29">
        <v>15000</v>
      </c>
      <c r="L28" s="64">
        <f t="shared" si="3"/>
        <v>3210000</v>
      </c>
      <c r="M28" s="29">
        <f t="shared" si="5"/>
        <v>1597014.9253731344</v>
      </c>
    </row>
    <row r="29" spans="1:13" x14ac:dyDescent="0.2">
      <c r="A29" s="1"/>
      <c r="B29" s="1" t="s">
        <v>23</v>
      </c>
      <c r="C29" s="1" t="s">
        <v>853</v>
      </c>
      <c r="D29" s="1">
        <v>6.03</v>
      </c>
      <c r="E29" s="1">
        <v>94</v>
      </c>
      <c r="F29" s="1">
        <v>18</v>
      </c>
      <c r="G29" s="1">
        <f t="shared" si="4"/>
        <v>1692</v>
      </c>
      <c r="H29" s="1">
        <f t="shared" si="1"/>
        <v>280.59701492537312</v>
      </c>
      <c r="I29" s="3">
        <v>2525</v>
      </c>
      <c r="J29" s="37">
        <f t="shared" si="2"/>
        <v>708507.4626865671</v>
      </c>
      <c r="K29" s="29">
        <v>13000</v>
      </c>
      <c r="L29" s="64">
        <f t="shared" si="3"/>
        <v>1222000</v>
      </c>
      <c r="M29" s="29">
        <f t="shared" si="5"/>
        <v>513492.5373134329</v>
      </c>
    </row>
    <row r="30" spans="1:13" x14ac:dyDescent="0.2">
      <c r="A30" s="1"/>
      <c r="B30" s="1" t="s">
        <v>7</v>
      </c>
      <c r="C30" s="1" t="s">
        <v>460</v>
      </c>
      <c r="D30" s="1">
        <v>6.03</v>
      </c>
      <c r="E30" s="1">
        <v>200</v>
      </c>
      <c r="F30" s="1">
        <v>25</v>
      </c>
      <c r="G30" s="1">
        <f t="shared" si="4"/>
        <v>5000</v>
      </c>
      <c r="H30" s="1">
        <f t="shared" si="1"/>
        <v>829.18739635157544</v>
      </c>
      <c r="I30" s="3">
        <v>2525</v>
      </c>
      <c r="J30" s="37">
        <f t="shared" si="2"/>
        <v>2093698.1757877283</v>
      </c>
      <c r="K30" s="29">
        <v>17000</v>
      </c>
      <c r="L30" s="64">
        <f t="shared" si="3"/>
        <v>3400000</v>
      </c>
      <c r="M30" s="29">
        <f t="shared" si="5"/>
        <v>1306301.8242122717</v>
      </c>
    </row>
    <row r="31" spans="1:13" x14ac:dyDescent="0.2">
      <c r="A31" s="1"/>
      <c r="B31" s="1" t="s">
        <v>68</v>
      </c>
      <c r="C31" s="1" t="s">
        <v>854</v>
      </c>
      <c r="D31" s="1">
        <v>6.03</v>
      </c>
      <c r="E31" s="1">
        <v>310</v>
      </c>
      <c r="F31" s="1">
        <v>30</v>
      </c>
      <c r="G31" s="1">
        <f t="shared" si="4"/>
        <v>9300</v>
      </c>
      <c r="H31" s="1">
        <f t="shared" si="1"/>
        <v>1542.2885572139303</v>
      </c>
      <c r="I31" s="3">
        <v>2525</v>
      </c>
      <c r="J31" s="37">
        <f t="shared" si="2"/>
        <v>3894278.6069651735</v>
      </c>
      <c r="K31" s="29">
        <v>18000</v>
      </c>
      <c r="L31" s="64">
        <f t="shared" si="3"/>
        <v>5580000</v>
      </c>
      <c r="M31" s="29">
        <f t="shared" si="5"/>
        <v>1685721.3930348265</v>
      </c>
    </row>
    <row r="32" spans="1:13" x14ac:dyDescent="0.2">
      <c r="A32" s="1"/>
      <c r="B32" s="1" t="s">
        <v>23</v>
      </c>
      <c r="C32" s="1" t="s">
        <v>855</v>
      </c>
      <c r="D32" s="1">
        <v>6.03</v>
      </c>
      <c r="E32" s="1">
        <v>61</v>
      </c>
      <c r="F32" s="1">
        <v>15</v>
      </c>
      <c r="G32" s="1">
        <f t="shared" si="4"/>
        <v>915</v>
      </c>
      <c r="H32" s="1">
        <f t="shared" si="1"/>
        <v>151.74129353233829</v>
      </c>
      <c r="I32" s="3">
        <v>2525</v>
      </c>
      <c r="J32" s="37">
        <f t="shared" si="2"/>
        <v>383146.7661691542</v>
      </c>
      <c r="K32" s="29">
        <v>12000</v>
      </c>
      <c r="L32" s="64">
        <f t="shared" si="3"/>
        <v>732000</v>
      </c>
      <c r="M32" s="29">
        <f t="shared" si="5"/>
        <v>348853.2338308458</v>
      </c>
    </row>
    <row r="33" spans="1:13" x14ac:dyDescent="0.2">
      <c r="A33" s="1"/>
      <c r="B33" s="1" t="s">
        <v>23</v>
      </c>
      <c r="C33" s="1" t="s">
        <v>856</v>
      </c>
      <c r="D33" s="1">
        <v>6.03</v>
      </c>
      <c r="E33" s="1">
        <v>100</v>
      </c>
      <c r="F33" s="1">
        <v>16</v>
      </c>
      <c r="G33" s="1">
        <f t="shared" si="4"/>
        <v>1600</v>
      </c>
      <c r="H33" s="1">
        <f t="shared" si="1"/>
        <v>265.33996683250416</v>
      </c>
      <c r="I33" s="3">
        <v>2525</v>
      </c>
      <c r="J33" s="37">
        <f t="shared" si="2"/>
        <v>669983.4162520729</v>
      </c>
      <c r="K33" s="29">
        <v>13000</v>
      </c>
      <c r="L33" s="64">
        <f t="shared" si="3"/>
        <v>1300000</v>
      </c>
      <c r="M33" s="29">
        <f t="shared" si="5"/>
        <v>630016.5837479271</v>
      </c>
    </row>
    <row r="34" spans="1:13" x14ac:dyDescent="0.2">
      <c r="A34" s="1"/>
      <c r="B34" s="1" t="s">
        <v>23</v>
      </c>
      <c r="C34" s="1" t="s">
        <v>857</v>
      </c>
      <c r="D34" s="1">
        <v>6.03</v>
      </c>
      <c r="E34" s="1">
        <v>178</v>
      </c>
      <c r="F34" s="1">
        <v>20</v>
      </c>
      <c r="G34" s="1">
        <f t="shared" si="4"/>
        <v>3560</v>
      </c>
      <c r="H34" s="1">
        <f t="shared" si="1"/>
        <v>590.38142620232168</v>
      </c>
      <c r="I34" s="3">
        <v>2525</v>
      </c>
      <c r="J34" s="37">
        <f t="shared" si="2"/>
        <v>1490713.1011608623</v>
      </c>
      <c r="K34" s="29">
        <v>18000</v>
      </c>
      <c r="L34" s="64">
        <f t="shared" si="3"/>
        <v>3204000</v>
      </c>
      <c r="M34" s="29">
        <f t="shared" si="5"/>
        <v>1713286.8988391377</v>
      </c>
    </row>
    <row r="35" spans="1:13" x14ac:dyDescent="0.2">
      <c r="A35" s="1"/>
      <c r="B35" s="1" t="s">
        <v>23</v>
      </c>
      <c r="C35" s="1" t="s">
        <v>858</v>
      </c>
      <c r="D35" s="1">
        <v>6.03</v>
      </c>
      <c r="E35" s="1">
        <v>1772</v>
      </c>
      <c r="F35" s="1">
        <v>20</v>
      </c>
      <c r="G35" s="1">
        <f t="shared" si="4"/>
        <v>35440</v>
      </c>
      <c r="H35" s="1">
        <f t="shared" si="1"/>
        <v>5877.2802653399667</v>
      </c>
      <c r="I35" s="3">
        <v>2525</v>
      </c>
      <c r="J35" s="37">
        <f t="shared" si="2"/>
        <v>14840132.669983415</v>
      </c>
      <c r="K35" s="29">
        <v>15000</v>
      </c>
      <c r="L35" s="64">
        <f t="shared" si="3"/>
        <v>26580000</v>
      </c>
      <c r="M35" s="29">
        <f t="shared" si="5"/>
        <v>11739867.330016585</v>
      </c>
    </row>
    <row r="36" spans="1:13" x14ac:dyDescent="0.2">
      <c r="E36" s="7">
        <f>SUM(E3:E35)</f>
        <v>8522</v>
      </c>
      <c r="H36" s="96">
        <f>SUM(H3:H35)</f>
        <v>33289.386401326701</v>
      </c>
      <c r="J36" s="97">
        <f>SUM(J3:J35)</f>
        <v>84055700.663349912</v>
      </c>
      <c r="L36" s="95">
        <f>SUM(L3:L35)</f>
        <v>136953000</v>
      </c>
      <c r="M36" s="48">
        <f>SUM(M3:M35)</f>
        <v>52897299.336650081</v>
      </c>
    </row>
    <row r="41" spans="1:13" x14ac:dyDescent="0.2">
      <c r="I41" s="3" t="s">
        <v>25</v>
      </c>
      <c r="J41" s="15">
        <v>84055701</v>
      </c>
      <c r="K41" s="15"/>
    </row>
    <row r="42" spans="1:13" x14ac:dyDescent="0.2">
      <c r="I42" s="3" t="s">
        <v>27</v>
      </c>
      <c r="J42" s="9">
        <v>2552000</v>
      </c>
      <c r="K42" s="9"/>
    </row>
    <row r="43" spans="1:13" x14ac:dyDescent="0.2">
      <c r="I43" s="3" t="s">
        <v>26</v>
      </c>
      <c r="J43" s="3">
        <v>2925000</v>
      </c>
      <c r="K43" s="3"/>
    </row>
    <row r="44" spans="1:13" x14ac:dyDescent="0.2">
      <c r="I44" s="3" t="s">
        <v>33</v>
      </c>
      <c r="J44" s="3">
        <v>2000000</v>
      </c>
      <c r="K44" s="3"/>
    </row>
    <row r="45" spans="1:13" x14ac:dyDescent="0.2">
      <c r="I45" s="3" t="s">
        <v>31</v>
      </c>
      <c r="J45" s="3">
        <v>6350000</v>
      </c>
      <c r="K45" s="3"/>
    </row>
    <row r="46" spans="1:13" x14ac:dyDescent="0.2">
      <c r="I46" s="3" t="s">
        <v>36</v>
      </c>
      <c r="J46" s="3">
        <v>3410000</v>
      </c>
      <c r="K46" s="3"/>
    </row>
    <row r="47" spans="1:13" x14ac:dyDescent="0.2">
      <c r="I47" s="3" t="s">
        <v>29</v>
      </c>
      <c r="J47" s="23">
        <v>5290000</v>
      </c>
      <c r="K47" s="23" t="s">
        <v>245</v>
      </c>
    </row>
    <row r="48" spans="1:13" x14ac:dyDescent="0.2">
      <c r="I48" s="3" t="s">
        <v>34</v>
      </c>
      <c r="J48" s="26">
        <f>SUM(J41:J47)</f>
        <v>106582701</v>
      </c>
      <c r="K48" s="26"/>
    </row>
    <row r="49" spans="9:11" x14ac:dyDescent="0.2">
      <c r="I49" s="3" t="s">
        <v>6</v>
      </c>
      <c r="J49" s="55">
        <v>136953000</v>
      </c>
      <c r="K49" s="55"/>
    </row>
    <row r="50" spans="9:11" ht="18" x14ac:dyDescent="0.35">
      <c r="I50" s="3" t="s">
        <v>35</v>
      </c>
      <c r="J50" s="21">
        <f>J49-J48</f>
        <v>30370299</v>
      </c>
      <c r="K50" s="21"/>
    </row>
  </sheetData>
  <phoneticPr fontId="33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103"/>
  <sheetViews>
    <sheetView topLeftCell="A39" workbookViewId="0">
      <selection activeCell="N47" sqref="N47"/>
    </sheetView>
  </sheetViews>
  <sheetFormatPr baseColWidth="10" defaultRowHeight="15" x14ac:dyDescent="0.2"/>
  <cols>
    <col min="3" max="3" width="15.1640625" customWidth="1"/>
    <col min="10" max="10" width="14.6640625" customWidth="1"/>
    <col min="12" max="12" width="13.6640625" customWidth="1"/>
    <col min="13" max="13" width="13.1640625" customWidth="1"/>
  </cols>
  <sheetData>
    <row r="1" spans="1:13" ht="31" x14ac:dyDescent="0.35">
      <c r="A1" s="56" t="s">
        <v>922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2" t="s">
        <v>862</v>
      </c>
      <c r="B3" s="1" t="s">
        <v>7</v>
      </c>
      <c r="C3" s="1" t="s">
        <v>831</v>
      </c>
      <c r="D3" s="1">
        <v>6.12</v>
      </c>
      <c r="E3" s="1">
        <v>300</v>
      </c>
      <c r="F3" s="1">
        <v>26</v>
      </c>
      <c r="G3" s="44">
        <f t="shared" ref="G3" si="0">E3*F3</f>
        <v>7800</v>
      </c>
      <c r="H3" s="5">
        <f t="shared" ref="H3:H7" si="1">G3/D3</f>
        <v>1274.5098039215686</v>
      </c>
      <c r="I3" s="3">
        <v>2535</v>
      </c>
      <c r="J3" s="3">
        <f t="shared" ref="J3:J7" si="2">F3/D3*I3*E3</f>
        <v>3230882.3529411764</v>
      </c>
      <c r="K3" s="3">
        <v>17000</v>
      </c>
      <c r="L3" s="44">
        <f t="shared" ref="L3:L7" si="3">K3*E3</f>
        <v>5100000</v>
      </c>
      <c r="M3" s="3">
        <f>L3-J3</f>
        <v>1869117.6470588236</v>
      </c>
    </row>
    <row r="4" spans="1:13" x14ac:dyDescent="0.2">
      <c r="A4" s="2"/>
      <c r="B4" s="1" t="s">
        <v>253</v>
      </c>
      <c r="C4" s="1" t="s">
        <v>380</v>
      </c>
      <c r="D4" s="1">
        <v>6.12</v>
      </c>
      <c r="E4" s="1">
        <v>200</v>
      </c>
      <c r="F4" s="1">
        <v>32</v>
      </c>
      <c r="G4" s="44">
        <f>E4*F4</f>
        <v>6400</v>
      </c>
      <c r="H4" s="5">
        <f>G4/D4</f>
        <v>1045.751633986928</v>
      </c>
      <c r="I4" s="3">
        <v>2535</v>
      </c>
      <c r="J4" s="3">
        <f t="shared" si="2"/>
        <v>2650980.3921568631</v>
      </c>
      <c r="K4" s="3">
        <v>20000</v>
      </c>
      <c r="L4" s="44">
        <f t="shared" si="3"/>
        <v>4000000</v>
      </c>
      <c r="M4" s="3">
        <f>L4-J4</f>
        <v>1349019.6078431369</v>
      </c>
    </row>
    <row r="5" spans="1:13" x14ac:dyDescent="0.2">
      <c r="A5" s="2"/>
      <c r="B5" s="1" t="s">
        <v>253</v>
      </c>
      <c r="C5" s="1" t="s">
        <v>833</v>
      </c>
      <c r="D5" s="1">
        <v>6.12</v>
      </c>
      <c r="E5" s="1">
        <v>100</v>
      </c>
      <c r="F5" s="1">
        <v>30</v>
      </c>
      <c r="G5" s="44">
        <f>E5*F5</f>
        <v>3000</v>
      </c>
      <c r="H5" s="5">
        <f>G5/D5</f>
        <v>490.19607843137254</v>
      </c>
      <c r="I5" s="3">
        <v>2535</v>
      </c>
      <c r="J5" s="3">
        <f t="shared" si="2"/>
        <v>1242647.0588235296</v>
      </c>
      <c r="K5" s="3">
        <v>17000</v>
      </c>
      <c r="L5" s="44">
        <f t="shared" si="3"/>
        <v>1700000</v>
      </c>
      <c r="M5" s="3">
        <f>L5-J5</f>
        <v>457352.94117647037</v>
      </c>
    </row>
    <row r="6" spans="1:13" x14ac:dyDescent="0.2">
      <c r="A6" s="2"/>
      <c r="B6" s="1" t="s">
        <v>253</v>
      </c>
      <c r="C6" s="1" t="s">
        <v>833</v>
      </c>
      <c r="D6" s="1">
        <v>6.12</v>
      </c>
      <c r="E6" s="1">
        <v>200</v>
      </c>
      <c r="F6" s="1">
        <v>25</v>
      </c>
      <c r="G6" s="1">
        <f>E6*F6</f>
        <v>5000</v>
      </c>
      <c r="H6" s="1">
        <f t="shared" si="1"/>
        <v>816.99346405228755</v>
      </c>
      <c r="I6" s="3">
        <v>2535</v>
      </c>
      <c r="J6" s="37">
        <f t="shared" si="2"/>
        <v>2071078.4313725489</v>
      </c>
      <c r="K6" s="3">
        <v>17000</v>
      </c>
      <c r="L6" s="44">
        <f t="shared" si="3"/>
        <v>3400000</v>
      </c>
      <c r="M6" s="3">
        <f>L6-J6</f>
        <v>1328921.5686274511</v>
      </c>
    </row>
    <row r="7" spans="1:13" x14ac:dyDescent="0.2">
      <c r="A7" s="2"/>
      <c r="B7" s="1" t="s">
        <v>253</v>
      </c>
      <c r="C7" s="1" t="s">
        <v>379</v>
      </c>
      <c r="D7" s="1">
        <v>6.12</v>
      </c>
      <c r="E7" s="1">
        <v>200</v>
      </c>
      <c r="F7" s="1">
        <v>30</v>
      </c>
      <c r="G7" s="1">
        <f t="shared" ref="G7" si="4">E7*F7</f>
        <v>6000</v>
      </c>
      <c r="H7" s="1">
        <f t="shared" si="1"/>
        <v>980.39215686274508</v>
      </c>
      <c r="I7" s="3">
        <v>2535</v>
      </c>
      <c r="J7" s="37">
        <f t="shared" si="2"/>
        <v>2485294.1176470593</v>
      </c>
      <c r="K7" s="3">
        <v>20000</v>
      </c>
      <c r="L7" s="44">
        <f t="shared" si="3"/>
        <v>4000000</v>
      </c>
      <c r="M7" s="3">
        <f t="shared" ref="M7:M58" si="5">L7-J7</f>
        <v>1514705.8823529407</v>
      </c>
    </row>
    <row r="8" spans="1:13" x14ac:dyDescent="0.2">
      <c r="A8" s="2"/>
      <c r="B8" s="1" t="s">
        <v>7</v>
      </c>
      <c r="C8" s="1" t="s">
        <v>863</v>
      </c>
      <c r="D8" s="1">
        <v>6.12</v>
      </c>
      <c r="E8" s="1">
        <v>200</v>
      </c>
      <c r="F8" s="1">
        <v>24</v>
      </c>
      <c r="G8" s="1">
        <f t="shared" ref="G8:G58" si="6">E8*F8</f>
        <v>4800</v>
      </c>
      <c r="H8" s="1">
        <f t="shared" ref="H8:H58" si="7">G8/D8</f>
        <v>784.31372549019602</v>
      </c>
      <c r="I8" s="3">
        <v>2535</v>
      </c>
      <c r="J8" s="37">
        <f t="shared" ref="J8:J58" si="8">F8/D8*I8*E8</f>
        <v>1988235.2941176468</v>
      </c>
      <c r="K8" s="29">
        <v>16000</v>
      </c>
      <c r="L8" s="64">
        <f t="shared" ref="L8:L58" si="9">K8*E8</f>
        <v>3200000</v>
      </c>
      <c r="M8" s="29">
        <f>L8-J8</f>
        <v>1211764.7058823532</v>
      </c>
    </row>
    <row r="9" spans="1:13" x14ac:dyDescent="0.2">
      <c r="A9" s="2"/>
      <c r="B9" s="1" t="s">
        <v>7</v>
      </c>
      <c r="C9" s="1" t="s">
        <v>864</v>
      </c>
      <c r="D9" s="1">
        <v>6.12</v>
      </c>
      <c r="E9" s="1">
        <v>200</v>
      </c>
      <c r="F9" s="1">
        <v>24</v>
      </c>
      <c r="G9" s="1">
        <f t="shared" si="6"/>
        <v>4800</v>
      </c>
      <c r="H9" s="1">
        <f t="shared" si="7"/>
        <v>784.31372549019602</v>
      </c>
      <c r="I9" s="3">
        <v>2535</v>
      </c>
      <c r="J9" s="37">
        <f t="shared" si="8"/>
        <v>1988235.2941176468</v>
      </c>
      <c r="K9" s="29">
        <v>16000</v>
      </c>
      <c r="L9" s="64">
        <f t="shared" si="9"/>
        <v>3200000</v>
      </c>
      <c r="M9" s="29">
        <f t="shared" si="5"/>
        <v>1211764.7058823532</v>
      </c>
    </row>
    <row r="10" spans="1:13" x14ac:dyDescent="0.2">
      <c r="A10" s="2"/>
      <c r="B10" s="1" t="s">
        <v>7</v>
      </c>
      <c r="C10" s="1" t="s">
        <v>865</v>
      </c>
      <c r="D10" s="1">
        <v>6.12</v>
      </c>
      <c r="E10" s="1">
        <v>200</v>
      </c>
      <c r="F10" s="1">
        <v>26</v>
      </c>
      <c r="G10" s="1">
        <f t="shared" si="6"/>
        <v>5200</v>
      </c>
      <c r="H10" s="1">
        <f t="shared" si="7"/>
        <v>849.67320261437908</v>
      </c>
      <c r="I10" s="3">
        <v>2535</v>
      </c>
      <c r="J10" s="37">
        <f t="shared" si="8"/>
        <v>2153921.5686274511</v>
      </c>
      <c r="K10" s="29">
        <v>17000</v>
      </c>
      <c r="L10" s="64">
        <f t="shared" si="9"/>
        <v>3400000</v>
      </c>
      <c r="M10" s="29">
        <f t="shared" si="5"/>
        <v>1246078.4313725489</v>
      </c>
    </row>
    <row r="11" spans="1:13" x14ac:dyDescent="0.2">
      <c r="A11" s="1"/>
      <c r="B11" s="1" t="s">
        <v>253</v>
      </c>
      <c r="C11" s="1" t="s">
        <v>462</v>
      </c>
      <c r="D11" s="1">
        <v>6.12</v>
      </c>
      <c r="E11" s="1">
        <v>200</v>
      </c>
      <c r="F11" s="1">
        <v>26</v>
      </c>
      <c r="G11" s="1">
        <f t="shared" si="6"/>
        <v>5200</v>
      </c>
      <c r="H11" s="1">
        <f t="shared" si="7"/>
        <v>849.67320261437908</v>
      </c>
      <c r="I11" s="3">
        <v>2535</v>
      </c>
      <c r="J11" s="37">
        <f t="shared" si="8"/>
        <v>2153921.5686274511</v>
      </c>
      <c r="K11" s="29">
        <v>17000</v>
      </c>
      <c r="L11" s="64">
        <f t="shared" si="9"/>
        <v>3400000</v>
      </c>
      <c r="M11" s="29">
        <f t="shared" si="5"/>
        <v>1246078.4313725489</v>
      </c>
    </row>
    <row r="12" spans="1:13" x14ac:dyDescent="0.2">
      <c r="A12" s="1"/>
      <c r="B12" s="1" t="s">
        <v>253</v>
      </c>
      <c r="C12" s="1" t="s">
        <v>866</v>
      </c>
      <c r="D12" s="1">
        <v>6.12</v>
      </c>
      <c r="E12" s="1">
        <v>200</v>
      </c>
      <c r="F12" s="1">
        <v>23</v>
      </c>
      <c r="G12" s="1">
        <f t="shared" si="6"/>
        <v>4600</v>
      </c>
      <c r="H12" s="1">
        <f t="shared" si="7"/>
        <v>751.6339869281046</v>
      </c>
      <c r="I12" s="3">
        <v>2535</v>
      </c>
      <c r="J12" s="37">
        <f t="shared" si="8"/>
        <v>1905392.1568627451</v>
      </c>
      <c r="K12" s="29">
        <v>16000</v>
      </c>
      <c r="L12" s="64">
        <f t="shared" si="9"/>
        <v>3200000</v>
      </c>
      <c r="M12" s="29">
        <f t="shared" si="5"/>
        <v>1294607.8431372549</v>
      </c>
    </row>
    <row r="13" spans="1:13" x14ac:dyDescent="0.2">
      <c r="A13" s="1"/>
      <c r="B13" s="1" t="s">
        <v>7</v>
      </c>
      <c r="C13" s="1" t="s">
        <v>867</v>
      </c>
      <c r="D13" s="1">
        <v>6.12</v>
      </c>
      <c r="E13" s="1">
        <v>200</v>
      </c>
      <c r="F13" s="1">
        <v>26</v>
      </c>
      <c r="G13" s="1">
        <f t="shared" si="6"/>
        <v>5200</v>
      </c>
      <c r="H13" s="1">
        <f t="shared" si="7"/>
        <v>849.67320261437908</v>
      </c>
      <c r="I13" s="3">
        <v>2535</v>
      </c>
      <c r="J13" s="37">
        <f t="shared" si="8"/>
        <v>2153921.5686274511</v>
      </c>
      <c r="K13" s="29">
        <v>17000</v>
      </c>
      <c r="L13" s="64">
        <f t="shared" si="9"/>
        <v>3400000</v>
      </c>
      <c r="M13" s="29">
        <f t="shared" si="5"/>
        <v>1246078.4313725489</v>
      </c>
    </row>
    <row r="14" spans="1:13" x14ac:dyDescent="0.2">
      <c r="A14" s="1"/>
      <c r="B14" s="1" t="s">
        <v>253</v>
      </c>
      <c r="C14" s="1" t="s">
        <v>868</v>
      </c>
      <c r="D14" s="1">
        <v>6.12</v>
      </c>
      <c r="E14" s="1">
        <v>200</v>
      </c>
      <c r="F14" s="1">
        <v>27</v>
      </c>
      <c r="G14" s="1">
        <f t="shared" si="6"/>
        <v>5400</v>
      </c>
      <c r="H14" s="1">
        <f t="shared" si="7"/>
        <v>882.35294117647061</v>
      </c>
      <c r="I14" s="3">
        <v>2535</v>
      </c>
      <c r="J14" s="37">
        <f t="shared" si="8"/>
        <v>2236764.7058823532</v>
      </c>
      <c r="K14" s="29">
        <v>18000</v>
      </c>
      <c r="L14" s="64">
        <f t="shared" si="9"/>
        <v>3600000</v>
      </c>
      <c r="M14" s="29">
        <f t="shared" si="5"/>
        <v>1363235.2941176468</v>
      </c>
    </row>
    <row r="15" spans="1:13" x14ac:dyDescent="0.2">
      <c r="A15" s="1"/>
      <c r="B15" s="1" t="s">
        <v>253</v>
      </c>
      <c r="C15" s="1" t="s">
        <v>869</v>
      </c>
      <c r="D15" s="1">
        <v>6.12</v>
      </c>
      <c r="E15" s="1">
        <v>200</v>
      </c>
      <c r="F15" s="1">
        <v>21</v>
      </c>
      <c r="G15" s="1">
        <f t="shared" si="6"/>
        <v>4200</v>
      </c>
      <c r="H15" s="1">
        <f t="shared" si="7"/>
        <v>686.27450980392155</v>
      </c>
      <c r="I15" s="3">
        <v>2535</v>
      </c>
      <c r="J15" s="37">
        <f t="shared" si="8"/>
        <v>1739705.882352941</v>
      </c>
      <c r="K15" s="29">
        <v>16000</v>
      </c>
      <c r="L15" s="64">
        <f t="shared" si="9"/>
        <v>3200000</v>
      </c>
      <c r="M15" s="29">
        <f t="shared" si="5"/>
        <v>1460294.117647059</v>
      </c>
    </row>
    <row r="16" spans="1:13" x14ac:dyDescent="0.2">
      <c r="A16" s="1"/>
      <c r="B16" s="1" t="s">
        <v>7</v>
      </c>
      <c r="C16" s="1" t="s">
        <v>870</v>
      </c>
      <c r="D16" s="1">
        <v>6.12</v>
      </c>
      <c r="E16" s="1">
        <v>1100</v>
      </c>
      <c r="F16" s="1">
        <v>22</v>
      </c>
      <c r="G16" s="1">
        <f t="shared" si="6"/>
        <v>24200</v>
      </c>
      <c r="H16" s="1">
        <f t="shared" si="7"/>
        <v>3954.248366013072</v>
      </c>
      <c r="I16" s="3">
        <v>2535</v>
      </c>
      <c r="J16" s="37">
        <f t="shared" si="8"/>
        <v>10024019.607843138</v>
      </c>
      <c r="K16" s="29">
        <v>15000</v>
      </c>
      <c r="L16" s="64">
        <f t="shared" si="9"/>
        <v>16500000</v>
      </c>
      <c r="M16" s="29">
        <f t="shared" si="5"/>
        <v>6475980.3921568617</v>
      </c>
    </row>
    <row r="17" spans="1:13" x14ac:dyDescent="0.2">
      <c r="A17" s="1"/>
      <c r="B17" s="1" t="s">
        <v>7</v>
      </c>
      <c r="C17" s="1" t="s">
        <v>871</v>
      </c>
      <c r="D17" s="1">
        <v>6.12</v>
      </c>
      <c r="E17" s="1">
        <v>200</v>
      </c>
      <c r="F17" s="1">
        <v>24</v>
      </c>
      <c r="G17" s="1">
        <f t="shared" si="6"/>
        <v>4800</v>
      </c>
      <c r="H17" s="1">
        <f t="shared" si="7"/>
        <v>784.31372549019602</v>
      </c>
      <c r="I17" s="3">
        <v>2535</v>
      </c>
      <c r="J17" s="37">
        <f t="shared" si="8"/>
        <v>1988235.2941176468</v>
      </c>
      <c r="K17" s="29">
        <v>16000</v>
      </c>
      <c r="L17" s="64">
        <f t="shared" si="9"/>
        <v>3200000</v>
      </c>
      <c r="M17" s="29">
        <f t="shared" si="5"/>
        <v>1211764.7058823532</v>
      </c>
    </row>
    <row r="18" spans="1:13" x14ac:dyDescent="0.2">
      <c r="A18" s="1"/>
      <c r="B18" s="1" t="s">
        <v>253</v>
      </c>
      <c r="C18" s="1" t="s">
        <v>872</v>
      </c>
      <c r="D18" s="1">
        <v>6.12</v>
      </c>
      <c r="E18" s="1">
        <v>300</v>
      </c>
      <c r="F18" s="1">
        <v>24</v>
      </c>
      <c r="G18" s="1">
        <f t="shared" si="6"/>
        <v>7200</v>
      </c>
      <c r="H18" s="1">
        <f t="shared" si="7"/>
        <v>1176.4705882352941</v>
      </c>
      <c r="I18" s="3">
        <v>2535</v>
      </c>
      <c r="J18" s="37">
        <f t="shared" si="8"/>
        <v>2982352.9411764704</v>
      </c>
      <c r="K18" s="29">
        <v>16000</v>
      </c>
      <c r="L18" s="64">
        <f t="shared" si="9"/>
        <v>4800000</v>
      </c>
      <c r="M18" s="29">
        <f t="shared" si="5"/>
        <v>1817647.0588235296</v>
      </c>
    </row>
    <row r="19" spans="1:13" x14ac:dyDescent="0.2">
      <c r="A19" s="1"/>
      <c r="B19" s="1" t="s">
        <v>7</v>
      </c>
      <c r="C19" s="1" t="s">
        <v>873</v>
      </c>
      <c r="D19" s="1">
        <v>6.12</v>
      </c>
      <c r="E19" s="1">
        <v>200</v>
      </c>
      <c r="F19" s="1">
        <v>25.5</v>
      </c>
      <c r="G19" s="1">
        <f t="shared" si="6"/>
        <v>5100</v>
      </c>
      <c r="H19" s="1">
        <f t="shared" si="7"/>
        <v>833.33333333333337</v>
      </c>
      <c r="I19" s="3">
        <v>2535</v>
      </c>
      <c r="J19" s="37">
        <f t="shared" si="8"/>
        <v>2112500</v>
      </c>
      <c r="K19" s="29">
        <v>16000</v>
      </c>
      <c r="L19" s="64">
        <f t="shared" si="9"/>
        <v>3200000</v>
      </c>
      <c r="M19" s="29">
        <f t="shared" si="5"/>
        <v>1087500</v>
      </c>
    </row>
    <row r="20" spans="1:13" x14ac:dyDescent="0.2">
      <c r="A20" s="1"/>
      <c r="B20" s="1" t="s">
        <v>253</v>
      </c>
      <c r="C20" s="1" t="s">
        <v>874</v>
      </c>
      <c r="D20" s="1">
        <v>6.12</v>
      </c>
      <c r="E20" s="1">
        <v>200</v>
      </c>
      <c r="F20" s="1">
        <v>24</v>
      </c>
      <c r="G20" s="1">
        <f t="shared" si="6"/>
        <v>4800</v>
      </c>
      <c r="H20" s="1">
        <f t="shared" si="7"/>
        <v>784.31372549019602</v>
      </c>
      <c r="I20" s="3">
        <v>2535</v>
      </c>
      <c r="J20" s="37">
        <f t="shared" si="8"/>
        <v>1988235.2941176468</v>
      </c>
      <c r="K20" s="29">
        <v>16000</v>
      </c>
      <c r="L20" s="64">
        <f t="shared" si="9"/>
        <v>3200000</v>
      </c>
      <c r="M20" s="29">
        <f t="shared" si="5"/>
        <v>1211764.7058823532</v>
      </c>
    </row>
    <row r="21" spans="1:13" x14ac:dyDescent="0.2">
      <c r="A21" s="1"/>
      <c r="B21" s="1" t="s">
        <v>253</v>
      </c>
      <c r="C21" s="1" t="s">
        <v>875</v>
      </c>
      <c r="D21" s="1">
        <v>6.12</v>
      </c>
      <c r="E21" s="1">
        <v>200</v>
      </c>
      <c r="F21" s="1">
        <v>28</v>
      </c>
      <c r="G21" s="1">
        <f t="shared" si="6"/>
        <v>5600</v>
      </c>
      <c r="H21" s="1">
        <f t="shared" si="7"/>
        <v>915.03267973856202</v>
      </c>
      <c r="I21" s="3">
        <v>2535</v>
      </c>
      <c r="J21" s="37">
        <f t="shared" si="8"/>
        <v>2319607.8431372549</v>
      </c>
      <c r="K21" s="29">
        <v>18000</v>
      </c>
      <c r="L21" s="64">
        <f t="shared" si="9"/>
        <v>3600000</v>
      </c>
      <c r="M21" s="29">
        <f t="shared" si="5"/>
        <v>1280392.1568627451</v>
      </c>
    </row>
    <row r="22" spans="1:13" x14ac:dyDescent="0.2">
      <c r="A22" s="1"/>
      <c r="B22" s="1" t="s">
        <v>7</v>
      </c>
      <c r="C22" s="1" t="s">
        <v>876</v>
      </c>
      <c r="D22" s="1">
        <v>6.12</v>
      </c>
      <c r="E22" s="1">
        <v>450</v>
      </c>
      <c r="F22" s="1">
        <v>25</v>
      </c>
      <c r="G22" s="1">
        <f t="shared" si="6"/>
        <v>11250</v>
      </c>
      <c r="H22" s="1">
        <f t="shared" si="7"/>
        <v>1838.2352941176471</v>
      </c>
      <c r="I22" s="3">
        <v>2535</v>
      </c>
      <c r="J22" s="37">
        <f t="shared" si="8"/>
        <v>4659926.4705882352</v>
      </c>
      <c r="K22" s="29">
        <v>16000</v>
      </c>
      <c r="L22" s="64">
        <f t="shared" si="9"/>
        <v>7200000</v>
      </c>
      <c r="M22" s="29">
        <f t="shared" si="5"/>
        <v>2540073.5294117648</v>
      </c>
    </row>
    <row r="23" spans="1:13" x14ac:dyDescent="0.2">
      <c r="A23" s="1"/>
      <c r="B23" s="1" t="s">
        <v>877</v>
      </c>
      <c r="C23" s="1" t="s">
        <v>878</v>
      </c>
      <c r="D23" s="1">
        <v>6.12</v>
      </c>
      <c r="E23" s="1">
        <v>420</v>
      </c>
      <c r="F23" s="1">
        <v>23</v>
      </c>
      <c r="G23" s="1">
        <f t="shared" si="6"/>
        <v>9660</v>
      </c>
      <c r="H23" s="1">
        <f t="shared" si="7"/>
        <v>1578.4313725490197</v>
      </c>
      <c r="I23" s="3">
        <v>2535</v>
      </c>
      <c r="J23" s="37">
        <f t="shared" si="8"/>
        <v>4001323.5294117648</v>
      </c>
      <c r="K23" s="29">
        <v>15000</v>
      </c>
      <c r="L23" s="64">
        <f t="shared" si="9"/>
        <v>6300000</v>
      </c>
      <c r="M23" s="29">
        <f t="shared" si="5"/>
        <v>2298676.4705882352</v>
      </c>
    </row>
    <row r="24" spans="1:13" x14ac:dyDescent="0.2">
      <c r="A24" s="1"/>
      <c r="B24" s="1"/>
      <c r="C24" s="1" t="s">
        <v>879</v>
      </c>
      <c r="D24" s="1">
        <v>6.12</v>
      </c>
      <c r="E24" s="1">
        <v>200</v>
      </c>
      <c r="F24" s="1">
        <v>24</v>
      </c>
      <c r="G24" s="1">
        <f t="shared" si="6"/>
        <v>4800</v>
      </c>
      <c r="H24" s="1">
        <f t="shared" si="7"/>
        <v>784.31372549019602</v>
      </c>
      <c r="I24" s="3">
        <v>2535</v>
      </c>
      <c r="J24" s="37">
        <f t="shared" si="8"/>
        <v>1988235.2941176468</v>
      </c>
      <c r="K24" s="29">
        <v>15000</v>
      </c>
      <c r="L24" s="64">
        <f t="shared" si="9"/>
        <v>3000000</v>
      </c>
      <c r="M24" s="29">
        <f t="shared" si="5"/>
        <v>1011764.7058823532</v>
      </c>
    </row>
    <row r="25" spans="1:13" x14ac:dyDescent="0.2">
      <c r="A25" s="1"/>
      <c r="B25" s="1"/>
      <c r="C25" s="1" t="s">
        <v>880</v>
      </c>
      <c r="D25" s="1">
        <v>6.12</v>
      </c>
      <c r="E25" s="1">
        <v>550</v>
      </c>
      <c r="F25" s="1">
        <v>11</v>
      </c>
      <c r="G25" s="1">
        <f t="shared" si="6"/>
        <v>6050</v>
      </c>
      <c r="H25" s="1">
        <f t="shared" si="7"/>
        <v>988.56209150326799</v>
      </c>
      <c r="I25" s="3">
        <v>2535</v>
      </c>
      <c r="J25" s="37">
        <f t="shared" si="8"/>
        <v>2506004.9019607846</v>
      </c>
      <c r="K25" s="29">
        <v>10000</v>
      </c>
      <c r="L25" s="64">
        <f t="shared" si="9"/>
        <v>5500000</v>
      </c>
      <c r="M25" s="29">
        <f t="shared" si="5"/>
        <v>2993995.0980392154</v>
      </c>
    </row>
    <row r="26" spans="1:13" x14ac:dyDescent="0.2">
      <c r="A26" s="1"/>
      <c r="B26" s="1" t="s">
        <v>23</v>
      </c>
      <c r="C26" s="1" t="s">
        <v>881</v>
      </c>
      <c r="D26" s="1">
        <v>6.12</v>
      </c>
      <c r="E26" s="1">
        <v>300</v>
      </c>
      <c r="F26" s="1">
        <v>14</v>
      </c>
      <c r="G26" s="1">
        <f t="shared" si="6"/>
        <v>4200</v>
      </c>
      <c r="H26" s="1">
        <f t="shared" si="7"/>
        <v>686.27450980392155</v>
      </c>
      <c r="I26" s="3">
        <v>2535</v>
      </c>
      <c r="J26" s="37">
        <f t="shared" si="8"/>
        <v>1739705.8823529412</v>
      </c>
      <c r="K26" s="29">
        <v>13000</v>
      </c>
      <c r="L26" s="64">
        <f t="shared" si="9"/>
        <v>3900000</v>
      </c>
      <c r="M26" s="29">
        <f t="shared" si="5"/>
        <v>2160294.1176470588</v>
      </c>
    </row>
    <row r="27" spans="1:13" x14ac:dyDescent="0.2">
      <c r="A27" s="1"/>
      <c r="B27" s="1" t="s">
        <v>68</v>
      </c>
      <c r="C27" s="1" t="s">
        <v>253</v>
      </c>
      <c r="D27" s="1">
        <v>6.12</v>
      </c>
      <c r="E27" s="1">
        <v>250</v>
      </c>
      <c r="F27" s="1">
        <v>23</v>
      </c>
      <c r="G27" s="1">
        <f t="shared" si="6"/>
        <v>5750</v>
      </c>
      <c r="H27" s="1">
        <f t="shared" si="7"/>
        <v>939.54248366013076</v>
      </c>
      <c r="I27" s="3">
        <v>2535</v>
      </c>
      <c r="J27" s="37">
        <f t="shared" si="8"/>
        <v>2381740.1960784313</v>
      </c>
      <c r="K27" s="29">
        <v>18000</v>
      </c>
      <c r="L27" s="64">
        <f t="shared" si="9"/>
        <v>4500000</v>
      </c>
      <c r="M27" s="29">
        <f t="shared" si="5"/>
        <v>2118259.8039215687</v>
      </c>
    </row>
    <row r="28" spans="1:13" x14ac:dyDescent="0.2">
      <c r="A28" s="1"/>
      <c r="B28" s="1" t="s">
        <v>7</v>
      </c>
      <c r="C28" s="1" t="s">
        <v>882</v>
      </c>
      <c r="D28" s="1">
        <v>6.12</v>
      </c>
      <c r="E28" s="1">
        <v>175</v>
      </c>
      <c r="F28" s="1">
        <v>16</v>
      </c>
      <c r="G28" s="1">
        <f t="shared" si="6"/>
        <v>2800</v>
      </c>
      <c r="H28" s="1">
        <f t="shared" si="7"/>
        <v>457.51633986928101</v>
      </c>
      <c r="I28" s="3">
        <v>2535</v>
      </c>
      <c r="J28" s="37">
        <f t="shared" si="8"/>
        <v>1159803.9215686275</v>
      </c>
      <c r="K28" s="29">
        <v>16000</v>
      </c>
      <c r="L28" s="64">
        <f t="shared" si="9"/>
        <v>2800000</v>
      </c>
      <c r="M28" s="29">
        <f t="shared" si="5"/>
        <v>1640196.0784313725</v>
      </c>
    </row>
    <row r="29" spans="1:13" x14ac:dyDescent="0.2">
      <c r="A29" s="1"/>
      <c r="B29" s="1" t="s">
        <v>7</v>
      </c>
      <c r="C29" s="1" t="s">
        <v>883</v>
      </c>
      <c r="D29" s="1">
        <v>6.12</v>
      </c>
      <c r="E29" s="1">
        <v>270</v>
      </c>
      <c r="F29" s="1">
        <v>15</v>
      </c>
      <c r="G29" s="1">
        <f t="shared" si="6"/>
        <v>4050</v>
      </c>
      <c r="H29" s="1">
        <f t="shared" si="7"/>
        <v>661.76470588235293</v>
      </c>
      <c r="I29" s="3">
        <v>2535</v>
      </c>
      <c r="J29" s="37">
        <f t="shared" si="8"/>
        <v>1677573.5294117648</v>
      </c>
      <c r="K29" s="29">
        <v>16000</v>
      </c>
      <c r="L29" s="64">
        <f t="shared" si="9"/>
        <v>4320000</v>
      </c>
      <c r="M29" s="29">
        <f t="shared" si="5"/>
        <v>2642426.4705882352</v>
      </c>
    </row>
    <row r="30" spans="1:13" x14ac:dyDescent="0.2">
      <c r="A30" s="1"/>
      <c r="B30" s="1" t="s">
        <v>7</v>
      </c>
      <c r="C30" s="1" t="s">
        <v>884</v>
      </c>
      <c r="D30" s="1">
        <v>6.12</v>
      </c>
      <c r="E30" s="1">
        <v>200</v>
      </c>
      <c r="F30" s="1">
        <v>22</v>
      </c>
      <c r="G30" s="1">
        <f t="shared" si="6"/>
        <v>4400</v>
      </c>
      <c r="H30" s="1">
        <f t="shared" si="7"/>
        <v>718.95424836601308</v>
      </c>
      <c r="I30" s="3">
        <v>2535</v>
      </c>
      <c r="J30" s="37">
        <f t="shared" si="8"/>
        <v>1822549.0196078434</v>
      </c>
      <c r="K30" s="29">
        <v>16000</v>
      </c>
      <c r="L30" s="64">
        <f t="shared" si="9"/>
        <v>3200000</v>
      </c>
      <c r="M30" s="29">
        <f t="shared" si="5"/>
        <v>1377450.9803921566</v>
      </c>
    </row>
    <row r="31" spans="1:13" x14ac:dyDescent="0.2">
      <c r="A31" s="1"/>
      <c r="B31" s="1" t="s">
        <v>15</v>
      </c>
      <c r="C31" s="1" t="s">
        <v>885</v>
      </c>
      <c r="D31" s="1">
        <v>6.12</v>
      </c>
      <c r="E31" s="1">
        <v>300</v>
      </c>
      <c r="F31" s="1">
        <v>25</v>
      </c>
      <c r="G31" s="1">
        <f t="shared" si="6"/>
        <v>7500</v>
      </c>
      <c r="H31" s="1">
        <f t="shared" si="7"/>
        <v>1225.4901960784314</v>
      </c>
      <c r="I31" s="3">
        <v>2535</v>
      </c>
      <c r="J31" s="37">
        <f t="shared" si="8"/>
        <v>3106617.6470588236</v>
      </c>
      <c r="K31" s="29">
        <v>17000</v>
      </c>
      <c r="L31" s="64">
        <f t="shared" si="9"/>
        <v>5100000</v>
      </c>
      <c r="M31" s="29">
        <f t="shared" si="5"/>
        <v>1993382.3529411764</v>
      </c>
    </row>
    <row r="32" spans="1:13" x14ac:dyDescent="0.2">
      <c r="A32" s="1"/>
      <c r="B32" s="1" t="s">
        <v>7</v>
      </c>
      <c r="C32" s="1" t="s">
        <v>886</v>
      </c>
      <c r="D32" s="1">
        <v>6.12</v>
      </c>
      <c r="E32" s="1">
        <v>200</v>
      </c>
      <c r="F32" s="1">
        <v>27</v>
      </c>
      <c r="G32" s="1">
        <f t="shared" si="6"/>
        <v>5400</v>
      </c>
      <c r="H32" s="1">
        <f t="shared" si="7"/>
        <v>882.35294117647061</v>
      </c>
      <c r="I32" s="3">
        <v>2535</v>
      </c>
      <c r="J32" s="37">
        <f t="shared" si="8"/>
        <v>2236764.7058823532</v>
      </c>
      <c r="K32" s="29">
        <v>17000</v>
      </c>
      <c r="L32" s="64">
        <f t="shared" si="9"/>
        <v>3400000</v>
      </c>
      <c r="M32" s="29">
        <f t="shared" si="5"/>
        <v>1163235.2941176468</v>
      </c>
    </row>
    <row r="33" spans="1:13" x14ac:dyDescent="0.2">
      <c r="A33" s="1"/>
      <c r="B33" s="1" t="s">
        <v>253</v>
      </c>
      <c r="C33" s="1" t="s">
        <v>887</v>
      </c>
      <c r="D33" s="1">
        <v>6.12</v>
      </c>
      <c r="E33" s="1">
        <v>200</v>
      </c>
      <c r="F33" s="1">
        <v>27</v>
      </c>
      <c r="G33" s="1">
        <f t="shared" si="6"/>
        <v>5400</v>
      </c>
      <c r="H33" s="1">
        <f t="shared" si="7"/>
        <v>882.35294117647061</v>
      </c>
      <c r="I33" s="3">
        <v>2535</v>
      </c>
      <c r="J33" s="37">
        <f t="shared" si="8"/>
        <v>2236764.7058823532</v>
      </c>
      <c r="K33" s="29">
        <v>17000</v>
      </c>
      <c r="L33" s="64">
        <f t="shared" si="9"/>
        <v>3400000</v>
      </c>
      <c r="M33" s="29">
        <f t="shared" si="5"/>
        <v>1163235.2941176468</v>
      </c>
    </row>
    <row r="34" spans="1:13" x14ac:dyDescent="0.2">
      <c r="A34" s="1"/>
      <c r="B34" s="1"/>
      <c r="C34" s="1" t="s">
        <v>888</v>
      </c>
      <c r="D34" s="1">
        <v>6.12</v>
      </c>
      <c r="E34" s="1">
        <v>200</v>
      </c>
      <c r="F34" s="1">
        <v>27</v>
      </c>
      <c r="G34" s="1">
        <f t="shared" si="6"/>
        <v>5400</v>
      </c>
      <c r="H34" s="1">
        <f t="shared" si="7"/>
        <v>882.35294117647061</v>
      </c>
      <c r="I34" s="3">
        <v>2535</v>
      </c>
      <c r="J34" s="37">
        <f t="shared" si="8"/>
        <v>2236764.7058823532</v>
      </c>
      <c r="K34" s="29">
        <v>17000</v>
      </c>
      <c r="L34" s="64">
        <f t="shared" si="9"/>
        <v>3400000</v>
      </c>
      <c r="M34" s="29">
        <f t="shared" si="5"/>
        <v>1163235.2941176468</v>
      </c>
    </row>
    <row r="35" spans="1:13" x14ac:dyDescent="0.2">
      <c r="A35" s="1"/>
      <c r="B35" s="1" t="s">
        <v>647</v>
      </c>
      <c r="C35" s="1" t="s">
        <v>889</v>
      </c>
      <c r="D35" s="1">
        <v>6.12</v>
      </c>
      <c r="E35" s="1">
        <v>200</v>
      </c>
      <c r="F35" s="1">
        <v>21</v>
      </c>
      <c r="G35" s="1">
        <f t="shared" si="6"/>
        <v>4200</v>
      </c>
      <c r="H35" s="1">
        <f t="shared" si="7"/>
        <v>686.27450980392155</v>
      </c>
      <c r="I35" s="3">
        <v>2535</v>
      </c>
      <c r="J35" s="37">
        <f t="shared" si="8"/>
        <v>1739705.882352941</v>
      </c>
      <c r="K35" s="29">
        <v>15000</v>
      </c>
      <c r="L35" s="64">
        <f t="shared" si="9"/>
        <v>3000000</v>
      </c>
      <c r="M35" s="29">
        <f t="shared" si="5"/>
        <v>1260294.117647059</v>
      </c>
    </row>
    <row r="36" spans="1:13" x14ac:dyDescent="0.2">
      <c r="A36" s="1"/>
      <c r="B36" s="1" t="s">
        <v>7</v>
      </c>
      <c r="C36" s="1" t="s">
        <v>901</v>
      </c>
      <c r="D36" s="1">
        <v>6.12</v>
      </c>
      <c r="E36" s="1">
        <v>200</v>
      </c>
      <c r="F36" s="1">
        <v>25</v>
      </c>
      <c r="G36" s="1">
        <f t="shared" si="6"/>
        <v>5000</v>
      </c>
      <c r="H36" s="1">
        <f t="shared" si="7"/>
        <v>816.99346405228755</v>
      </c>
      <c r="I36" s="3">
        <v>2535</v>
      </c>
      <c r="J36" s="37">
        <f t="shared" si="8"/>
        <v>2071078.4313725489</v>
      </c>
      <c r="K36" s="29">
        <v>16000</v>
      </c>
      <c r="L36" s="64">
        <f t="shared" si="9"/>
        <v>3200000</v>
      </c>
      <c r="M36" s="29">
        <f t="shared" si="5"/>
        <v>1128921.5686274511</v>
      </c>
    </row>
    <row r="37" spans="1:13" x14ac:dyDescent="0.2">
      <c r="A37" s="1"/>
      <c r="B37" s="1" t="s">
        <v>7</v>
      </c>
      <c r="C37" s="1" t="s">
        <v>890</v>
      </c>
      <c r="D37" s="1">
        <v>6.12</v>
      </c>
      <c r="E37" s="1">
        <v>300</v>
      </c>
      <c r="F37" s="1">
        <v>21</v>
      </c>
      <c r="G37" s="1">
        <f t="shared" si="6"/>
        <v>6300</v>
      </c>
      <c r="H37" s="1">
        <f t="shared" si="7"/>
        <v>1029.4117647058824</v>
      </c>
      <c r="I37" s="3">
        <v>2535</v>
      </c>
      <c r="J37" s="37">
        <f t="shared" si="8"/>
        <v>2609558.8235294116</v>
      </c>
      <c r="K37" s="29">
        <v>17000</v>
      </c>
      <c r="L37" s="64">
        <f t="shared" si="9"/>
        <v>5100000</v>
      </c>
      <c r="M37" s="29">
        <f t="shared" si="5"/>
        <v>2490441.1764705884</v>
      </c>
    </row>
    <row r="38" spans="1:13" x14ac:dyDescent="0.2">
      <c r="A38" s="1"/>
      <c r="B38" s="1"/>
      <c r="C38" s="1" t="s">
        <v>891</v>
      </c>
      <c r="D38" s="1">
        <v>6.12</v>
      </c>
      <c r="E38" s="1">
        <v>227</v>
      </c>
      <c r="F38" s="1">
        <v>21</v>
      </c>
      <c r="G38" s="1">
        <f t="shared" si="6"/>
        <v>4767</v>
      </c>
      <c r="H38" s="1">
        <f t="shared" si="7"/>
        <v>778.92156862745094</v>
      </c>
      <c r="I38" s="3">
        <v>2535</v>
      </c>
      <c r="J38" s="37">
        <f t="shared" si="8"/>
        <v>1974566.176470588</v>
      </c>
      <c r="K38" s="29">
        <v>18000</v>
      </c>
      <c r="L38" s="64">
        <f t="shared" si="9"/>
        <v>4086000</v>
      </c>
      <c r="M38" s="29">
        <f t="shared" si="5"/>
        <v>2111433.823529412</v>
      </c>
    </row>
    <row r="39" spans="1:13" x14ac:dyDescent="0.2">
      <c r="A39" s="1"/>
      <c r="B39" s="1"/>
      <c r="C39" s="1" t="s">
        <v>892</v>
      </c>
      <c r="D39" s="1">
        <v>6.12</v>
      </c>
      <c r="E39" s="1">
        <v>950</v>
      </c>
      <c r="F39" s="1">
        <v>21</v>
      </c>
      <c r="G39" s="1">
        <f t="shared" si="6"/>
        <v>19950</v>
      </c>
      <c r="H39" s="1">
        <f t="shared" si="7"/>
        <v>3259.8039215686272</v>
      </c>
      <c r="I39" s="3">
        <v>2535</v>
      </c>
      <c r="J39" s="37">
        <f t="shared" si="8"/>
        <v>8263602.9411764694</v>
      </c>
      <c r="K39" s="29">
        <v>15000</v>
      </c>
      <c r="L39" s="64">
        <f t="shared" si="9"/>
        <v>14250000</v>
      </c>
      <c r="M39" s="29">
        <f t="shared" si="5"/>
        <v>5986397.0588235306</v>
      </c>
    </row>
    <row r="40" spans="1:13" x14ac:dyDescent="0.2">
      <c r="A40" s="1"/>
      <c r="B40" s="1" t="s">
        <v>7</v>
      </c>
      <c r="C40" s="1" t="s">
        <v>786</v>
      </c>
      <c r="D40" s="1">
        <v>6.12</v>
      </c>
      <c r="E40" s="1">
        <v>200</v>
      </c>
      <c r="F40" s="1">
        <v>22</v>
      </c>
      <c r="G40" s="1">
        <f t="shared" si="6"/>
        <v>4400</v>
      </c>
      <c r="H40" s="1">
        <f t="shared" si="7"/>
        <v>718.95424836601308</v>
      </c>
      <c r="I40" s="3">
        <v>2535</v>
      </c>
      <c r="J40" s="37">
        <f t="shared" si="8"/>
        <v>1822549.0196078434</v>
      </c>
      <c r="K40" s="29">
        <v>17000</v>
      </c>
      <c r="L40" s="64">
        <f t="shared" si="9"/>
        <v>3400000</v>
      </c>
      <c r="M40" s="29">
        <f t="shared" si="5"/>
        <v>1577450.9803921566</v>
      </c>
    </row>
    <row r="41" spans="1:13" x14ac:dyDescent="0.2">
      <c r="A41" s="1"/>
      <c r="B41" s="1"/>
      <c r="C41" s="1" t="s">
        <v>893</v>
      </c>
      <c r="D41" s="1">
        <v>6.12</v>
      </c>
      <c r="E41" s="1">
        <v>150</v>
      </c>
      <c r="F41" s="1">
        <v>20</v>
      </c>
      <c r="G41" s="1">
        <f t="shared" si="6"/>
        <v>3000</v>
      </c>
      <c r="H41" s="1">
        <f t="shared" si="7"/>
        <v>490.19607843137254</v>
      </c>
      <c r="I41" s="3">
        <v>2535</v>
      </c>
      <c r="J41" s="37">
        <f t="shared" si="8"/>
        <v>1242647.0588235294</v>
      </c>
      <c r="K41" s="29">
        <v>16000</v>
      </c>
      <c r="L41" s="64">
        <f t="shared" si="9"/>
        <v>2400000</v>
      </c>
      <c r="M41" s="29">
        <f t="shared" si="5"/>
        <v>1157352.9411764706</v>
      </c>
    </row>
    <row r="42" spans="1:13" x14ac:dyDescent="0.2">
      <c r="A42" s="1"/>
      <c r="B42" s="1"/>
      <c r="C42" s="1" t="s">
        <v>894</v>
      </c>
      <c r="D42" s="1">
        <v>6.12</v>
      </c>
      <c r="E42" s="1">
        <v>210</v>
      </c>
      <c r="F42" s="1">
        <v>22</v>
      </c>
      <c r="G42" s="1">
        <f t="shared" si="6"/>
        <v>4620</v>
      </c>
      <c r="H42" s="1">
        <f t="shared" si="7"/>
        <v>754.9019607843137</v>
      </c>
      <c r="I42" s="3">
        <v>2535</v>
      </c>
      <c r="J42" s="37">
        <f t="shared" si="8"/>
        <v>1913676.4705882357</v>
      </c>
      <c r="K42" s="29">
        <v>16000</v>
      </c>
      <c r="L42" s="64">
        <f t="shared" si="9"/>
        <v>3360000</v>
      </c>
      <c r="M42" s="29">
        <f t="shared" si="5"/>
        <v>1446323.5294117643</v>
      </c>
    </row>
    <row r="43" spans="1:13" x14ac:dyDescent="0.2">
      <c r="A43" s="1"/>
      <c r="B43" s="1"/>
      <c r="C43" s="1" t="s">
        <v>895</v>
      </c>
      <c r="D43" s="1">
        <v>6.12</v>
      </c>
      <c r="E43" s="1">
        <v>140</v>
      </c>
      <c r="F43" s="1">
        <v>24</v>
      </c>
      <c r="G43" s="1">
        <f t="shared" si="6"/>
        <v>3360</v>
      </c>
      <c r="H43" s="1">
        <f t="shared" si="7"/>
        <v>549.01960784313724</v>
      </c>
      <c r="I43" s="3">
        <v>2535</v>
      </c>
      <c r="J43" s="37">
        <f t="shared" si="8"/>
        <v>1391764.7058823528</v>
      </c>
      <c r="K43" s="29">
        <v>15000</v>
      </c>
      <c r="L43" s="64">
        <f t="shared" si="9"/>
        <v>2100000</v>
      </c>
      <c r="M43" s="29">
        <f t="shared" si="5"/>
        <v>708235.29411764722</v>
      </c>
    </row>
    <row r="44" spans="1:13" x14ac:dyDescent="0.2">
      <c r="A44" s="1"/>
      <c r="B44" s="1" t="s">
        <v>7</v>
      </c>
      <c r="C44" s="1" t="s">
        <v>855</v>
      </c>
      <c r="D44" s="1">
        <v>6.12</v>
      </c>
      <c r="E44" s="1">
        <v>200</v>
      </c>
      <c r="F44" s="1">
        <v>22</v>
      </c>
      <c r="G44" s="1">
        <f t="shared" si="6"/>
        <v>4400</v>
      </c>
      <c r="H44" s="1">
        <f t="shared" si="7"/>
        <v>718.95424836601308</v>
      </c>
      <c r="I44" s="3">
        <v>2535</v>
      </c>
      <c r="J44" s="37">
        <f t="shared" si="8"/>
        <v>1822549.0196078434</v>
      </c>
      <c r="K44" s="29">
        <v>16000</v>
      </c>
      <c r="L44" s="64">
        <f t="shared" si="9"/>
        <v>3200000</v>
      </c>
      <c r="M44" s="29">
        <f t="shared" si="5"/>
        <v>1377450.9803921566</v>
      </c>
    </row>
    <row r="45" spans="1:13" x14ac:dyDescent="0.2">
      <c r="A45" s="1"/>
      <c r="B45" s="1" t="s">
        <v>68</v>
      </c>
      <c r="C45" s="1" t="s">
        <v>896</v>
      </c>
      <c r="D45" s="1">
        <v>6.12</v>
      </c>
      <c r="E45" s="1">
        <v>168</v>
      </c>
      <c r="F45" s="1">
        <v>23</v>
      </c>
      <c r="G45" s="1">
        <f t="shared" si="6"/>
        <v>3864</v>
      </c>
      <c r="H45" s="1">
        <f t="shared" si="7"/>
        <v>631.37254901960785</v>
      </c>
      <c r="I45" s="3">
        <v>2535</v>
      </c>
      <c r="J45" s="37">
        <f t="shared" si="8"/>
        <v>1600529.4117647058</v>
      </c>
      <c r="K45" s="29">
        <v>18000</v>
      </c>
      <c r="L45" s="64">
        <f t="shared" si="9"/>
        <v>3024000</v>
      </c>
      <c r="M45" s="29">
        <f t="shared" si="5"/>
        <v>1423470.5882352942</v>
      </c>
    </row>
    <row r="46" spans="1:13" x14ac:dyDescent="0.2">
      <c r="A46" s="1"/>
      <c r="B46" s="1" t="s">
        <v>23</v>
      </c>
      <c r="C46" s="1" t="s">
        <v>897</v>
      </c>
      <c r="D46" s="1">
        <v>6.12</v>
      </c>
      <c r="E46" s="1">
        <v>742</v>
      </c>
      <c r="F46" s="1">
        <v>20</v>
      </c>
      <c r="G46" s="1">
        <f t="shared" si="6"/>
        <v>14840</v>
      </c>
      <c r="H46" s="1">
        <f t="shared" si="7"/>
        <v>2424.8366013071895</v>
      </c>
      <c r="I46" s="3">
        <v>2535</v>
      </c>
      <c r="J46" s="37">
        <f t="shared" si="8"/>
        <v>6146960.7843137253</v>
      </c>
      <c r="K46" s="29">
        <v>14000</v>
      </c>
      <c r="L46" s="64">
        <f t="shared" si="9"/>
        <v>10388000</v>
      </c>
      <c r="M46" s="29">
        <f t="shared" si="5"/>
        <v>4241039.2156862747</v>
      </c>
    </row>
    <row r="47" spans="1:13" x14ac:dyDescent="0.2">
      <c r="A47" s="1"/>
      <c r="B47" s="1"/>
      <c r="C47" s="1" t="s">
        <v>898</v>
      </c>
      <c r="D47" s="1">
        <v>6.12</v>
      </c>
      <c r="E47" s="1">
        <v>476</v>
      </c>
      <c r="F47" s="1">
        <v>24</v>
      </c>
      <c r="G47" s="1">
        <f t="shared" si="6"/>
        <v>11424</v>
      </c>
      <c r="H47" s="1">
        <f t="shared" si="7"/>
        <v>1866.6666666666667</v>
      </c>
      <c r="I47" s="3">
        <v>2535</v>
      </c>
      <c r="J47" s="37">
        <f t="shared" si="8"/>
        <v>4731999.9999999991</v>
      </c>
      <c r="K47" s="29">
        <v>15000</v>
      </c>
      <c r="L47" s="64">
        <f t="shared" si="9"/>
        <v>7140000</v>
      </c>
      <c r="M47" s="29">
        <f t="shared" si="5"/>
        <v>2408000.0000000009</v>
      </c>
    </row>
    <row r="48" spans="1:13" x14ac:dyDescent="0.2">
      <c r="A48" s="1"/>
      <c r="B48" s="1" t="s">
        <v>7</v>
      </c>
      <c r="C48" s="1" t="s">
        <v>902</v>
      </c>
      <c r="D48" s="1">
        <v>6.12</v>
      </c>
      <c r="E48" s="1">
        <v>400</v>
      </c>
      <c r="F48" s="1">
        <v>24.5</v>
      </c>
      <c r="G48" s="1">
        <f t="shared" si="6"/>
        <v>9800</v>
      </c>
      <c r="H48" s="1">
        <f t="shared" si="7"/>
        <v>1601.3071895424837</v>
      </c>
      <c r="I48" s="3">
        <v>2535</v>
      </c>
      <c r="J48" s="37">
        <f t="shared" si="8"/>
        <v>4059313.7254901957</v>
      </c>
      <c r="K48" s="29">
        <v>17000</v>
      </c>
      <c r="L48" s="64">
        <f t="shared" si="9"/>
        <v>6800000</v>
      </c>
      <c r="M48" s="29">
        <f t="shared" si="5"/>
        <v>2740686.2745098043</v>
      </c>
    </row>
    <row r="49" spans="1:13" x14ac:dyDescent="0.2">
      <c r="A49" s="1"/>
      <c r="B49" s="1" t="s">
        <v>411</v>
      </c>
      <c r="C49" s="1" t="s">
        <v>903</v>
      </c>
      <c r="D49" s="1">
        <v>6.12</v>
      </c>
      <c r="E49" s="1">
        <v>200</v>
      </c>
      <c r="F49" s="1">
        <v>22</v>
      </c>
      <c r="G49" s="1">
        <f t="shared" si="6"/>
        <v>4400</v>
      </c>
      <c r="H49" s="1">
        <f t="shared" si="7"/>
        <v>718.95424836601308</v>
      </c>
      <c r="I49" s="3">
        <v>2535</v>
      </c>
      <c r="J49" s="37">
        <f t="shared" si="8"/>
        <v>1822549.0196078434</v>
      </c>
      <c r="K49" s="29">
        <v>15000</v>
      </c>
      <c r="L49" s="64">
        <f t="shared" si="9"/>
        <v>3000000</v>
      </c>
      <c r="M49" s="29">
        <f t="shared" si="5"/>
        <v>1177450.9803921566</v>
      </c>
    </row>
    <row r="50" spans="1:13" x14ac:dyDescent="0.2">
      <c r="A50" s="1"/>
      <c r="B50" s="1"/>
      <c r="C50" s="1" t="s">
        <v>904</v>
      </c>
      <c r="D50" s="1">
        <v>6.12</v>
      </c>
      <c r="E50" s="1">
        <v>200</v>
      </c>
      <c r="F50" s="1">
        <v>25</v>
      </c>
      <c r="G50" s="1">
        <f t="shared" si="6"/>
        <v>5000</v>
      </c>
      <c r="H50" s="1">
        <f t="shared" si="7"/>
        <v>816.99346405228755</v>
      </c>
      <c r="I50" s="3">
        <v>2535</v>
      </c>
      <c r="J50" s="37">
        <f t="shared" si="8"/>
        <v>2071078.4313725489</v>
      </c>
      <c r="K50" s="29">
        <v>15000</v>
      </c>
      <c r="L50" s="64">
        <f t="shared" si="9"/>
        <v>3000000</v>
      </c>
      <c r="M50" s="29">
        <f t="shared" si="5"/>
        <v>928921.56862745108</v>
      </c>
    </row>
    <row r="51" spans="1:13" x14ac:dyDescent="0.2">
      <c r="A51" s="1"/>
      <c r="B51" s="1"/>
      <c r="C51" s="1" t="s">
        <v>905</v>
      </c>
      <c r="D51" s="1">
        <v>6.12</v>
      </c>
      <c r="E51" s="1">
        <v>200</v>
      </c>
      <c r="F51" s="1">
        <v>22</v>
      </c>
      <c r="G51" s="1">
        <f t="shared" si="6"/>
        <v>4400</v>
      </c>
      <c r="H51" s="1">
        <f t="shared" si="7"/>
        <v>718.95424836601308</v>
      </c>
      <c r="I51" s="3">
        <v>2535</v>
      </c>
      <c r="J51" s="37">
        <f t="shared" si="8"/>
        <v>1822549.0196078434</v>
      </c>
      <c r="K51" s="29">
        <v>15000</v>
      </c>
      <c r="L51" s="64">
        <f t="shared" si="9"/>
        <v>3000000</v>
      </c>
      <c r="M51" s="29">
        <f t="shared" si="5"/>
        <v>1177450.9803921566</v>
      </c>
    </row>
    <row r="52" spans="1:13" x14ac:dyDescent="0.2">
      <c r="A52" s="1"/>
      <c r="B52" s="1"/>
      <c r="C52" s="1" t="s">
        <v>906</v>
      </c>
      <c r="D52" s="1">
        <v>6.12</v>
      </c>
      <c r="E52" s="1">
        <v>200</v>
      </c>
      <c r="F52" s="1">
        <v>22</v>
      </c>
      <c r="G52" s="1">
        <f t="shared" si="6"/>
        <v>4400</v>
      </c>
      <c r="H52" s="1">
        <f t="shared" si="7"/>
        <v>718.95424836601308</v>
      </c>
      <c r="I52" s="3">
        <v>2535</v>
      </c>
      <c r="J52" s="37">
        <f t="shared" si="8"/>
        <v>1822549.0196078434</v>
      </c>
      <c r="K52" s="29">
        <v>15000</v>
      </c>
      <c r="L52" s="64">
        <f t="shared" si="9"/>
        <v>3000000</v>
      </c>
      <c r="M52" s="29">
        <f t="shared" si="5"/>
        <v>1177450.9803921566</v>
      </c>
    </row>
    <row r="53" spans="1:13" x14ac:dyDescent="0.2">
      <c r="A53" s="1"/>
      <c r="B53" s="1"/>
      <c r="C53" s="1" t="s">
        <v>907</v>
      </c>
      <c r="D53" s="1">
        <v>6.12</v>
      </c>
      <c r="E53" s="1">
        <v>200</v>
      </c>
      <c r="F53" s="1">
        <v>22</v>
      </c>
      <c r="G53" s="1">
        <f t="shared" si="6"/>
        <v>4400</v>
      </c>
      <c r="H53" s="1">
        <f t="shared" si="7"/>
        <v>718.95424836601308</v>
      </c>
      <c r="I53" s="3">
        <v>2535</v>
      </c>
      <c r="J53" s="37">
        <f t="shared" si="8"/>
        <v>1822549.0196078434</v>
      </c>
      <c r="K53" s="29">
        <v>15000</v>
      </c>
      <c r="L53" s="64">
        <f t="shared" si="9"/>
        <v>3000000</v>
      </c>
      <c r="M53" s="29">
        <f t="shared" si="5"/>
        <v>1177450.9803921566</v>
      </c>
    </row>
    <row r="54" spans="1:13" x14ac:dyDescent="0.2">
      <c r="A54" s="1"/>
      <c r="B54" s="1"/>
      <c r="C54" s="1" t="s">
        <v>908</v>
      </c>
      <c r="D54" s="1">
        <v>6.12</v>
      </c>
      <c r="E54" s="1">
        <v>200</v>
      </c>
      <c r="F54" s="1">
        <v>22</v>
      </c>
      <c r="G54" s="1">
        <f t="shared" si="6"/>
        <v>4400</v>
      </c>
      <c r="H54" s="1">
        <f t="shared" si="7"/>
        <v>718.95424836601308</v>
      </c>
      <c r="I54" s="3">
        <v>2535</v>
      </c>
      <c r="J54" s="37">
        <f t="shared" si="8"/>
        <v>1822549.0196078434</v>
      </c>
      <c r="K54" s="29">
        <v>15000</v>
      </c>
      <c r="L54" s="64">
        <f t="shared" si="9"/>
        <v>3000000</v>
      </c>
      <c r="M54" s="29">
        <f t="shared" si="5"/>
        <v>1177450.9803921566</v>
      </c>
    </row>
    <row r="55" spans="1:13" x14ac:dyDescent="0.2">
      <c r="A55" s="1"/>
      <c r="B55" s="1" t="s">
        <v>23</v>
      </c>
      <c r="C55" s="1" t="s">
        <v>910</v>
      </c>
      <c r="D55" s="1">
        <v>6.12</v>
      </c>
      <c r="E55" s="1">
        <v>504</v>
      </c>
      <c r="F55" s="1">
        <v>19</v>
      </c>
      <c r="G55" s="1">
        <f t="shared" si="6"/>
        <v>9576</v>
      </c>
      <c r="H55" s="1">
        <f t="shared" si="7"/>
        <v>1564.7058823529412</v>
      </c>
      <c r="I55" s="3">
        <v>2535</v>
      </c>
      <c r="J55" s="37">
        <f t="shared" si="8"/>
        <v>3966529.411764706</v>
      </c>
      <c r="K55" s="29">
        <v>13000</v>
      </c>
      <c r="L55" s="64">
        <f t="shared" si="9"/>
        <v>6552000</v>
      </c>
      <c r="M55" s="29">
        <f t="shared" si="5"/>
        <v>2585470.588235294</v>
      </c>
    </row>
    <row r="56" spans="1:13" x14ac:dyDescent="0.2">
      <c r="A56" s="1"/>
      <c r="B56" s="1" t="s">
        <v>21</v>
      </c>
      <c r="C56" s="1" t="s">
        <v>909</v>
      </c>
      <c r="D56" s="1">
        <v>6.12</v>
      </c>
      <c r="E56" s="1">
        <v>1377</v>
      </c>
      <c r="F56" s="1">
        <v>24.5</v>
      </c>
      <c r="G56" s="1">
        <f t="shared" si="6"/>
        <v>33736.5</v>
      </c>
      <c r="H56" s="1">
        <f t="shared" si="7"/>
        <v>5512.5</v>
      </c>
      <c r="I56" s="3">
        <v>2535</v>
      </c>
      <c r="J56" s="37">
        <f t="shared" si="8"/>
        <v>13974187.499999998</v>
      </c>
      <c r="K56" s="29">
        <v>15000</v>
      </c>
      <c r="L56" s="64">
        <f t="shared" si="9"/>
        <v>20655000</v>
      </c>
      <c r="M56" s="29">
        <f t="shared" si="5"/>
        <v>6680812.5000000019</v>
      </c>
    </row>
    <row r="57" spans="1:13" x14ac:dyDescent="0.2">
      <c r="A57" s="1"/>
      <c r="B57" s="1" t="s">
        <v>23</v>
      </c>
      <c r="C57" s="1" t="s">
        <v>899</v>
      </c>
      <c r="D57" s="1">
        <v>6.12</v>
      </c>
      <c r="E57" s="1">
        <v>200</v>
      </c>
      <c r="F57" s="1">
        <v>21</v>
      </c>
      <c r="G57" s="1">
        <f t="shared" si="6"/>
        <v>4200</v>
      </c>
      <c r="H57" s="1">
        <f t="shared" si="7"/>
        <v>686.27450980392155</v>
      </c>
      <c r="I57" s="3">
        <v>2535</v>
      </c>
      <c r="J57" s="37">
        <f t="shared" si="8"/>
        <v>1739705.882352941</v>
      </c>
      <c r="K57" s="29">
        <v>15000</v>
      </c>
      <c r="L57" s="64">
        <f t="shared" si="9"/>
        <v>3000000</v>
      </c>
      <c r="M57" s="29">
        <f t="shared" si="5"/>
        <v>1260294.117647059</v>
      </c>
    </row>
    <row r="58" spans="1:13" x14ac:dyDescent="0.2">
      <c r="A58" s="1"/>
      <c r="B58" s="1"/>
      <c r="C58" s="1" t="s">
        <v>900</v>
      </c>
      <c r="D58" s="1">
        <v>6.12</v>
      </c>
      <c r="E58" s="1">
        <v>150</v>
      </c>
      <c r="F58" s="1">
        <v>19</v>
      </c>
      <c r="G58" s="1">
        <f t="shared" si="6"/>
        <v>2850</v>
      </c>
      <c r="H58" s="1">
        <f t="shared" si="7"/>
        <v>465.68627450980392</v>
      </c>
      <c r="I58" s="3">
        <v>2535</v>
      </c>
      <c r="J58" s="37">
        <f t="shared" si="8"/>
        <v>1180514.705882353</v>
      </c>
      <c r="K58" s="29">
        <v>13000</v>
      </c>
      <c r="L58" s="64">
        <f t="shared" si="9"/>
        <v>1950000</v>
      </c>
      <c r="M58" s="29">
        <f t="shared" si="5"/>
        <v>769485.29411764699</v>
      </c>
    </row>
    <row r="59" spans="1:13" x14ac:dyDescent="0.2">
      <c r="A59" s="1"/>
      <c r="B59" s="1"/>
      <c r="C59" s="1"/>
      <c r="D59" s="1"/>
      <c r="E59" s="92">
        <f>SUM(E3:E58)</f>
        <v>16509</v>
      </c>
      <c r="F59" s="1"/>
      <c r="G59" s="1"/>
      <c r="H59" s="85">
        <f>SUM(H3:H58)</f>
        <v>60988.153594771218</v>
      </c>
      <c r="I59" s="3"/>
      <c r="J59" s="84">
        <f>SUM(J3:J58)</f>
        <v>154604969.36274511</v>
      </c>
      <c r="K59" s="1"/>
      <c r="L59" s="84">
        <f>SUM(L3:L58)</f>
        <v>256925000</v>
      </c>
      <c r="M59" s="20">
        <f>SUM(M3:M58)</f>
        <v>102320030.63725489</v>
      </c>
    </row>
    <row r="65" spans="1:13" x14ac:dyDescent="0.2">
      <c r="I65" s="3" t="s">
        <v>25</v>
      </c>
      <c r="J65" s="15">
        <v>154604969</v>
      </c>
    </row>
    <row r="66" spans="1:13" x14ac:dyDescent="0.2">
      <c r="I66" s="3" t="s">
        <v>27</v>
      </c>
      <c r="J66" s="9">
        <v>8552000</v>
      </c>
      <c r="K66" t="s">
        <v>993</v>
      </c>
    </row>
    <row r="67" spans="1:13" x14ac:dyDescent="0.2">
      <c r="I67" s="3" t="s">
        <v>26</v>
      </c>
      <c r="J67" s="3">
        <v>3649400</v>
      </c>
    </row>
    <row r="68" spans="1:13" x14ac:dyDescent="0.2">
      <c r="I68" s="3" t="s">
        <v>33</v>
      </c>
      <c r="J68" s="3">
        <v>4000000</v>
      </c>
    </row>
    <row r="69" spans="1:13" x14ac:dyDescent="0.2">
      <c r="I69" s="3" t="s">
        <v>31</v>
      </c>
      <c r="J69" s="3">
        <v>6350000</v>
      </c>
    </row>
    <row r="70" spans="1:13" x14ac:dyDescent="0.2">
      <c r="I70" s="3" t="s">
        <v>36</v>
      </c>
      <c r="J70" s="3">
        <v>3410000</v>
      </c>
    </row>
    <row r="71" spans="1:13" x14ac:dyDescent="0.2">
      <c r="I71" s="3" t="s">
        <v>29</v>
      </c>
      <c r="J71" s="23">
        <v>10040000</v>
      </c>
      <c r="K71" s="117">
        <v>3000000</v>
      </c>
    </row>
    <row r="72" spans="1:13" x14ac:dyDescent="0.2">
      <c r="I72" s="3" t="s">
        <v>34</v>
      </c>
      <c r="J72" s="26">
        <f>SUM(J65:J71)</f>
        <v>190606369</v>
      </c>
    </row>
    <row r="73" spans="1:13" x14ac:dyDescent="0.2">
      <c r="I73" s="3" t="s">
        <v>6</v>
      </c>
      <c r="J73" s="55">
        <v>256925000</v>
      </c>
    </row>
    <row r="74" spans="1:13" ht="18" x14ac:dyDescent="0.35">
      <c r="I74" s="3" t="s">
        <v>35</v>
      </c>
      <c r="J74" s="21">
        <f>J73-J72</f>
        <v>66318631</v>
      </c>
    </row>
    <row r="76" spans="1:13" ht="31" x14ac:dyDescent="0.35">
      <c r="A76" s="56" t="s">
        <v>921</v>
      </c>
      <c r="B76" s="56"/>
      <c r="C76" s="56"/>
      <c r="D76" s="56"/>
      <c r="E76" s="56"/>
      <c r="F76" s="57"/>
      <c r="G76" s="57"/>
      <c r="H76" s="57"/>
      <c r="I76" s="57"/>
      <c r="J76" s="57"/>
      <c r="K76" s="57"/>
      <c r="L76" s="57"/>
      <c r="M76" s="57"/>
    </row>
    <row r="77" spans="1:13" x14ac:dyDescent="0.2">
      <c r="A77" s="58" t="s">
        <v>0</v>
      </c>
      <c r="B77" s="58" t="s">
        <v>1</v>
      </c>
      <c r="C77" s="58" t="s">
        <v>263</v>
      </c>
      <c r="D77" s="58" t="s">
        <v>2</v>
      </c>
      <c r="E77" s="58" t="s">
        <v>3</v>
      </c>
      <c r="F77" s="58" t="s">
        <v>11</v>
      </c>
      <c r="G77" s="59" t="s">
        <v>8</v>
      </c>
      <c r="H77" s="58" t="s">
        <v>77</v>
      </c>
      <c r="I77" s="59" t="s">
        <v>41</v>
      </c>
      <c r="J77" s="59" t="s">
        <v>9</v>
      </c>
      <c r="K77" s="59" t="s">
        <v>10</v>
      </c>
      <c r="L77" s="59" t="s">
        <v>6</v>
      </c>
      <c r="M77" s="59" t="s">
        <v>12</v>
      </c>
    </row>
    <row r="78" spans="1:13" x14ac:dyDescent="0.2">
      <c r="A78" s="2" t="s">
        <v>862</v>
      </c>
      <c r="B78" s="1" t="s">
        <v>207</v>
      </c>
      <c r="C78" s="1" t="s">
        <v>911</v>
      </c>
      <c r="D78" s="1">
        <v>32.35</v>
      </c>
      <c r="E78" s="1">
        <v>700</v>
      </c>
      <c r="F78" s="1">
        <v>110</v>
      </c>
      <c r="G78" s="44">
        <f t="shared" ref="G78" si="10">E78*F78</f>
        <v>77000</v>
      </c>
      <c r="H78" s="5">
        <f t="shared" ref="H78" si="11">G78/D78</f>
        <v>2380.2163833075733</v>
      </c>
      <c r="I78" s="3">
        <v>2540</v>
      </c>
      <c r="J78" s="3">
        <f t="shared" ref="J78:J89" si="12">F78/D78*I78*E78</f>
        <v>6045749.6136012366</v>
      </c>
      <c r="K78" s="3">
        <v>15000</v>
      </c>
      <c r="L78" s="44">
        <f t="shared" ref="L78:L89" si="13">K78*E78</f>
        <v>10500000</v>
      </c>
      <c r="M78" s="3">
        <f>L78-J78</f>
        <v>4454250.3863987634</v>
      </c>
    </row>
    <row r="79" spans="1:13" x14ac:dyDescent="0.2">
      <c r="A79" s="2"/>
      <c r="B79" s="1" t="s">
        <v>23</v>
      </c>
      <c r="C79" s="1" t="s">
        <v>912</v>
      </c>
      <c r="D79" s="1">
        <v>32.35</v>
      </c>
      <c r="E79" s="1">
        <v>264</v>
      </c>
      <c r="F79" s="1">
        <v>50</v>
      </c>
      <c r="G79" s="44">
        <f>E79*F79</f>
        <v>13200</v>
      </c>
      <c r="H79" s="5">
        <f>G79/D79</f>
        <v>408.03709428129827</v>
      </c>
      <c r="I79" s="3">
        <v>2540</v>
      </c>
      <c r="J79" s="3">
        <f t="shared" si="12"/>
        <v>1036414.2194744976</v>
      </c>
      <c r="K79" s="3">
        <v>12000</v>
      </c>
      <c r="L79" s="44">
        <f t="shared" si="13"/>
        <v>3168000</v>
      </c>
      <c r="M79" s="3">
        <f>L79-J79</f>
        <v>2131585.7805255023</v>
      </c>
    </row>
    <row r="80" spans="1:13" x14ac:dyDescent="0.2">
      <c r="A80" s="2"/>
      <c r="B80" s="1" t="s">
        <v>42</v>
      </c>
      <c r="C80" s="1" t="s">
        <v>913</v>
      </c>
      <c r="D80" s="1">
        <v>32.35</v>
      </c>
      <c r="E80" s="1">
        <v>400</v>
      </c>
      <c r="F80" s="1">
        <v>140</v>
      </c>
      <c r="G80" s="44">
        <f>E80*F80</f>
        <v>56000</v>
      </c>
      <c r="H80" s="5">
        <f>G80/D80</f>
        <v>1731.066460587326</v>
      </c>
      <c r="I80" s="3">
        <v>2540</v>
      </c>
      <c r="J80" s="3">
        <f t="shared" si="12"/>
        <v>4396908.8098918078</v>
      </c>
      <c r="K80" s="3">
        <v>16000</v>
      </c>
      <c r="L80" s="44">
        <f t="shared" si="13"/>
        <v>6400000</v>
      </c>
      <c r="M80" s="3">
        <f>L80-J80</f>
        <v>2003091.1901081922</v>
      </c>
    </row>
    <row r="81" spans="1:13" x14ac:dyDescent="0.2">
      <c r="A81" s="2"/>
      <c r="B81" s="1" t="s">
        <v>383</v>
      </c>
      <c r="C81" s="1" t="s">
        <v>914</v>
      </c>
      <c r="D81" s="1">
        <v>32.35</v>
      </c>
      <c r="E81" s="1">
        <v>140</v>
      </c>
      <c r="F81" s="1">
        <v>110</v>
      </c>
      <c r="G81" s="1">
        <f>E81*F81</f>
        <v>15400</v>
      </c>
      <c r="H81" s="1">
        <f t="shared" ref="H81:H89" si="14">G81/D81</f>
        <v>476.04327666151465</v>
      </c>
      <c r="I81" s="3">
        <v>2540</v>
      </c>
      <c r="J81" s="37">
        <f t="shared" si="12"/>
        <v>1209149.9227202472</v>
      </c>
      <c r="K81" s="3">
        <v>13000</v>
      </c>
      <c r="L81" s="44">
        <f t="shared" si="13"/>
        <v>1820000</v>
      </c>
      <c r="M81" s="3">
        <f>L81-J81</f>
        <v>610850.07727975282</v>
      </c>
    </row>
    <row r="82" spans="1:13" x14ac:dyDescent="0.2">
      <c r="A82" s="2"/>
      <c r="B82" s="1" t="s">
        <v>23</v>
      </c>
      <c r="C82" s="1" t="s">
        <v>912</v>
      </c>
      <c r="D82" s="1">
        <v>32.35</v>
      </c>
      <c r="E82" s="1">
        <v>490</v>
      </c>
      <c r="F82" s="1">
        <v>60</v>
      </c>
      <c r="G82" s="1">
        <f t="shared" ref="G82:G89" si="15">E82*F82</f>
        <v>29400</v>
      </c>
      <c r="H82" s="1">
        <f t="shared" si="14"/>
        <v>908.80989180834615</v>
      </c>
      <c r="I82" s="3">
        <v>2540</v>
      </c>
      <c r="J82" s="37">
        <f t="shared" si="12"/>
        <v>2308377.1251931991</v>
      </c>
      <c r="K82" s="3">
        <v>13000</v>
      </c>
      <c r="L82" s="44">
        <f t="shared" si="13"/>
        <v>6370000</v>
      </c>
      <c r="M82" s="3">
        <f t="shared" ref="M82" si="16">L82-J82</f>
        <v>4061622.8748068009</v>
      </c>
    </row>
    <row r="83" spans="1:13" x14ac:dyDescent="0.2">
      <c r="A83" s="2"/>
      <c r="B83" s="1" t="s">
        <v>915</v>
      </c>
      <c r="C83" s="1" t="s">
        <v>916</v>
      </c>
      <c r="D83" s="1">
        <v>32.35</v>
      </c>
      <c r="E83" s="1">
        <v>200</v>
      </c>
      <c r="F83" s="1">
        <v>200</v>
      </c>
      <c r="G83" s="1">
        <f t="shared" si="15"/>
        <v>40000</v>
      </c>
      <c r="H83" s="1">
        <f t="shared" si="14"/>
        <v>1236.4760432766614</v>
      </c>
      <c r="I83" s="3">
        <v>2540</v>
      </c>
      <c r="J83" s="37">
        <f t="shared" si="12"/>
        <v>3140649.1499227197</v>
      </c>
      <c r="K83" s="29">
        <v>22000</v>
      </c>
      <c r="L83" s="64">
        <f t="shared" si="13"/>
        <v>4400000</v>
      </c>
      <c r="M83" s="29">
        <f>L83-J83</f>
        <v>1259350.8500772803</v>
      </c>
    </row>
    <row r="84" spans="1:13" x14ac:dyDescent="0.2">
      <c r="A84" s="2"/>
      <c r="B84" s="1" t="s">
        <v>253</v>
      </c>
      <c r="C84" s="1" t="s">
        <v>917</v>
      </c>
      <c r="D84" s="1">
        <v>32.35</v>
      </c>
      <c r="E84" s="1">
        <v>200</v>
      </c>
      <c r="F84" s="1">
        <v>150</v>
      </c>
      <c r="G84" s="1">
        <f t="shared" si="15"/>
        <v>30000</v>
      </c>
      <c r="H84" s="1">
        <f t="shared" si="14"/>
        <v>927.35703245749608</v>
      </c>
      <c r="I84" s="3">
        <v>2540</v>
      </c>
      <c r="J84" s="37">
        <f t="shared" si="12"/>
        <v>2355486.8624420399</v>
      </c>
      <c r="K84" s="29">
        <v>17000</v>
      </c>
      <c r="L84" s="64">
        <f t="shared" si="13"/>
        <v>3400000</v>
      </c>
      <c r="M84" s="29">
        <f t="shared" ref="M84:M89" si="17">L84-J84</f>
        <v>1044513.1375579601</v>
      </c>
    </row>
    <row r="85" spans="1:13" x14ac:dyDescent="0.2">
      <c r="A85" s="2"/>
      <c r="B85" s="1" t="s">
        <v>253</v>
      </c>
      <c r="C85" s="1" t="s">
        <v>917</v>
      </c>
      <c r="D85" s="1">
        <v>32.35</v>
      </c>
      <c r="E85" s="1">
        <v>200</v>
      </c>
      <c r="F85" s="1">
        <v>150</v>
      </c>
      <c r="G85" s="1">
        <f t="shared" si="15"/>
        <v>30000</v>
      </c>
      <c r="H85" s="1">
        <f t="shared" si="14"/>
        <v>927.35703245749608</v>
      </c>
      <c r="I85" s="3">
        <v>2540</v>
      </c>
      <c r="J85" s="37">
        <f t="shared" si="12"/>
        <v>2355486.8624420399</v>
      </c>
      <c r="K85" s="29">
        <v>17000</v>
      </c>
      <c r="L85" s="64">
        <f t="shared" si="13"/>
        <v>3400000</v>
      </c>
      <c r="M85" s="29">
        <f t="shared" si="17"/>
        <v>1044513.1375579601</v>
      </c>
    </row>
    <row r="86" spans="1:13" x14ac:dyDescent="0.2">
      <c r="A86" s="1"/>
      <c r="B86" s="1" t="s">
        <v>23</v>
      </c>
      <c r="C86" s="1" t="s">
        <v>918</v>
      </c>
      <c r="D86" s="1">
        <v>32.35</v>
      </c>
      <c r="E86" s="1">
        <v>300</v>
      </c>
      <c r="F86" s="1">
        <v>90</v>
      </c>
      <c r="G86" s="1">
        <f t="shared" si="15"/>
        <v>27000</v>
      </c>
      <c r="H86" s="1">
        <f t="shared" si="14"/>
        <v>834.62132921174646</v>
      </c>
      <c r="I86" s="3">
        <v>2540</v>
      </c>
      <c r="J86" s="37">
        <f t="shared" si="12"/>
        <v>2119938.1761978362</v>
      </c>
      <c r="K86" s="29">
        <v>12000</v>
      </c>
      <c r="L86" s="64">
        <f t="shared" si="13"/>
        <v>3600000</v>
      </c>
      <c r="M86" s="29">
        <f t="shared" si="17"/>
        <v>1480061.8238021638</v>
      </c>
    </row>
    <row r="87" spans="1:13" x14ac:dyDescent="0.2">
      <c r="A87" s="1"/>
      <c r="B87" s="1" t="s">
        <v>253</v>
      </c>
      <c r="C87" s="1" t="s">
        <v>919</v>
      </c>
      <c r="D87" s="1">
        <v>32.35</v>
      </c>
      <c r="E87" s="1">
        <v>300</v>
      </c>
      <c r="F87" s="1">
        <v>100</v>
      </c>
      <c r="G87" s="1">
        <f t="shared" si="15"/>
        <v>30000</v>
      </c>
      <c r="H87" s="1">
        <f t="shared" si="14"/>
        <v>927.35703245749608</v>
      </c>
      <c r="I87" s="3">
        <v>2540</v>
      </c>
      <c r="J87" s="37">
        <f t="shared" si="12"/>
        <v>2355486.8624420399</v>
      </c>
      <c r="K87" s="29">
        <v>13000</v>
      </c>
      <c r="L87" s="64">
        <f t="shared" si="13"/>
        <v>3900000</v>
      </c>
      <c r="M87" s="29">
        <f t="shared" si="17"/>
        <v>1544513.1375579601</v>
      </c>
    </row>
    <row r="88" spans="1:13" x14ac:dyDescent="0.2">
      <c r="A88" s="1"/>
      <c r="B88" s="1" t="s">
        <v>253</v>
      </c>
      <c r="C88" s="1" t="s">
        <v>920</v>
      </c>
      <c r="D88" s="1">
        <v>32.35</v>
      </c>
      <c r="E88" s="1">
        <v>300</v>
      </c>
      <c r="F88" s="1">
        <v>90</v>
      </c>
      <c r="G88" s="1">
        <f t="shared" si="15"/>
        <v>27000</v>
      </c>
      <c r="H88" s="1">
        <f t="shared" si="14"/>
        <v>834.62132921174646</v>
      </c>
      <c r="I88" s="3">
        <v>2540</v>
      </c>
      <c r="J88" s="37">
        <f t="shared" si="12"/>
        <v>2119938.1761978362</v>
      </c>
      <c r="K88" s="29">
        <v>12000</v>
      </c>
      <c r="L88" s="64">
        <f t="shared" si="13"/>
        <v>3600000</v>
      </c>
      <c r="M88" s="29">
        <f t="shared" si="17"/>
        <v>1480061.8238021638</v>
      </c>
    </row>
    <row r="89" spans="1:13" x14ac:dyDescent="0.2">
      <c r="A89" s="1"/>
      <c r="B89" s="1" t="s">
        <v>205</v>
      </c>
      <c r="C89" s="1" t="s">
        <v>481</v>
      </c>
      <c r="D89" s="1">
        <v>32.35</v>
      </c>
      <c r="E89" s="1">
        <v>102</v>
      </c>
      <c r="F89" s="1">
        <v>110</v>
      </c>
      <c r="G89" s="1">
        <f t="shared" si="15"/>
        <v>11220</v>
      </c>
      <c r="H89" s="1">
        <f t="shared" si="14"/>
        <v>346.83153013910356</v>
      </c>
      <c r="I89" s="3">
        <v>2540</v>
      </c>
      <c r="J89" s="37">
        <f t="shared" si="12"/>
        <v>880952.08655332297</v>
      </c>
      <c r="K89" s="29">
        <v>18000</v>
      </c>
      <c r="L89" s="64">
        <f t="shared" si="13"/>
        <v>1836000</v>
      </c>
      <c r="M89" s="29">
        <f t="shared" si="17"/>
        <v>955047.91344667703</v>
      </c>
    </row>
    <row r="90" spans="1:13" x14ac:dyDescent="0.2">
      <c r="E90" s="7">
        <f>SUM(E78:E89)</f>
        <v>3596</v>
      </c>
      <c r="G90" s="115">
        <f>SUM(G78:G89)</f>
        <v>386220</v>
      </c>
      <c r="H90" s="114">
        <f>SUM(H78:H89)</f>
        <v>11938.794435857804</v>
      </c>
      <c r="J90" s="95">
        <f>SUM(J78:J89)</f>
        <v>30324537.867078822</v>
      </c>
      <c r="L90" s="70">
        <f>SUM(L78:L89)</f>
        <v>52394000</v>
      </c>
      <c r="M90" s="48">
        <f>SUM(M78:M89)</f>
        <v>22069462.132921178</v>
      </c>
    </row>
    <row r="94" spans="1:13" x14ac:dyDescent="0.2">
      <c r="I94" s="3" t="s">
        <v>25</v>
      </c>
      <c r="J94" s="15">
        <v>30324538</v>
      </c>
    </row>
    <row r="95" spans="1:13" x14ac:dyDescent="0.2">
      <c r="I95" s="3" t="s">
        <v>27</v>
      </c>
      <c r="J95" s="9">
        <v>956250</v>
      </c>
    </row>
    <row r="96" spans="1:13" x14ac:dyDescent="0.2">
      <c r="I96" s="3" t="s">
        <v>26</v>
      </c>
      <c r="J96" s="3"/>
    </row>
    <row r="97" spans="9:10" x14ac:dyDescent="0.2">
      <c r="I97" s="3" t="s">
        <v>33</v>
      </c>
      <c r="J97" s="3">
        <v>500000</v>
      </c>
    </row>
    <row r="98" spans="9:10" x14ac:dyDescent="0.2">
      <c r="I98" s="3" t="s">
        <v>31</v>
      </c>
      <c r="J98" s="3">
        <v>1000000</v>
      </c>
    </row>
    <row r="99" spans="9:10" x14ac:dyDescent="0.2">
      <c r="I99" s="3" t="s">
        <v>36</v>
      </c>
      <c r="J99" s="3">
        <v>1000000</v>
      </c>
    </row>
    <row r="100" spans="9:10" x14ac:dyDescent="0.2">
      <c r="I100" s="3" t="s">
        <v>29</v>
      </c>
      <c r="J100" s="23">
        <v>2700000</v>
      </c>
    </row>
    <row r="101" spans="9:10" x14ac:dyDescent="0.2">
      <c r="I101" s="3" t="s">
        <v>34</v>
      </c>
      <c r="J101" s="26">
        <f>SUM(J94:J100)</f>
        <v>36480788</v>
      </c>
    </row>
    <row r="102" spans="9:10" x14ac:dyDescent="0.2">
      <c r="I102" s="3" t="s">
        <v>6</v>
      </c>
      <c r="J102" s="55">
        <v>52394000</v>
      </c>
    </row>
    <row r="103" spans="9:10" ht="18" x14ac:dyDescent="0.35">
      <c r="I103" s="3" t="s">
        <v>35</v>
      </c>
      <c r="J103" s="21">
        <f>J102-J101</f>
        <v>15913212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75"/>
  <sheetViews>
    <sheetView topLeftCell="B37" workbookViewId="0">
      <selection activeCell="C1" sqref="C1"/>
    </sheetView>
  </sheetViews>
  <sheetFormatPr baseColWidth="10" defaultRowHeight="15" x14ac:dyDescent="0.2"/>
  <cols>
    <col min="3" max="3" width="14.6640625" customWidth="1"/>
    <col min="10" max="10" width="13.33203125" customWidth="1"/>
    <col min="11" max="11" width="11" customWidth="1"/>
    <col min="12" max="12" width="13.33203125" customWidth="1"/>
    <col min="13" max="13" width="13.83203125" customWidth="1"/>
  </cols>
  <sheetData>
    <row r="1" spans="1:13" ht="31" x14ac:dyDescent="0.35">
      <c r="A1" s="56" t="s">
        <v>1038</v>
      </c>
      <c r="B1" s="56"/>
      <c r="C1" s="56" t="s">
        <v>1035</v>
      </c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2" t="s">
        <v>923</v>
      </c>
      <c r="B3" s="1" t="s">
        <v>7</v>
      </c>
      <c r="C3" s="1" t="s">
        <v>924</v>
      </c>
      <c r="D3" s="1">
        <v>6.2</v>
      </c>
      <c r="E3" s="1">
        <v>200</v>
      </c>
      <c r="F3" s="1">
        <v>20</v>
      </c>
      <c r="G3" s="44">
        <f t="shared" ref="G3" si="0">E3*F3</f>
        <v>4000</v>
      </c>
      <c r="H3" s="5">
        <f t="shared" ref="H3:H53" si="1">G3/D3</f>
        <v>645.16129032258061</v>
      </c>
      <c r="I3" s="3">
        <v>2565</v>
      </c>
      <c r="J3" s="3">
        <f t="shared" ref="J3:J53" si="2">F3/D3*I3*E3</f>
        <v>1654838.7096774194</v>
      </c>
      <c r="K3" s="3">
        <v>15000</v>
      </c>
      <c r="L3" s="44">
        <f t="shared" ref="L3:L53" si="3">K3*E3</f>
        <v>3000000</v>
      </c>
      <c r="M3" s="3">
        <f>L3-J3</f>
        <v>1345161.2903225806</v>
      </c>
    </row>
    <row r="4" spans="1:13" x14ac:dyDescent="0.2">
      <c r="A4" s="2"/>
      <c r="B4" s="1" t="s">
        <v>253</v>
      </c>
      <c r="C4" s="1" t="s">
        <v>925</v>
      </c>
      <c r="D4" s="1">
        <v>6.2</v>
      </c>
      <c r="E4" s="1">
        <v>300</v>
      </c>
      <c r="F4" s="1">
        <v>23</v>
      </c>
      <c r="G4" s="44">
        <f>E4*F4</f>
        <v>6900</v>
      </c>
      <c r="H4" s="5">
        <f>G4/D4</f>
        <v>1112.9032258064515</v>
      </c>
      <c r="I4" s="3">
        <v>2565</v>
      </c>
      <c r="J4" s="3">
        <f t="shared" si="2"/>
        <v>2854596.7741935481</v>
      </c>
      <c r="K4" s="3">
        <v>16000</v>
      </c>
      <c r="L4" s="44">
        <f t="shared" si="3"/>
        <v>4800000</v>
      </c>
      <c r="M4" s="3">
        <f>L4-J4</f>
        <v>1945403.2258064519</v>
      </c>
    </row>
    <row r="5" spans="1:13" x14ac:dyDescent="0.2">
      <c r="A5" s="2"/>
      <c r="B5" s="1" t="s">
        <v>253</v>
      </c>
      <c r="C5" s="1" t="s">
        <v>925</v>
      </c>
      <c r="D5" s="1">
        <v>6.2</v>
      </c>
      <c r="E5" s="1">
        <v>300</v>
      </c>
      <c r="F5" s="1">
        <v>23</v>
      </c>
      <c r="G5" s="44">
        <f>E5*F5</f>
        <v>6900</v>
      </c>
      <c r="H5" s="5">
        <f>G5/D5</f>
        <v>1112.9032258064515</v>
      </c>
      <c r="I5" s="3">
        <v>2565</v>
      </c>
      <c r="J5" s="3">
        <f t="shared" si="2"/>
        <v>2854596.7741935481</v>
      </c>
      <c r="K5" s="3">
        <v>17000</v>
      </c>
      <c r="L5" s="44">
        <f t="shared" si="3"/>
        <v>5100000</v>
      </c>
      <c r="M5" s="3">
        <f>L5-J5</f>
        <v>2245403.2258064519</v>
      </c>
    </row>
    <row r="6" spans="1:13" x14ac:dyDescent="0.2">
      <c r="A6" s="2"/>
      <c r="B6" s="1" t="s">
        <v>253</v>
      </c>
      <c r="C6" s="1" t="s">
        <v>926</v>
      </c>
      <c r="D6" s="1">
        <v>6.2</v>
      </c>
      <c r="E6" s="1">
        <v>300</v>
      </c>
      <c r="F6" s="1">
        <v>23</v>
      </c>
      <c r="G6" s="1">
        <f>E6*F6</f>
        <v>6900</v>
      </c>
      <c r="H6" s="1">
        <f t="shared" si="1"/>
        <v>1112.9032258064515</v>
      </c>
      <c r="I6" s="3">
        <v>2565</v>
      </c>
      <c r="J6" s="37">
        <f t="shared" si="2"/>
        <v>2854596.7741935481</v>
      </c>
      <c r="K6" s="3">
        <v>17000</v>
      </c>
      <c r="L6" s="44">
        <f t="shared" si="3"/>
        <v>5100000</v>
      </c>
      <c r="M6" s="3">
        <f>L6-J6</f>
        <v>2245403.2258064519</v>
      </c>
    </row>
    <row r="7" spans="1:13" x14ac:dyDescent="0.2">
      <c r="A7" s="2"/>
      <c r="B7" s="1"/>
      <c r="C7" s="1" t="s">
        <v>469</v>
      </c>
      <c r="D7" s="1">
        <v>6.2</v>
      </c>
      <c r="E7" s="1">
        <v>450</v>
      </c>
      <c r="F7" s="1">
        <v>33</v>
      </c>
      <c r="G7" s="1">
        <f>E7*F7</f>
        <v>14850</v>
      </c>
      <c r="H7" s="1">
        <f t="shared" si="1"/>
        <v>2395.1612903225805</v>
      </c>
      <c r="I7" s="3">
        <v>2565</v>
      </c>
      <c r="J7" s="37">
        <f t="shared" si="2"/>
        <v>6143588.7096774187</v>
      </c>
      <c r="K7" s="3">
        <v>20000</v>
      </c>
      <c r="L7" s="44">
        <f t="shared" si="3"/>
        <v>9000000</v>
      </c>
      <c r="M7" s="3">
        <f>L7-J7</f>
        <v>2856411.2903225813</v>
      </c>
    </row>
    <row r="8" spans="1:13" x14ac:dyDescent="0.2">
      <c r="A8" s="2"/>
      <c r="B8" s="1" t="s">
        <v>253</v>
      </c>
      <c r="C8" s="1" t="s">
        <v>253</v>
      </c>
      <c r="D8" s="1">
        <v>6.2</v>
      </c>
      <c r="E8" s="1">
        <v>60</v>
      </c>
      <c r="F8" s="1">
        <v>23</v>
      </c>
      <c r="G8" s="1">
        <f t="shared" ref="G8:G54" si="4">E8*F8</f>
        <v>1380</v>
      </c>
      <c r="H8" s="1">
        <f t="shared" si="1"/>
        <v>222.58064516129031</v>
      </c>
      <c r="I8" s="3">
        <v>2565</v>
      </c>
      <c r="J8" s="37">
        <f t="shared" si="2"/>
        <v>570919.3548387097</v>
      </c>
      <c r="K8" s="3">
        <v>17000</v>
      </c>
      <c r="L8" s="44">
        <f t="shared" si="3"/>
        <v>1020000</v>
      </c>
      <c r="M8" s="3">
        <f t="shared" ref="M8:M53" si="5">L8-J8</f>
        <v>449080.6451612903</v>
      </c>
    </row>
    <row r="9" spans="1:13" x14ac:dyDescent="0.2">
      <c r="A9" s="2"/>
      <c r="B9" s="1" t="s">
        <v>7</v>
      </c>
      <c r="C9" s="1" t="s">
        <v>927</v>
      </c>
      <c r="D9" s="1">
        <v>6.2</v>
      </c>
      <c r="E9" s="1">
        <v>1406</v>
      </c>
      <c r="F9" s="1">
        <v>20</v>
      </c>
      <c r="G9" s="1">
        <f t="shared" si="4"/>
        <v>28120</v>
      </c>
      <c r="H9" s="1">
        <f t="shared" si="1"/>
        <v>4535.4838709677415</v>
      </c>
      <c r="I9" s="3">
        <v>2565</v>
      </c>
      <c r="J9" s="37">
        <f t="shared" si="2"/>
        <v>11633516.129032258</v>
      </c>
      <c r="K9" s="29">
        <v>17000</v>
      </c>
      <c r="L9" s="64">
        <f t="shared" si="3"/>
        <v>23902000</v>
      </c>
      <c r="M9" s="29">
        <f>L9-J9</f>
        <v>12268483.870967742</v>
      </c>
    </row>
    <row r="10" spans="1:13" x14ac:dyDescent="0.2">
      <c r="A10" s="2"/>
      <c r="B10" s="1" t="s">
        <v>7</v>
      </c>
      <c r="C10" s="1" t="s">
        <v>928</v>
      </c>
      <c r="D10" s="1">
        <v>6.2</v>
      </c>
      <c r="E10" s="1">
        <v>200</v>
      </c>
      <c r="F10" s="1">
        <v>25</v>
      </c>
      <c r="G10" s="1">
        <f t="shared" si="4"/>
        <v>5000</v>
      </c>
      <c r="H10" s="1">
        <f t="shared" si="1"/>
        <v>806.45161290322574</v>
      </c>
      <c r="I10" s="3">
        <v>2565</v>
      </c>
      <c r="J10" s="37">
        <f t="shared" si="2"/>
        <v>2068548.3870967743</v>
      </c>
      <c r="K10" s="29">
        <v>17000</v>
      </c>
      <c r="L10" s="64">
        <f t="shared" si="3"/>
        <v>3400000</v>
      </c>
      <c r="M10" s="29">
        <f t="shared" si="5"/>
        <v>1331451.6129032257</v>
      </c>
    </row>
    <row r="11" spans="1:13" x14ac:dyDescent="0.2">
      <c r="A11" s="2"/>
      <c r="B11" s="1" t="s">
        <v>7</v>
      </c>
      <c r="C11" s="1" t="s">
        <v>929</v>
      </c>
      <c r="D11" s="1">
        <v>6.2</v>
      </c>
      <c r="E11" s="1">
        <v>200</v>
      </c>
      <c r="F11" s="1">
        <v>30</v>
      </c>
      <c r="G11" s="1">
        <f t="shared" si="4"/>
        <v>6000</v>
      </c>
      <c r="H11" s="1">
        <f t="shared" si="1"/>
        <v>967.74193548387098</v>
      </c>
      <c r="I11" s="3">
        <v>2565</v>
      </c>
      <c r="J11" s="37">
        <f t="shared" si="2"/>
        <v>2482258.064516129</v>
      </c>
      <c r="K11" s="29">
        <v>20000</v>
      </c>
      <c r="L11" s="64">
        <f t="shared" si="3"/>
        <v>4000000</v>
      </c>
      <c r="M11" s="29">
        <f t="shared" si="5"/>
        <v>1517741.935483871</v>
      </c>
    </row>
    <row r="12" spans="1:13" x14ac:dyDescent="0.2">
      <c r="A12" s="1"/>
      <c r="B12" s="1" t="s">
        <v>253</v>
      </c>
      <c r="C12" s="1" t="s">
        <v>930</v>
      </c>
      <c r="D12" s="1">
        <v>6.2</v>
      </c>
      <c r="E12" s="1">
        <v>300</v>
      </c>
      <c r="F12" s="1">
        <v>26</v>
      </c>
      <c r="G12" s="1">
        <f t="shared" si="4"/>
        <v>7800</v>
      </c>
      <c r="H12" s="1">
        <f t="shared" si="1"/>
        <v>1258.0645161290322</v>
      </c>
      <c r="I12" s="3">
        <v>2565</v>
      </c>
      <c r="J12" s="37">
        <f t="shared" si="2"/>
        <v>3226935.4838709678</v>
      </c>
      <c r="K12" s="29">
        <v>17000</v>
      </c>
      <c r="L12" s="64">
        <f t="shared" si="3"/>
        <v>5100000</v>
      </c>
      <c r="M12" s="29">
        <f t="shared" si="5"/>
        <v>1873064.5161290322</v>
      </c>
    </row>
    <row r="13" spans="1:13" x14ac:dyDescent="0.2">
      <c r="A13" s="1"/>
      <c r="B13" s="1" t="s">
        <v>23</v>
      </c>
      <c r="C13" s="1" t="s">
        <v>931</v>
      </c>
      <c r="D13" s="1">
        <v>6.2</v>
      </c>
      <c r="E13" s="1">
        <v>200</v>
      </c>
      <c r="F13" s="1">
        <v>18</v>
      </c>
      <c r="G13" s="1">
        <f t="shared" si="4"/>
        <v>3600</v>
      </c>
      <c r="H13" s="1">
        <f t="shared" si="1"/>
        <v>580.64516129032256</v>
      </c>
      <c r="I13" s="3">
        <v>2565</v>
      </c>
      <c r="J13" s="37">
        <f t="shared" si="2"/>
        <v>1489354.8387096776</v>
      </c>
      <c r="K13" s="29">
        <v>13000</v>
      </c>
      <c r="L13" s="64">
        <f t="shared" si="3"/>
        <v>2600000</v>
      </c>
      <c r="M13" s="29">
        <f t="shared" si="5"/>
        <v>1110645.1612903224</v>
      </c>
    </row>
    <row r="14" spans="1:13" x14ac:dyDescent="0.2">
      <c r="A14" s="1"/>
      <c r="B14" s="1" t="s">
        <v>68</v>
      </c>
      <c r="C14" s="1" t="s">
        <v>253</v>
      </c>
      <c r="D14" s="1">
        <v>6.2</v>
      </c>
      <c r="E14" s="1">
        <v>200</v>
      </c>
      <c r="F14" s="1">
        <v>26</v>
      </c>
      <c r="G14" s="1">
        <f t="shared" si="4"/>
        <v>5200</v>
      </c>
      <c r="H14" s="1">
        <f t="shared" si="1"/>
        <v>838.70967741935476</v>
      </c>
      <c r="I14" s="3">
        <v>2565</v>
      </c>
      <c r="J14" s="37">
        <f t="shared" si="2"/>
        <v>2151290.3225806449</v>
      </c>
      <c r="K14" s="29">
        <v>18000</v>
      </c>
      <c r="L14" s="64">
        <f t="shared" si="3"/>
        <v>3600000</v>
      </c>
      <c r="M14" s="29">
        <f t="shared" si="5"/>
        <v>1448709.6774193551</v>
      </c>
    </row>
    <row r="15" spans="1:13" x14ac:dyDescent="0.2">
      <c r="A15" s="1"/>
      <c r="B15" s="1" t="s">
        <v>68</v>
      </c>
      <c r="C15" s="1" t="s">
        <v>932</v>
      </c>
      <c r="D15" s="1">
        <v>6.2</v>
      </c>
      <c r="E15" s="1">
        <v>500</v>
      </c>
      <c r="F15" s="1">
        <v>30</v>
      </c>
      <c r="G15" s="1">
        <f t="shared" si="4"/>
        <v>15000</v>
      </c>
      <c r="H15" s="1">
        <f t="shared" si="1"/>
        <v>2419.3548387096776</v>
      </c>
      <c r="I15" s="3">
        <v>2565</v>
      </c>
      <c r="J15" s="37">
        <f t="shared" si="2"/>
        <v>6205645.1612903234</v>
      </c>
      <c r="K15" s="29">
        <v>18000</v>
      </c>
      <c r="L15" s="64">
        <f t="shared" si="3"/>
        <v>9000000</v>
      </c>
      <c r="M15" s="29">
        <f t="shared" si="5"/>
        <v>2794354.8387096766</v>
      </c>
    </row>
    <row r="16" spans="1:13" x14ac:dyDescent="0.2">
      <c r="A16" s="1"/>
      <c r="B16" s="1" t="s">
        <v>253</v>
      </c>
      <c r="C16" s="1" t="s">
        <v>933</v>
      </c>
      <c r="D16" s="1">
        <v>6.2</v>
      </c>
      <c r="E16" s="1">
        <v>500</v>
      </c>
      <c r="F16" s="1">
        <v>30</v>
      </c>
      <c r="G16" s="1">
        <f t="shared" si="4"/>
        <v>15000</v>
      </c>
      <c r="H16" s="1">
        <f t="shared" si="1"/>
        <v>2419.3548387096776</v>
      </c>
      <c r="I16" s="3">
        <v>2565</v>
      </c>
      <c r="J16" s="37">
        <f t="shared" si="2"/>
        <v>6205645.1612903234</v>
      </c>
      <c r="K16" s="29">
        <v>18000</v>
      </c>
      <c r="L16" s="64">
        <f t="shared" si="3"/>
        <v>9000000</v>
      </c>
      <c r="M16" s="29">
        <f t="shared" si="5"/>
        <v>2794354.8387096766</v>
      </c>
    </row>
    <row r="17" spans="1:13" x14ac:dyDescent="0.2">
      <c r="A17" s="1"/>
      <c r="B17" s="1" t="s">
        <v>253</v>
      </c>
      <c r="C17" s="1" t="s">
        <v>934</v>
      </c>
      <c r="D17" s="1">
        <v>6.2</v>
      </c>
      <c r="E17" s="1">
        <v>350</v>
      </c>
      <c r="F17" s="1">
        <v>24</v>
      </c>
      <c r="G17" s="1">
        <f t="shared" si="4"/>
        <v>8400</v>
      </c>
      <c r="H17" s="1">
        <f t="shared" si="1"/>
        <v>1354.8387096774193</v>
      </c>
      <c r="I17" s="3">
        <v>2565</v>
      </c>
      <c r="J17" s="37">
        <f t="shared" si="2"/>
        <v>3475161.2903225804</v>
      </c>
      <c r="K17" s="29">
        <v>15000</v>
      </c>
      <c r="L17" s="64">
        <f t="shared" si="3"/>
        <v>5250000</v>
      </c>
      <c r="M17" s="29">
        <f t="shared" si="5"/>
        <v>1774838.7096774196</v>
      </c>
    </row>
    <row r="18" spans="1:13" x14ac:dyDescent="0.2">
      <c r="A18" s="1"/>
      <c r="B18" s="1" t="s">
        <v>647</v>
      </c>
      <c r="C18" s="1" t="s">
        <v>945</v>
      </c>
      <c r="D18" s="1">
        <v>6.2</v>
      </c>
      <c r="E18" s="1">
        <v>200</v>
      </c>
      <c r="F18" s="1">
        <v>22</v>
      </c>
      <c r="G18" s="1">
        <f t="shared" si="4"/>
        <v>4400</v>
      </c>
      <c r="H18" s="1">
        <f t="shared" si="1"/>
        <v>709.67741935483866</v>
      </c>
      <c r="I18" s="3">
        <v>2565</v>
      </c>
      <c r="J18" s="37">
        <f t="shared" si="2"/>
        <v>1820322.5806451614</v>
      </c>
      <c r="K18" s="29">
        <v>15000</v>
      </c>
      <c r="L18" s="64">
        <f t="shared" si="3"/>
        <v>3000000</v>
      </c>
      <c r="M18" s="29">
        <f t="shared" si="5"/>
        <v>1179677.4193548386</v>
      </c>
    </row>
    <row r="19" spans="1:13" x14ac:dyDescent="0.2">
      <c r="A19" s="1"/>
      <c r="B19" s="1" t="s">
        <v>7</v>
      </c>
      <c r="C19" s="1" t="s">
        <v>961</v>
      </c>
      <c r="D19" s="1">
        <v>6.2</v>
      </c>
      <c r="E19" s="1">
        <v>200</v>
      </c>
      <c r="F19" s="1">
        <v>24</v>
      </c>
      <c r="G19" s="1">
        <f t="shared" si="4"/>
        <v>4800</v>
      </c>
      <c r="H19" s="1">
        <f t="shared" si="1"/>
        <v>774.19354838709671</v>
      </c>
      <c r="I19" s="3">
        <v>2565</v>
      </c>
      <c r="J19" s="37">
        <f t="shared" si="2"/>
        <v>1985806.451612903</v>
      </c>
      <c r="K19" s="29">
        <v>16000</v>
      </c>
      <c r="L19" s="64">
        <f t="shared" si="3"/>
        <v>3200000</v>
      </c>
      <c r="M19" s="29">
        <f t="shared" si="5"/>
        <v>1214193.548387097</v>
      </c>
    </row>
    <row r="20" spans="1:13" x14ac:dyDescent="0.2">
      <c r="A20" s="1"/>
      <c r="B20" s="1"/>
      <c r="C20" s="1" t="s">
        <v>955</v>
      </c>
      <c r="D20" s="1">
        <v>6.2</v>
      </c>
      <c r="E20" s="1">
        <v>200</v>
      </c>
      <c r="F20" s="1">
        <v>25</v>
      </c>
      <c r="G20" s="1">
        <f t="shared" si="4"/>
        <v>5000</v>
      </c>
      <c r="H20" s="1">
        <f t="shared" si="1"/>
        <v>806.45161290322574</v>
      </c>
      <c r="I20" s="3">
        <v>2565</v>
      </c>
      <c r="J20" s="37">
        <f t="shared" si="2"/>
        <v>2068548.3870967743</v>
      </c>
      <c r="K20" s="29">
        <v>16000</v>
      </c>
      <c r="L20" s="64">
        <f t="shared" si="3"/>
        <v>3200000</v>
      </c>
      <c r="M20" s="29">
        <f t="shared" si="5"/>
        <v>1131451.6129032257</v>
      </c>
    </row>
    <row r="21" spans="1:13" x14ac:dyDescent="0.2">
      <c r="A21" s="1"/>
      <c r="B21" s="1"/>
      <c r="C21" s="1" t="s">
        <v>956</v>
      </c>
      <c r="D21" s="1">
        <v>6.2</v>
      </c>
      <c r="E21" s="1">
        <v>200</v>
      </c>
      <c r="F21" s="1">
        <v>25</v>
      </c>
      <c r="G21" s="1">
        <f t="shared" si="4"/>
        <v>5000</v>
      </c>
      <c r="H21" s="1">
        <f t="shared" si="1"/>
        <v>806.45161290322574</v>
      </c>
      <c r="I21" s="3">
        <v>2565</v>
      </c>
      <c r="J21" s="37">
        <f t="shared" si="2"/>
        <v>2068548.3870967743</v>
      </c>
      <c r="K21" s="29">
        <v>16000</v>
      </c>
      <c r="L21" s="64">
        <f t="shared" si="3"/>
        <v>3200000</v>
      </c>
      <c r="M21" s="29">
        <f t="shared" si="5"/>
        <v>1131451.6129032257</v>
      </c>
    </row>
    <row r="22" spans="1:13" x14ac:dyDescent="0.2">
      <c r="A22" s="1"/>
      <c r="B22" s="1"/>
      <c r="C22" s="1" t="s">
        <v>957</v>
      </c>
      <c r="D22" s="1">
        <v>6.2</v>
      </c>
      <c r="E22" s="1">
        <v>200</v>
      </c>
      <c r="F22" s="1">
        <v>25.5</v>
      </c>
      <c r="G22" s="1">
        <f t="shared" si="4"/>
        <v>5100</v>
      </c>
      <c r="H22" s="1">
        <f t="shared" si="1"/>
        <v>822.58064516129025</v>
      </c>
      <c r="I22" s="3">
        <v>2565</v>
      </c>
      <c r="J22" s="37">
        <f t="shared" si="2"/>
        <v>2109919.3548387093</v>
      </c>
      <c r="K22" s="29">
        <v>17000</v>
      </c>
      <c r="L22" s="64">
        <f t="shared" si="3"/>
        <v>3400000</v>
      </c>
      <c r="M22" s="29">
        <f t="shared" si="5"/>
        <v>1290080.6451612907</v>
      </c>
    </row>
    <row r="23" spans="1:13" x14ac:dyDescent="0.2">
      <c r="A23" s="1"/>
      <c r="B23" s="1"/>
      <c r="C23" s="1" t="s">
        <v>958</v>
      </c>
      <c r="D23" s="1">
        <v>6.2</v>
      </c>
      <c r="E23" s="1">
        <v>200</v>
      </c>
      <c r="F23" s="1">
        <v>25.5</v>
      </c>
      <c r="G23" s="1">
        <f t="shared" si="4"/>
        <v>5100</v>
      </c>
      <c r="H23" s="1">
        <f t="shared" si="1"/>
        <v>822.58064516129025</v>
      </c>
      <c r="I23" s="3">
        <v>2565</v>
      </c>
      <c r="J23" s="37">
        <f t="shared" si="2"/>
        <v>2109919.3548387093</v>
      </c>
      <c r="K23" s="29">
        <v>17000</v>
      </c>
      <c r="L23" s="64">
        <f t="shared" si="3"/>
        <v>3400000</v>
      </c>
      <c r="M23" s="29">
        <f t="shared" si="5"/>
        <v>1290080.6451612907</v>
      </c>
    </row>
    <row r="24" spans="1:13" x14ac:dyDescent="0.2">
      <c r="A24" s="1"/>
      <c r="B24" s="1"/>
      <c r="C24" s="1" t="s">
        <v>959</v>
      </c>
      <c r="D24" s="1">
        <v>6.2</v>
      </c>
      <c r="E24" s="1">
        <v>200</v>
      </c>
      <c r="F24" s="1">
        <v>26</v>
      </c>
      <c r="G24" s="1">
        <f t="shared" si="4"/>
        <v>5200</v>
      </c>
      <c r="H24" s="1">
        <f t="shared" si="1"/>
        <v>838.70967741935476</v>
      </c>
      <c r="I24" s="3">
        <v>2565</v>
      </c>
      <c r="J24" s="37">
        <f t="shared" si="2"/>
        <v>2151290.3225806449</v>
      </c>
      <c r="K24" s="29">
        <v>16000</v>
      </c>
      <c r="L24" s="64">
        <f t="shared" si="3"/>
        <v>3200000</v>
      </c>
      <c r="M24" s="29">
        <f t="shared" si="5"/>
        <v>1048709.6774193551</v>
      </c>
    </row>
    <row r="25" spans="1:13" x14ac:dyDescent="0.2">
      <c r="A25" s="1"/>
      <c r="B25" s="1"/>
      <c r="C25" s="1" t="s">
        <v>960</v>
      </c>
      <c r="D25" s="1">
        <v>6.2</v>
      </c>
      <c r="E25" s="1">
        <v>200</v>
      </c>
      <c r="F25" s="1">
        <v>24.5</v>
      </c>
      <c r="G25" s="1">
        <f t="shared" si="4"/>
        <v>4900</v>
      </c>
      <c r="H25" s="1">
        <f t="shared" si="1"/>
        <v>790.32258064516122</v>
      </c>
      <c r="I25" s="3">
        <v>2565</v>
      </c>
      <c r="J25" s="37">
        <f t="shared" si="2"/>
        <v>2027177.4193548386</v>
      </c>
      <c r="K25" s="29">
        <v>16000</v>
      </c>
      <c r="L25" s="64">
        <f t="shared" si="3"/>
        <v>3200000</v>
      </c>
      <c r="M25" s="29">
        <f t="shared" si="5"/>
        <v>1172822.5806451614</v>
      </c>
    </row>
    <row r="26" spans="1:13" x14ac:dyDescent="0.2">
      <c r="A26" s="1"/>
      <c r="B26" s="1" t="s">
        <v>7</v>
      </c>
      <c r="C26" s="1" t="s">
        <v>946</v>
      </c>
      <c r="D26" s="1">
        <v>6.2</v>
      </c>
      <c r="E26" s="1">
        <v>393</v>
      </c>
      <c r="F26" s="1">
        <v>20</v>
      </c>
      <c r="G26" s="1">
        <f t="shared" si="4"/>
        <v>7860</v>
      </c>
      <c r="H26" s="1">
        <f t="shared" si="1"/>
        <v>1267.741935483871</v>
      </c>
      <c r="I26" s="3">
        <v>2565</v>
      </c>
      <c r="J26" s="37">
        <f t="shared" si="2"/>
        <v>3251758.064516129</v>
      </c>
      <c r="K26" s="29">
        <v>16000</v>
      </c>
      <c r="L26" s="64">
        <f t="shared" si="3"/>
        <v>6288000</v>
      </c>
      <c r="M26" s="29">
        <f t="shared" si="5"/>
        <v>3036241.935483871</v>
      </c>
    </row>
    <row r="27" spans="1:13" x14ac:dyDescent="0.2">
      <c r="A27" s="1"/>
      <c r="B27" s="1" t="s">
        <v>23</v>
      </c>
      <c r="C27" s="1" t="s">
        <v>947</v>
      </c>
      <c r="D27" s="1">
        <v>6.2</v>
      </c>
      <c r="E27" s="1">
        <v>350</v>
      </c>
      <c r="F27" s="1">
        <v>14</v>
      </c>
      <c r="G27" s="1">
        <f t="shared" si="4"/>
        <v>4900</v>
      </c>
      <c r="H27" s="1">
        <f t="shared" si="1"/>
        <v>790.32258064516122</v>
      </c>
      <c r="I27" s="3">
        <v>2565</v>
      </c>
      <c r="J27" s="37">
        <f t="shared" si="2"/>
        <v>2027177.4193548383</v>
      </c>
      <c r="K27" s="29">
        <v>10000</v>
      </c>
      <c r="L27" s="64">
        <f t="shared" si="3"/>
        <v>3500000</v>
      </c>
      <c r="M27" s="29">
        <f t="shared" si="5"/>
        <v>1472822.5806451617</v>
      </c>
    </row>
    <row r="28" spans="1:13" x14ac:dyDescent="0.2">
      <c r="A28" s="1"/>
      <c r="B28" s="1" t="s">
        <v>23</v>
      </c>
      <c r="C28" s="1" t="s">
        <v>948</v>
      </c>
      <c r="D28" s="1">
        <v>6.2</v>
      </c>
      <c r="E28" s="1">
        <v>600</v>
      </c>
      <c r="F28" s="1">
        <v>17</v>
      </c>
      <c r="G28" s="1">
        <f t="shared" si="4"/>
        <v>10200</v>
      </c>
      <c r="H28" s="1">
        <f t="shared" si="1"/>
        <v>1645.1612903225805</v>
      </c>
      <c r="I28" s="3">
        <v>2565</v>
      </c>
      <c r="J28" s="37">
        <f t="shared" si="2"/>
        <v>4219838.7096774187</v>
      </c>
      <c r="K28" s="29">
        <v>13000</v>
      </c>
      <c r="L28" s="64">
        <f t="shared" si="3"/>
        <v>7800000</v>
      </c>
      <c r="M28" s="29">
        <f t="shared" si="5"/>
        <v>3580161.2903225813</v>
      </c>
    </row>
    <row r="29" spans="1:13" x14ac:dyDescent="0.2">
      <c r="A29" s="1"/>
      <c r="B29" s="1" t="s">
        <v>23</v>
      </c>
      <c r="C29" s="1" t="s">
        <v>949</v>
      </c>
      <c r="D29" s="1">
        <v>6.2</v>
      </c>
      <c r="E29" s="1">
        <v>500</v>
      </c>
      <c r="F29" s="1">
        <v>16</v>
      </c>
      <c r="G29" s="1">
        <f t="shared" si="4"/>
        <v>8000</v>
      </c>
      <c r="H29" s="1">
        <f t="shared" si="1"/>
        <v>1290.3225806451612</v>
      </c>
      <c r="I29" s="3">
        <v>2565</v>
      </c>
      <c r="J29" s="37">
        <f t="shared" si="2"/>
        <v>3309677.4193548383</v>
      </c>
      <c r="K29" s="29">
        <v>13000</v>
      </c>
      <c r="L29" s="64">
        <f t="shared" si="3"/>
        <v>6500000</v>
      </c>
      <c r="M29" s="29">
        <f t="shared" si="5"/>
        <v>3190322.5806451617</v>
      </c>
    </row>
    <row r="30" spans="1:13" x14ac:dyDescent="0.2">
      <c r="A30" s="1"/>
      <c r="B30" s="1" t="s">
        <v>23</v>
      </c>
      <c r="C30" s="1" t="s">
        <v>950</v>
      </c>
      <c r="D30" s="1">
        <v>6.2</v>
      </c>
      <c r="E30" s="1">
        <v>832</v>
      </c>
      <c r="F30" s="1">
        <v>9.5</v>
      </c>
      <c r="G30" s="1">
        <f t="shared" si="4"/>
        <v>7904</v>
      </c>
      <c r="H30" s="1">
        <f t="shared" si="1"/>
        <v>1274.8387096774193</v>
      </c>
      <c r="I30" s="3">
        <v>2565</v>
      </c>
      <c r="J30" s="37">
        <f t="shared" si="2"/>
        <v>3269961.2903225804</v>
      </c>
      <c r="K30" s="29">
        <v>10000</v>
      </c>
      <c r="L30" s="64">
        <f t="shared" si="3"/>
        <v>8320000</v>
      </c>
      <c r="M30" s="29">
        <f t="shared" si="5"/>
        <v>5050038.7096774196</v>
      </c>
    </row>
    <row r="31" spans="1:13" x14ac:dyDescent="0.2">
      <c r="A31" s="1"/>
      <c r="B31" s="1" t="s">
        <v>253</v>
      </c>
      <c r="C31" s="1" t="s">
        <v>951</v>
      </c>
      <c r="D31" s="1">
        <v>6.2</v>
      </c>
      <c r="E31" s="1">
        <v>200</v>
      </c>
      <c r="F31" s="1">
        <v>9</v>
      </c>
      <c r="G31" s="1">
        <f t="shared" si="4"/>
        <v>1800</v>
      </c>
      <c r="H31" s="1">
        <f t="shared" si="1"/>
        <v>290.32258064516128</v>
      </c>
      <c r="I31" s="3">
        <v>2565</v>
      </c>
      <c r="J31" s="37">
        <f t="shared" si="2"/>
        <v>744677.41935483878</v>
      </c>
      <c r="K31" s="29">
        <v>10000</v>
      </c>
      <c r="L31" s="64">
        <f t="shared" si="3"/>
        <v>2000000</v>
      </c>
      <c r="M31" s="29">
        <f t="shared" si="5"/>
        <v>1255322.5806451612</v>
      </c>
    </row>
    <row r="32" spans="1:13" x14ac:dyDescent="0.2">
      <c r="A32" s="1"/>
      <c r="B32" s="1" t="s">
        <v>21</v>
      </c>
      <c r="C32" s="1" t="s">
        <v>952</v>
      </c>
      <c r="D32" s="1">
        <v>6.2</v>
      </c>
      <c r="E32" s="1">
        <v>300</v>
      </c>
      <c r="F32" s="1">
        <v>15</v>
      </c>
      <c r="G32" s="1">
        <f t="shared" si="4"/>
        <v>4500</v>
      </c>
      <c r="H32" s="1">
        <f t="shared" si="1"/>
        <v>725.80645161290317</v>
      </c>
      <c r="I32" s="3">
        <v>2565</v>
      </c>
      <c r="J32" s="37">
        <f t="shared" si="2"/>
        <v>1861693.548387097</v>
      </c>
      <c r="K32" s="29">
        <v>15000</v>
      </c>
      <c r="L32" s="64">
        <f t="shared" si="3"/>
        <v>4500000</v>
      </c>
      <c r="M32" s="29">
        <f t="shared" si="5"/>
        <v>2638306.4516129028</v>
      </c>
    </row>
    <row r="33" spans="1:13" x14ac:dyDescent="0.2">
      <c r="A33" s="1"/>
      <c r="B33" s="1" t="s">
        <v>253</v>
      </c>
      <c r="C33" s="1" t="s">
        <v>953</v>
      </c>
      <c r="D33" s="1">
        <v>6.2</v>
      </c>
      <c r="E33" s="1">
        <v>200</v>
      </c>
      <c r="F33" s="1">
        <v>21</v>
      </c>
      <c r="G33" s="1">
        <f t="shared" si="4"/>
        <v>4200</v>
      </c>
      <c r="H33" s="1">
        <f t="shared" si="1"/>
        <v>677.41935483870964</v>
      </c>
      <c r="I33" s="3">
        <v>2565</v>
      </c>
      <c r="J33" s="37">
        <f t="shared" si="2"/>
        <v>1737580.6451612904</v>
      </c>
      <c r="K33" s="29">
        <v>15000</v>
      </c>
      <c r="L33" s="64">
        <f t="shared" si="3"/>
        <v>3000000</v>
      </c>
      <c r="M33" s="29">
        <f t="shared" si="5"/>
        <v>1262419.3548387096</v>
      </c>
    </row>
    <row r="34" spans="1:13" x14ac:dyDescent="0.2">
      <c r="A34" s="1"/>
      <c r="B34" s="1" t="s">
        <v>253</v>
      </c>
      <c r="C34" s="1" t="s">
        <v>954</v>
      </c>
      <c r="D34" s="1">
        <v>6.2</v>
      </c>
      <c r="E34" s="1">
        <v>200</v>
      </c>
      <c r="F34" s="1">
        <v>13</v>
      </c>
      <c r="G34" s="1">
        <f t="shared" si="4"/>
        <v>2600</v>
      </c>
      <c r="H34" s="1">
        <f t="shared" si="1"/>
        <v>419.35483870967738</v>
      </c>
      <c r="I34" s="3">
        <v>2565</v>
      </c>
      <c r="J34" s="37">
        <f t="shared" si="2"/>
        <v>1075645.1612903224</v>
      </c>
      <c r="K34" s="29">
        <v>12000</v>
      </c>
      <c r="L34" s="64">
        <f t="shared" si="3"/>
        <v>2400000</v>
      </c>
      <c r="M34" s="29">
        <f t="shared" si="5"/>
        <v>1324354.8387096776</v>
      </c>
    </row>
    <row r="35" spans="1:13" x14ac:dyDescent="0.2">
      <c r="A35" s="1"/>
      <c r="B35" s="1" t="s">
        <v>23</v>
      </c>
      <c r="C35" s="1" t="s">
        <v>935</v>
      </c>
      <c r="D35" s="1">
        <v>6.2</v>
      </c>
      <c r="E35" s="1">
        <v>150</v>
      </c>
      <c r="F35" s="1">
        <v>18</v>
      </c>
      <c r="G35" s="1">
        <f t="shared" si="4"/>
        <v>2700</v>
      </c>
      <c r="H35" s="5">
        <f t="shared" si="1"/>
        <v>435.48387096774195</v>
      </c>
      <c r="I35" s="3">
        <v>2565</v>
      </c>
      <c r="J35" s="37">
        <f t="shared" si="2"/>
        <v>1117016.1290322582</v>
      </c>
      <c r="K35" s="29">
        <v>13000</v>
      </c>
      <c r="L35" s="17">
        <f t="shared" si="3"/>
        <v>1950000</v>
      </c>
      <c r="M35" s="17">
        <f t="shared" si="5"/>
        <v>832983.87096774182</v>
      </c>
    </row>
    <row r="36" spans="1:13" x14ac:dyDescent="0.2">
      <c r="A36" s="1"/>
      <c r="B36" s="1" t="s">
        <v>253</v>
      </c>
      <c r="C36" s="1" t="s">
        <v>936</v>
      </c>
      <c r="D36" s="1">
        <v>6.2</v>
      </c>
      <c r="E36" s="1">
        <v>150</v>
      </c>
      <c r="F36" s="1">
        <v>17</v>
      </c>
      <c r="G36" s="1">
        <f t="shared" si="4"/>
        <v>2550</v>
      </c>
      <c r="H36" s="1">
        <f t="shared" si="1"/>
        <v>411.29032258064512</v>
      </c>
      <c r="I36" s="3">
        <v>2565</v>
      </c>
      <c r="J36" s="37">
        <f t="shared" si="2"/>
        <v>1054959.6774193547</v>
      </c>
      <c r="K36" s="29">
        <v>13000</v>
      </c>
      <c r="L36" s="17">
        <f t="shared" si="3"/>
        <v>1950000</v>
      </c>
      <c r="M36" s="17">
        <f t="shared" si="5"/>
        <v>895040.32258064533</v>
      </c>
    </row>
    <row r="37" spans="1:13" x14ac:dyDescent="0.2">
      <c r="A37" s="1"/>
      <c r="B37" s="1" t="s">
        <v>253</v>
      </c>
      <c r="C37" s="1" t="s">
        <v>937</v>
      </c>
      <c r="D37" s="1">
        <v>6.2</v>
      </c>
      <c r="E37" s="1">
        <v>120</v>
      </c>
      <c r="F37" s="1">
        <v>22</v>
      </c>
      <c r="G37" s="1">
        <f t="shared" si="4"/>
        <v>2640</v>
      </c>
      <c r="H37" s="1">
        <f t="shared" si="1"/>
        <v>425.80645161290323</v>
      </c>
      <c r="I37" s="3">
        <v>2565</v>
      </c>
      <c r="J37" s="37">
        <f t="shared" si="2"/>
        <v>1092193.5483870967</v>
      </c>
      <c r="K37" s="29">
        <v>15000</v>
      </c>
      <c r="L37" s="17">
        <f t="shared" si="3"/>
        <v>1800000</v>
      </c>
      <c r="M37" s="17">
        <f t="shared" si="5"/>
        <v>707806.45161290327</v>
      </c>
    </row>
    <row r="38" spans="1:13" x14ac:dyDescent="0.2">
      <c r="A38" s="1"/>
      <c r="B38" s="1" t="s">
        <v>253</v>
      </c>
      <c r="C38" s="1" t="s">
        <v>938</v>
      </c>
      <c r="D38" s="1">
        <v>6.2</v>
      </c>
      <c r="E38" s="1">
        <v>150</v>
      </c>
      <c r="F38" s="1">
        <v>20</v>
      </c>
      <c r="G38" s="1">
        <f t="shared" si="4"/>
        <v>3000</v>
      </c>
      <c r="H38" s="1">
        <f t="shared" si="1"/>
        <v>483.87096774193549</v>
      </c>
      <c r="I38" s="3">
        <v>2565</v>
      </c>
      <c r="J38" s="37">
        <f t="shared" si="2"/>
        <v>1241129.0322580645</v>
      </c>
      <c r="K38" s="29">
        <v>15000</v>
      </c>
      <c r="L38" s="17">
        <f t="shared" si="3"/>
        <v>2250000</v>
      </c>
      <c r="M38" s="17">
        <f t="shared" si="5"/>
        <v>1008870.9677419355</v>
      </c>
    </row>
    <row r="39" spans="1:13" x14ac:dyDescent="0.2">
      <c r="A39" s="1"/>
      <c r="B39" s="1" t="s">
        <v>253</v>
      </c>
      <c r="C39" s="1" t="s">
        <v>939</v>
      </c>
      <c r="D39" s="1">
        <v>6.2</v>
      </c>
      <c r="E39" s="1">
        <v>150</v>
      </c>
      <c r="F39" s="1">
        <v>18</v>
      </c>
      <c r="G39" s="1">
        <f t="shared" si="4"/>
        <v>2700</v>
      </c>
      <c r="H39" s="1">
        <f t="shared" si="1"/>
        <v>435.48387096774195</v>
      </c>
      <c r="I39" s="3">
        <v>2565</v>
      </c>
      <c r="J39" s="37">
        <f t="shared" si="2"/>
        <v>1117016.1290322582</v>
      </c>
      <c r="K39" s="29">
        <v>13000</v>
      </c>
      <c r="L39" s="17">
        <f t="shared" si="3"/>
        <v>1950000</v>
      </c>
      <c r="M39" s="17">
        <f t="shared" si="5"/>
        <v>832983.87096774182</v>
      </c>
    </row>
    <row r="40" spans="1:13" x14ac:dyDescent="0.2">
      <c r="A40" s="1"/>
      <c r="B40" s="1" t="s">
        <v>253</v>
      </c>
      <c r="C40" s="1" t="s">
        <v>253</v>
      </c>
      <c r="D40" s="1">
        <v>6.2</v>
      </c>
      <c r="E40" s="1">
        <v>150</v>
      </c>
      <c r="F40" s="1">
        <v>18</v>
      </c>
      <c r="G40" s="1">
        <f t="shared" si="4"/>
        <v>2700</v>
      </c>
      <c r="H40" s="1">
        <f t="shared" si="1"/>
        <v>435.48387096774195</v>
      </c>
      <c r="I40" s="3">
        <v>2565</v>
      </c>
      <c r="J40" s="37">
        <f t="shared" si="2"/>
        <v>1117016.1290322582</v>
      </c>
      <c r="K40" s="29">
        <v>13000</v>
      </c>
      <c r="L40" s="17">
        <f t="shared" si="3"/>
        <v>1950000</v>
      </c>
      <c r="M40" s="17">
        <f t="shared" si="5"/>
        <v>832983.87096774182</v>
      </c>
    </row>
    <row r="41" spans="1:13" x14ac:dyDescent="0.2">
      <c r="A41" s="1"/>
      <c r="B41" s="1" t="s">
        <v>253</v>
      </c>
      <c r="C41" s="1" t="s">
        <v>253</v>
      </c>
      <c r="D41" s="1">
        <v>6.2</v>
      </c>
      <c r="E41" s="1">
        <v>100</v>
      </c>
      <c r="F41" s="1">
        <v>17</v>
      </c>
      <c r="G41" s="1">
        <f t="shared" si="4"/>
        <v>1700</v>
      </c>
      <c r="H41" s="1">
        <f t="shared" si="1"/>
        <v>274.19354838709677</v>
      </c>
      <c r="I41" s="3">
        <v>2565</v>
      </c>
      <c r="J41" s="37">
        <f t="shared" si="2"/>
        <v>703306.45161290315</v>
      </c>
      <c r="K41" s="29">
        <v>13000</v>
      </c>
      <c r="L41" s="17">
        <f t="shared" si="3"/>
        <v>1300000</v>
      </c>
      <c r="M41" s="17">
        <f t="shared" si="5"/>
        <v>596693.54838709685</v>
      </c>
    </row>
    <row r="42" spans="1:13" x14ac:dyDescent="0.2">
      <c r="A42" s="1"/>
      <c r="B42" s="1" t="s">
        <v>253</v>
      </c>
      <c r="C42" s="1" t="s">
        <v>940</v>
      </c>
      <c r="D42" s="1">
        <v>6.2</v>
      </c>
      <c r="E42" s="1">
        <v>150</v>
      </c>
      <c r="F42" s="1">
        <v>18</v>
      </c>
      <c r="G42" s="1">
        <f t="shared" si="4"/>
        <v>2700</v>
      </c>
      <c r="H42" s="1">
        <f t="shared" si="1"/>
        <v>435.48387096774195</v>
      </c>
      <c r="I42" s="3">
        <v>2565</v>
      </c>
      <c r="J42" s="37">
        <f t="shared" si="2"/>
        <v>1117016.1290322582</v>
      </c>
      <c r="K42" s="29">
        <v>13000</v>
      </c>
      <c r="L42" s="17">
        <f t="shared" si="3"/>
        <v>1950000</v>
      </c>
      <c r="M42" s="17">
        <f t="shared" si="5"/>
        <v>832983.87096774182</v>
      </c>
    </row>
    <row r="43" spans="1:13" x14ac:dyDescent="0.2">
      <c r="A43" s="1"/>
      <c r="B43" s="1" t="s">
        <v>253</v>
      </c>
      <c r="C43" s="1" t="s">
        <v>941</v>
      </c>
      <c r="D43" s="1">
        <v>6.2</v>
      </c>
      <c r="E43" s="1">
        <v>150</v>
      </c>
      <c r="F43" s="1">
        <v>16</v>
      </c>
      <c r="G43" s="1">
        <f t="shared" si="4"/>
        <v>2400</v>
      </c>
      <c r="H43" s="1">
        <f t="shared" si="1"/>
        <v>387.09677419354836</v>
      </c>
      <c r="I43" s="3">
        <v>2565</v>
      </c>
      <c r="J43" s="37">
        <f t="shared" si="2"/>
        <v>992903.22580645152</v>
      </c>
      <c r="K43" s="29">
        <v>13000</v>
      </c>
      <c r="L43" s="17">
        <f t="shared" si="3"/>
        <v>1950000</v>
      </c>
      <c r="M43" s="17">
        <f t="shared" si="5"/>
        <v>957096.77419354848</v>
      </c>
    </row>
    <row r="44" spans="1:13" x14ac:dyDescent="0.2">
      <c r="A44" s="1"/>
      <c r="B44" s="1" t="s">
        <v>23</v>
      </c>
      <c r="C44" s="1" t="s">
        <v>942</v>
      </c>
      <c r="D44" s="1">
        <v>6.2</v>
      </c>
      <c r="E44" s="1">
        <v>200</v>
      </c>
      <c r="F44" s="1">
        <v>25</v>
      </c>
      <c r="G44" s="1">
        <f t="shared" si="4"/>
        <v>5000</v>
      </c>
      <c r="H44" s="1">
        <f t="shared" si="1"/>
        <v>806.45161290322574</v>
      </c>
      <c r="I44" s="3">
        <v>2565</v>
      </c>
      <c r="J44" s="37">
        <f t="shared" si="2"/>
        <v>2068548.3870967743</v>
      </c>
      <c r="K44" s="29">
        <v>15000</v>
      </c>
      <c r="L44" s="17">
        <f t="shared" si="3"/>
        <v>3000000</v>
      </c>
      <c r="M44" s="17">
        <f t="shared" si="5"/>
        <v>931451.6129032257</v>
      </c>
    </row>
    <row r="45" spans="1:13" x14ac:dyDescent="0.2">
      <c r="A45" s="1"/>
      <c r="B45" s="1" t="s">
        <v>23</v>
      </c>
      <c r="C45" s="1" t="s">
        <v>943</v>
      </c>
      <c r="D45" s="1">
        <v>6.2</v>
      </c>
      <c r="E45" s="1">
        <v>134</v>
      </c>
      <c r="F45" s="1">
        <v>13</v>
      </c>
      <c r="G45" s="1">
        <f t="shared" si="4"/>
        <v>1742</v>
      </c>
      <c r="H45" s="1">
        <f t="shared" si="1"/>
        <v>280.96774193548384</v>
      </c>
      <c r="I45" s="3">
        <v>2565</v>
      </c>
      <c r="J45" s="37">
        <f t="shared" si="2"/>
        <v>720682.25806451612</v>
      </c>
      <c r="K45" s="29">
        <v>15000</v>
      </c>
      <c r="L45" s="17">
        <f t="shared" si="3"/>
        <v>2010000</v>
      </c>
      <c r="M45" s="17">
        <f t="shared" si="5"/>
        <v>1289317.7419354839</v>
      </c>
    </row>
    <row r="46" spans="1:13" x14ac:dyDescent="0.2">
      <c r="A46" s="1"/>
      <c r="B46" s="1" t="s">
        <v>7</v>
      </c>
      <c r="C46" s="1" t="s">
        <v>944</v>
      </c>
      <c r="D46" s="1">
        <v>6.2</v>
      </c>
      <c r="E46" s="1">
        <v>191</v>
      </c>
      <c r="F46" s="1">
        <v>15</v>
      </c>
      <c r="G46" s="1">
        <f t="shared" si="4"/>
        <v>2865</v>
      </c>
      <c r="H46" s="1">
        <f t="shared" si="1"/>
        <v>462.09677419354836</v>
      </c>
      <c r="I46" s="3">
        <v>2565</v>
      </c>
      <c r="J46" s="37">
        <f t="shared" si="2"/>
        <v>1185278.2258064516</v>
      </c>
      <c r="K46" s="29">
        <v>16000</v>
      </c>
      <c r="L46" s="17">
        <f t="shared" si="3"/>
        <v>3056000</v>
      </c>
      <c r="M46" s="17">
        <f t="shared" si="5"/>
        <v>1870721.7741935484</v>
      </c>
    </row>
    <row r="47" spans="1:13" x14ac:dyDescent="0.2">
      <c r="A47" s="1"/>
      <c r="B47" s="1" t="s">
        <v>253</v>
      </c>
      <c r="C47" s="1" t="s">
        <v>253</v>
      </c>
      <c r="D47" s="1">
        <v>6.2</v>
      </c>
      <c r="E47" s="1">
        <v>25</v>
      </c>
      <c r="F47" s="1">
        <v>10</v>
      </c>
      <c r="G47" s="1">
        <f t="shared" si="4"/>
        <v>250</v>
      </c>
      <c r="H47" s="1">
        <f t="shared" si="1"/>
        <v>40.322580645161288</v>
      </c>
      <c r="I47" s="3">
        <v>2565</v>
      </c>
      <c r="J47" s="37">
        <f t="shared" si="2"/>
        <v>103427.41935483871</v>
      </c>
      <c r="K47" s="29">
        <v>15000</v>
      </c>
      <c r="L47" s="17">
        <f t="shared" si="3"/>
        <v>375000</v>
      </c>
      <c r="M47" s="17">
        <f t="shared" si="5"/>
        <v>271572.58064516127</v>
      </c>
    </row>
    <row r="48" spans="1:13" x14ac:dyDescent="0.2">
      <c r="A48" s="1"/>
      <c r="B48" s="1" t="s">
        <v>253</v>
      </c>
      <c r="C48" s="1" t="s">
        <v>253</v>
      </c>
      <c r="D48" s="1">
        <v>6.2</v>
      </c>
      <c r="E48" s="1">
        <v>200</v>
      </c>
      <c r="F48" s="1">
        <v>17</v>
      </c>
      <c r="G48" s="1">
        <f t="shared" si="4"/>
        <v>3400</v>
      </c>
      <c r="H48" s="1">
        <f t="shared" si="1"/>
        <v>548.38709677419354</v>
      </c>
      <c r="I48" s="3">
        <v>2565</v>
      </c>
      <c r="J48" s="37">
        <f t="shared" si="2"/>
        <v>1406612.9032258063</v>
      </c>
      <c r="K48" s="29">
        <v>16000</v>
      </c>
      <c r="L48" s="17">
        <f t="shared" si="3"/>
        <v>3200000</v>
      </c>
      <c r="M48" s="17">
        <f t="shared" si="5"/>
        <v>1793387.0967741937</v>
      </c>
    </row>
    <row r="49" spans="1:13" x14ac:dyDescent="0.2">
      <c r="A49" s="1"/>
      <c r="B49" s="1" t="s">
        <v>207</v>
      </c>
      <c r="C49" s="1" t="s">
        <v>962</v>
      </c>
      <c r="D49" s="1">
        <v>6.2</v>
      </c>
      <c r="E49" s="1">
        <v>246</v>
      </c>
      <c r="F49" s="1">
        <v>15</v>
      </c>
      <c r="G49" s="1">
        <f t="shared" si="4"/>
        <v>3690</v>
      </c>
      <c r="H49" s="1">
        <f t="shared" si="1"/>
        <v>595.16129032258061</v>
      </c>
      <c r="I49" s="3">
        <v>2565</v>
      </c>
      <c r="J49" s="37">
        <f t="shared" si="2"/>
        <v>1526588.7096774194</v>
      </c>
      <c r="K49" s="29">
        <v>13000</v>
      </c>
      <c r="L49" s="17">
        <f t="shared" si="3"/>
        <v>3198000</v>
      </c>
      <c r="M49" s="17">
        <f t="shared" si="5"/>
        <v>1671411.2903225806</v>
      </c>
    </row>
    <row r="50" spans="1:13" x14ac:dyDescent="0.2">
      <c r="A50" s="1"/>
      <c r="B50" s="1" t="s">
        <v>23</v>
      </c>
      <c r="C50" s="1" t="s">
        <v>963</v>
      </c>
      <c r="D50" s="1">
        <v>6.2</v>
      </c>
      <c r="E50" s="1">
        <v>200</v>
      </c>
      <c r="F50" s="1">
        <v>28</v>
      </c>
      <c r="G50" s="1">
        <f t="shared" si="4"/>
        <v>5600</v>
      </c>
      <c r="H50" s="1">
        <f t="shared" si="1"/>
        <v>903.22580645161293</v>
      </c>
      <c r="I50" s="3">
        <v>2565</v>
      </c>
      <c r="J50" s="37">
        <f t="shared" si="2"/>
        <v>2316774.1935483869</v>
      </c>
      <c r="K50" s="29">
        <v>18000</v>
      </c>
      <c r="L50" s="17">
        <f t="shared" si="3"/>
        <v>3600000</v>
      </c>
      <c r="M50" s="17">
        <f t="shared" si="5"/>
        <v>1283225.8064516131</v>
      </c>
    </row>
    <row r="51" spans="1:13" x14ac:dyDescent="0.2">
      <c r="A51" s="1"/>
      <c r="B51" s="1" t="s">
        <v>7</v>
      </c>
      <c r="C51" s="1" t="s">
        <v>964</v>
      </c>
      <c r="D51" s="1">
        <v>6.2</v>
      </c>
      <c r="E51" s="1">
        <v>189</v>
      </c>
      <c r="F51" s="1">
        <v>26</v>
      </c>
      <c r="G51" s="1">
        <f t="shared" si="4"/>
        <v>4914</v>
      </c>
      <c r="H51" s="1">
        <f t="shared" si="1"/>
        <v>792.58064516129025</v>
      </c>
      <c r="I51" s="3">
        <v>2565</v>
      </c>
      <c r="J51" s="37">
        <f t="shared" si="2"/>
        <v>2032969.3548387096</v>
      </c>
      <c r="K51" s="29">
        <v>18000</v>
      </c>
      <c r="L51" s="17">
        <f t="shared" si="3"/>
        <v>3402000</v>
      </c>
      <c r="M51" s="17">
        <f t="shared" si="5"/>
        <v>1369030.6451612904</v>
      </c>
    </row>
    <row r="52" spans="1:13" x14ac:dyDescent="0.2">
      <c r="A52" s="1"/>
      <c r="B52" s="1" t="s">
        <v>7</v>
      </c>
      <c r="C52" s="1" t="s">
        <v>992</v>
      </c>
      <c r="D52" s="1">
        <v>6.2</v>
      </c>
      <c r="E52" s="1">
        <v>244</v>
      </c>
      <c r="F52" s="1">
        <v>23</v>
      </c>
      <c r="G52" s="1">
        <f t="shared" si="4"/>
        <v>5612</v>
      </c>
      <c r="H52" s="1">
        <f t="shared" si="1"/>
        <v>905.16129032258061</v>
      </c>
      <c r="I52" s="3">
        <v>2565</v>
      </c>
      <c r="J52" s="37">
        <f t="shared" si="2"/>
        <v>2321738.7096774192</v>
      </c>
      <c r="K52" s="29">
        <v>18000</v>
      </c>
      <c r="L52" s="17">
        <f t="shared" si="3"/>
        <v>4392000</v>
      </c>
      <c r="M52" s="17">
        <f t="shared" si="5"/>
        <v>2070261.2903225808</v>
      </c>
    </row>
    <row r="53" spans="1:13" x14ac:dyDescent="0.2">
      <c r="A53" s="1"/>
      <c r="B53" s="1" t="s">
        <v>7</v>
      </c>
      <c r="C53" s="1" t="s">
        <v>965</v>
      </c>
      <c r="D53" s="1">
        <v>6.2</v>
      </c>
      <c r="E53" s="1">
        <v>214</v>
      </c>
      <c r="F53" s="1">
        <v>15</v>
      </c>
      <c r="G53" s="1">
        <f t="shared" si="4"/>
        <v>3210</v>
      </c>
      <c r="H53" s="1">
        <f t="shared" si="1"/>
        <v>517.74193548387098</v>
      </c>
      <c r="I53" s="3">
        <v>2565</v>
      </c>
      <c r="J53" s="37">
        <f t="shared" si="2"/>
        <v>1328008.0645161292</v>
      </c>
      <c r="K53" s="29">
        <v>16000</v>
      </c>
      <c r="L53" s="17">
        <f t="shared" si="3"/>
        <v>3424000</v>
      </c>
      <c r="M53" s="17">
        <f t="shared" si="5"/>
        <v>2095991.9354838708</v>
      </c>
    </row>
    <row r="54" spans="1:13" x14ac:dyDescent="0.2">
      <c r="B54" s="1" t="s">
        <v>7</v>
      </c>
      <c r="C54" s="1" t="s">
        <v>1042</v>
      </c>
      <c r="D54" s="1">
        <v>6.2</v>
      </c>
      <c r="E54" s="1">
        <v>200</v>
      </c>
      <c r="F54" s="1">
        <v>26</v>
      </c>
      <c r="G54" s="44">
        <f t="shared" si="4"/>
        <v>5200</v>
      </c>
      <c r="H54" s="5">
        <f t="shared" ref="H54:H60" si="6">G54/D54</f>
        <v>838.70967741935476</v>
      </c>
      <c r="I54" s="3">
        <v>2565</v>
      </c>
      <c r="J54" s="3">
        <f t="shared" ref="J54:J60" si="7">F54/D54*I54*E54</f>
        <v>2151290.3225806449</v>
      </c>
      <c r="K54" s="3">
        <v>17000</v>
      </c>
      <c r="L54" s="44">
        <f t="shared" ref="L54:L60" si="8">K54*E54</f>
        <v>3400000</v>
      </c>
      <c r="M54" s="3">
        <f t="shared" ref="M54:M60" si="9">L54-J54</f>
        <v>1248709.6774193551</v>
      </c>
    </row>
    <row r="55" spans="1:13" x14ac:dyDescent="0.2">
      <c r="A55" s="2"/>
      <c r="B55" s="1" t="s">
        <v>253</v>
      </c>
      <c r="C55" s="1" t="s">
        <v>966</v>
      </c>
      <c r="D55" s="1">
        <v>6.2</v>
      </c>
      <c r="E55" s="1">
        <v>200</v>
      </c>
      <c r="F55" s="1">
        <v>26</v>
      </c>
      <c r="G55" s="44">
        <f t="shared" ref="G55:G60" si="10">E55*F55</f>
        <v>5200</v>
      </c>
      <c r="H55" s="5">
        <f t="shared" si="6"/>
        <v>838.70967741935476</v>
      </c>
      <c r="I55" s="3">
        <v>2565</v>
      </c>
      <c r="J55" s="3">
        <f t="shared" si="7"/>
        <v>2151290.3225806449</v>
      </c>
      <c r="K55" s="3">
        <v>17000</v>
      </c>
      <c r="L55" s="44">
        <f t="shared" si="8"/>
        <v>3400000</v>
      </c>
      <c r="M55" s="3">
        <f t="shared" si="9"/>
        <v>1248709.6774193551</v>
      </c>
    </row>
    <row r="56" spans="1:13" x14ac:dyDescent="0.2">
      <c r="A56" s="2"/>
      <c r="B56" s="1" t="s">
        <v>253</v>
      </c>
      <c r="C56" s="1" t="s">
        <v>967</v>
      </c>
      <c r="D56" s="1">
        <v>6.2</v>
      </c>
      <c r="E56" s="1">
        <v>200</v>
      </c>
      <c r="F56" s="1">
        <v>26</v>
      </c>
      <c r="G56" s="44">
        <f t="shared" si="10"/>
        <v>5200</v>
      </c>
      <c r="H56" s="5">
        <f t="shared" si="6"/>
        <v>838.70967741935476</v>
      </c>
      <c r="I56" s="3">
        <v>2565</v>
      </c>
      <c r="J56" s="3">
        <f t="shared" si="7"/>
        <v>2151290.3225806449</v>
      </c>
      <c r="K56" s="3">
        <v>17000</v>
      </c>
      <c r="L56" s="44">
        <f t="shared" si="8"/>
        <v>3400000</v>
      </c>
      <c r="M56" s="3">
        <f t="shared" si="9"/>
        <v>1248709.6774193551</v>
      </c>
    </row>
    <row r="57" spans="1:13" x14ac:dyDescent="0.2">
      <c r="A57" s="2"/>
      <c r="B57" s="1" t="s">
        <v>253</v>
      </c>
      <c r="C57" s="1" t="s">
        <v>968</v>
      </c>
      <c r="D57" s="1">
        <v>6.2</v>
      </c>
      <c r="E57" s="1">
        <v>250</v>
      </c>
      <c r="F57" s="1">
        <v>27.5</v>
      </c>
      <c r="G57" s="1">
        <f t="shared" si="10"/>
        <v>6875</v>
      </c>
      <c r="H57" s="1">
        <f t="shared" si="6"/>
        <v>1108.8709677419354</v>
      </c>
      <c r="I57" s="3">
        <v>2565</v>
      </c>
      <c r="J57" s="37">
        <f t="shared" si="7"/>
        <v>2844254.0322580645</v>
      </c>
      <c r="K57" s="3">
        <v>18000</v>
      </c>
      <c r="L57" s="44">
        <f t="shared" si="8"/>
        <v>4500000</v>
      </c>
      <c r="M57" s="3">
        <f t="shared" si="9"/>
        <v>1655745.9677419355</v>
      </c>
    </row>
    <row r="58" spans="1:13" x14ac:dyDescent="0.2">
      <c r="B58" s="78" t="s">
        <v>7</v>
      </c>
      <c r="C58" t="s">
        <v>990</v>
      </c>
      <c r="D58" s="1">
        <v>6.2</v>
      </c>
      <c r="E58" s="78">
        <v>200</v>
      </c>
      <c r="F58" s="78">
        <v>22</v>
      </c>
      <c r="G58" s="78">
        <f t="shared" si="10"/>
        <v>4400</v>
      </c>
      <c r="H58" s="78">
        <f t="shared" si="6"/>
        <v>709.67741935483866</v>
      </c>
      <c r="I58" s="3">
        <v>2565</v>
      </c>
      <c r="J58" s="111">
        <f t="shared" si="7"/>
        <v>1820322.5806451614</v>
      </c>
      <c r="K58" s="112">
        <v>16000</v>
      </c>
      <c r="L58" s="113">
        <f t="shared" si="8"/>
        <v>3200000</v>
      </c>
      <c r="M58" s="112">
        <f t="shared" si="9"/>
        <v>1379677.4193548386</v>
      </c>
    </row>
    <row r="59" spans="1:13" x14ac:dyDescent="0.2">
      <c r="B59" s="78" t="s">
        <v>253</v>
      </c>
      <c r="C59" t="s">
        <v>991</v>
      </c>
      <c r="D59" s="1">
        <v>6.2</v>
      </c>
      <c r="E59" s="78">
        <v>250</v>
      </c>
      <c r="F59" s="78">
        <v>24</v>
      </c>
      <c r="G59" s="78">
        <f t="shared" si="10"/>
        <v>6000</v>
      </c>
      <c r="H59" s="78">
        <f t="shared" si="6"/>
        <v>967.74193548387098</v>
      </c>
      <c r="I59" s="3">
        <v>2565</v>
      </c>
      <c r="J59" s="111">
        <f t="shared" si="7"/>
        <v>2482258.064516129</v>
      </c>
      <c r="K59" s="112">
        <v>20000</v>
      </c>
      <c r="L59" s="113">
        <f t="shared" si="8"/>
        <v>5000000</v>
      </c>
      <c r="M59" s="112">
        <f t="shared" si="9"/>
        <v>2517741.935483871</v>
      </c>
    </row>
    <row r="60" spans="1:13" x14ac:dyDescent="0.2">
      <c r="B60" s="78" t="s">
        <v>857</v>
      </c>
      <c r="C60" t="s">
        <v>253</v>
      </c>
      <c r="D60" s="1">
        <v>6.2</v>
      </c>
      <c r="E60" s="78">
        <v>330</v>
      </c>
      <c r="F60" s="78">
        <v>28</v>
      </c>
      <c r="G60" s="78">
        <f t="shared" si="10"/>
        <v>9240</v>
      </c>
      <c r="H60" s="78">
        <f t="shared" si="6"/>
        <v>1490.3225806451612</v>
      </c>
      <c r="I60" s="3">
        <v>2565</v>
      </c>
      <c r="J60" s="111">
        <f t="shared" si="7"/>
        <v>3822677.4193548383</v>
      </c>
      <c r="K60" s="112">
        <v>18000</v>
      </c>
      <c r="L60" s="113">
        <f t="shared" si="8"/>
        <v>5940000</v>
      </c>
      <c r="M60" s="112">
        <f t="shared" si="9"/>
        <v>2117322.5806451617</v>
      </c>
    </row>
    <row r="61" spans="1:13" x14ac:dyDescent="0.2">
      <c r="E61" s="7">
        <f>SUM(E3:E60)</f>
        <v>15384</v>
      </c>
      <c r="H61" s="114">
        <f>SUM(H3:H60)</f>
        <v>52903.548387096773</v>
      </c>
      <c r="J61" s="70">
        <f>SUM(J3:J60)</f>
        <v>135697601.61290321</v>
      </c>
      <c r="L61" s="95">
        <f>SUM(L3:L60)</f>
        <v>239527000</v>
      </c>
      <c r="M61" s="48">
        <f>SUM(M3:M60)</f>
        <v>103829398.38709679</v>
      </c>
    </row>
    <row r="66" spans="9:11" x14ac:dyDescent="0.2">
      <c r="I66" s="3" t="s">
        <v>25</v>
      </c>
      <c r="J66" s="119">
        <v>135697602</v>
      </c>
    </row>
    <row r="67" spans="9:11" x14ac:dyDescent="0.2">
      <c r="I67" s="3" t="s">
        <v>27</v>
      </c>
      <c r="J67" s="9">
        <v>5460000</v>
      </c>
      <c r="K67" t="s">
        <v>1036</v>
      </c>
    </row>
    <row r="68" spans="9:11" x14ac:dyDescent="0.2">
      <c r="I68" s="3" t="s">
        <v>26</v>
      </c>
      <c r="J68" s="3">
        <v>3649400</v>
      </c>
    </row>
    <row r="69" spans="9:11" x14ac:dyDescent="0.2">
      <c r="I69" s="3" t="s">
        <v>33</v>
      </c>
      <c r="J69" s="3">
        <v>5000000</v>
      </c>
    </row>
    <row r="70" spans="9:11" x14ac:dyDescent="0.2">
      <c r="I70" s="3" t="s">
        <v>31</v>
      </c>
      <c r="J70" s="3">
        <v>6350000</v>
      </c>
    </row>
    <row r="71" spans="9:11" x14ac:dyDescent="0.2">
      <c r="I71" s="3" t="s">
        <v>36</v>
      </c>
      <c r="J71" s="3">
        <v>3410000</v>
      </c>
    </row>
    <row r="72" spans="9:11" x14ac:dyDescent="0.2">
      <c r="I72" s="3" t="s">
        <v>29</v>
      </c>
      <c r="J72" s="23">
        <v>9390000</v>
      </c>
      <c r="K72" t="s">
        <v>1037</v>
      </c>
    </row>
    <row r="73" spans="9:11" x14ac:dyDescent="0.2">
      <c r="I73" s="3" t="s">
        <v>34</v>
      </c>
      <c r="J73" s="26">
        <f>SUM(J66:J72)</f>
        <v>168957002</v>
      </c>
    </row>
    <row r="74" spans="9:11" x14ac:dyDescent="0.2">
      <c r="I74" s="3" t="s">
        <v>6</v>
      </c>
      <c r="J74" s="116">
        <v>239527000</v>
      </c>
    </row>
    <row r="75" spans="9:11" ht="18" x14ac:dyDescent="0.35">
      <c r="I75" s="3" t="s">
        <v>35</v>
      </c>
      <c r="J75" s="21">
        <f>J74-J73</f>
        <v>70569998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113"/>
  <sheetViews>
    <sheetView topLeftCell="A34" workbookViewId="0">
      <selection activeCell="A68" sqref="A68:M105"/>
    </sheetView>
  </sheetViews>
  <sheetFormatPr baseColWidth="10" defaultRowHeight="15" x14ac:dyDescent="0.2"/>
  <cols>
    <col min="2" max="2" width="12.83203125" customWidth="1"/>
    <col min="3" max="3" width="21.6640625" customWidth="1"/>
    <col min="10" max="10" width="13.1640625" customWidth="1"/>
    <col min="12" max="12" width="13.6640625" customWidth="1"/>
    <col min="13" max="13" width="12.1640625" customWidth="1"/>
  </cols>
  <sheetData>
    <row r="1" spans="1:13" ht="31" x14ac:dyDescent="0.35">
      <c r="A1" s="56" t="s">
        <v>1044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2" t="s">
        <v>971</v>
      </c>
      <c r="B3" s="1" t="s">
        <v>23</v>
      </c>
      <c r="C3" s="1" t="s">
        <v>969</v>
      </c>
      <c r="D3" s="1">
        <v>6.22</v>
      </c>
      <c r="E3" s="1">
        <v>403</v>
      </c>
      <c r="F3" s="1">
        <v>20</v>
      </c>
      <c r="G3" s="1">
        <f t="shared" ref="G3:G47" si="0">E3*F3</f>
        <v>8060</v>
      </c>
      <c r="H3" s="1">
        <f t="shared" ref="H3:H47" si="1">G3/D3</f>
        <v>1295.8199356913183</v>
      </c>
      <c r="I3" s="3">
        <v>2543</v>
      </c>
      <c r="J3" s="37">
        <f t="shared" ref="J3" si="2">F3/D3*I3*E3</f>
        <v>3295270.0964630228</v>
      </c>
      <c r="K3" s="3">
        <v>15000</v>
      </c>
      <c r="L3" s="44">
        <f t="shared" ref="L3" si="3">K3*E3</f>
        <v>6045000</v>
      </c>
      <c r="M3" s="3">
        <f>L3-J3</f>
        <v>2749729.9035369772</v>
      </c>
    </row>
    <row r="4" spans="1:13" x14ac:dyDescent="0.2">
      <c r="A4" s="2"/>
      <c r="B4" s="1" t="s">
        <v>970</v>
      </c>
      <c r="C4" s="1" t="s">
        <v>448</v>
      </c>
      <c r="D4" s="1">
        <v>6.22</v>
      </c>
      <c r="E4" s="1">
        <v>1500</v>
      </c>
      <c r="F4" s="1">
        <v>23</v>
      </c>
      <c r="G4" s="1">
        <f t="shared" si="0"/>
        <v>34500</v>
      </c>
      <c r="H4" s="1">
        <f t="shared" si="1"/>
        <v>5546.6237942122189</v>
      </c>
      <c r="I4" s="3">
        <v>2543</v>
      </c>
      <c r="J4" s="37">
        <f t="shared" ref="J4:J47" si="4">F4/D4*I4*E4</f>
        <v>14105064.308681674</v>
      </c>
      <c r="K4" s="3">
        <v>16000</v>
      </c>
      <c r="L4" s="44">
        <f t="shared" ref="L4:L47" si="5">K4*E4</f>
        <v>24000000</v>
      </c>
      <c r="M4" s="3">
        <f t="shared" ref="M4:M47" si="6">L4-J4</f>
        <v>9894935.6913183257</v>
      </c>
    </row>
    <row r="5" spans="1:13" x14ac:dyDescent="0.2">
      <c r="A5" s="2"/>
      <c r="B5" s="1" t="s">
        <v>7</v>
      </c>
      <c r="C5" s="1" t="s">
        <v>972</v>
      </c>
      <c r="D5" s="1">
        <v>6.22</v>
      </c>
      <c r="E5" s="1">
        <v>350</v>
      </c>
      <c r="F5" s="1">
        <v>28</v>
      </c>
      <c r="G5" s="1">
        <f t="shared" si="0"/>
        <v>9800</v>
      </c>
      <c r="H5" s="1">
        <f t="shared" si="1"/>
        <v>1575.5627009646303</v>
      </c>
      <c r="I5" s="3">
        <v>2543</v>
      </c>
      <c r="J5" s="37">
        <f t="shared" si="4"/>
        <v>4006655.9485530546</v>
      </c>
      <c r="K5" s="29">
        <v>18000</v>
      </c>
      <c r="L5" s="64">
        <f t="shared" si="5"/>
        <v>6300000</v>
      </c>
      <c r="M5" s="29">
        <f>L5-J5</f>
        <v>2293344.0514469454</v>
      </c>
    </row>
    <row r="6" spans="1:13" x14ac:dyDescent="0.2">
      <c r="A6" s="2"/>
      <c r="B6" s="1" t="s">
        <v>253</v>
      </c>
      <c r="C6" s="1" t="s">
        <v>973</v>
      </c>
      <c r="D6" s="1">
        <v>6.22</v>
      </c>
      <c r="E6" s="1">
        <v>200</v>
      </c>
      <c r="F6" s="1">
        <v>24.5</v>
      </c>
      <c r="G6" s="1">
        <f t="shared" si="0"/>
        <v>4900</v>
      </c>
      <c r="H6" s="1">
        <f t="shared" si="1"/>
        <v>787.78135048231513</v>
      </c>
      <c r="I6" s="3">
        <v>2543</v>
      </c>
      <c r="J6" s="37">
        <f t="shared" si="4"/>
        <v>2003327.9742765273</v>
      </c>
      <c r="K6" s="29">
        <v>16000</v>
      </c>
      <c r="L6" s="64">
        <f t="shared" si="5"/>
        <v>3200000</v>
      </c>
      <c r="M6" s="29">
        <f t="shared" si="6"/>
        <v>1196672.0257234727</v>
      </c>
    </row>
    <row r="7" spans="1:13" x14ac:dyDescent="0.2">
      <c r="A7" s="2"/>
      <c r="B7" s="1" t="s">
        <v>207</v>
      </c>
      <c r="C7" s="1" t="s">
        <v>974</v>
      </c>
      <c r="D7" s="1">
        <v>6.22</v>
      </c>
      <c r="E7" s="1">
        <v>150</v>
      </c>
      <c r="F7" s="1">
        <v>23</v>
      </c>
      <c r="G7" s="1">
        <f t="shared" si="0"/>
        <v>3450</v>
      </c>
      <c r="H7" s="1">
        <f t="shared" si="1"/>
        <v>554.66237942122189</v>
      </c>
      <c r="I7" s="3">
        <v>2543</v>
      </c>
      <c r="J7" s="37">
        <f t="shared" si="4"/>
        <v>1410506.4308681674</v>
      </c>
      <c r="K7" s="29">
        <v>15000</v>
      </c>
      <c r="L7" s="64">
        <f t="shared" si="5"/>
        <v>2250000</v>
      </c>
      <c r="M7" s="29">
        <f t="shared" si="6"/>
        <v>839493.56913183257</v>
      </c>
    </row>
    <row r="8" spans="1:13" x14ac:dyDescent="0.2">
      <c r="A8" s="1"/>
      <c r="B8" s="1" t="s">
        <v>253</v>
      </c>
      <c r="C8" s="1" t="s">
        <v>975</v>
      </c>
      <c r="D8" s="1">
        <v>6.22</v>
      </c>
      <c r="E8" s="1">
        <v>150</v>
      </c>
      <c r="F8" s="1">
        <v>23</v>
      </c>
      <c r="G8" s="1">
        <f t="shared" si="0"/>
        <v>3450</v>
      </c>
      <c r="H8" s="1">
        <f t="shared" si="1"/>
        <v>554.66237942122189</v>
      </c>
      <c r="I8" s="3">
        <v>2543</v>
      </c>
      <c r="J8" s="37">
        <f t="shared" si="4"/>
        <v>1410506.4308681674</v>
      </c>
      <c r="K8" s="29">
        <v>15000</v>
      </c>
      <c r="L8" s="64">
        <f t="shared" si="5"/>
        <v>2250000</v>
      </c>
      <c r="M8" s="29">
        <f t="shared" si="6"/>
        <v>839493.56913183257</v>
      </c>
    </row>
    <row r="9" spans="1:13" x14ac:dyDescent="0.2">
      <c r="A9" s="1"/>
      <c r="B9" s="1" t="s">
        <v>253</v>
      </c>
      <c r="C9" s="1" t="s">
        <v>976</v>
      </c>
      <c r="D9" s="1">
        <v>6.22</v>
      </c>
      <c r="E9" s="1">
        <v>150</v>
      </c>
      <c r="F9" s="1">
        <v>23</v>
      </c>
      <c r="G9" s="1">
        <f t="shared" si="0"/>
        <v>3450</v>
      </c>
      <c r="H9" s="1">
        <f t="shared" si="1"/>
        <v>554.66237942122189</v>
      </c>
      <c r="I9" s="3">
        <v>2543</v>
      </c>
      <c r="J9" s="37">
        <f t="shared" si="4"/>
        <v>1410506.4308681674</v>
      </c>
      <c r="K9" s="29">
        <v>15000</v>
      </c>
      <c r="L9" s="64">
        <f t="shared" si="5"/>
        <v>2250000</v>
      </c>
      <c r="M9" s="29">
        <f t="shared" si="6"/>
        <v>839493.56913183257</v>
      </c>
    </row>
    <row r="10" spans="1:13" x14ac:dyDescent="0.2">
      <c r="A10" s="1"/>
      <c r="B10" s="1" t="s">
        <v>253</v>
      </c>
      <c r="C10" s="1" t="s">
        <v>977</v>
      </c>
      <c r="D10" s="1">
        <v>6.22</v>
      </c>
      <c r="E10" s="1">
        <v>200</v>
      </c>
      <c r="F10" s="1">
        <v>23</v>
      </c>
      <c r="G10" s="1">
        <f t="shared" si="0"/>
        <v>4600</v>
      </c>
      <c r="H10" s="1">
        <f t="shared" si="1"/>
        <v>739.54983922829581</v>
      </c>
      <c r="I10" s="3">
        <v>2543</v>
      </c>
      <c r="J10" s="37">
        <f t="shared" si="4"/>
        <v>1880675.2411575567</v>
      </c>
      <c r="K10" s="29">
        <v>15000</v>
      </c>
      <c r="L10" s="64">
        <f t="shared" si="5"/>
        <v>3000000</v>
      </c>
      <c r="M10" s="29">
        <f t="shared" si="6"/>
        <v>1119324.7588424433</v>
      </c>
    </row>
    <row r="11" spans="1:13" x14ac:dyDescent="0.2">
      <c r="A11" s="1"/>
      <c r="B11" s="1" t="s">
        <v>253</v>
      </c>
      <c r="C11" s="1" t="s">
        <v>978</v>
      </c>
      <c r="D11" s="1">
        <v>6.22</v>
      </c>
      <c r="E11" s="1">
        <v>200</v>
      </c>
      <c r="F11" s="1">
        <v>21</v>
      </c>
      <c r="G11" s="1">
        <f t="shared" si="0"/>
        <v>4200</v>
      </c>
      <c r="H11" s="1">
        <f t="shared" si="1"/>
        <v>675.24115755627008</v>
      </c>
      <c r="I11" s="3">
        <v>2543</v>
      </c>
      <c r="J11" s="37">
        <f t="shared" si="4"/>
        <v>1717138.2636655949</v>
      </c>
      <c r="K11" s="29">
        <v>15000</v>
      </c>
      <c r="L11" s="64">
        <f t="shared" si="5"/>
        <v>3000000</v>
      </c>
      <c r="M11" s="29">
        <f t="shared" si="6"/>
        <v>1282861.7363344051</v>
      </c>
    </row>
    <row r="12" spans="1:13" x14ac:dyDescent="0.2">
      <c r="A12" s="1"/>
      <c r="B12" s="1" t="s">
        <v>253</v>
      </c>
      <c r="C12" s="1" t="s">
        <v>979</v>
      </c>
      <c r="D12" s="1">
        <v>6.22</v>
      </c>
      <c r="E12" s="1">
        <v>200</v>
      </c>
      <c r="F12" s="1">
        <v>24</v>
      </c>
      <c r="G12" s="1">
        <f t="shared" si="0"/>
        <v>4800</v>
      </c>
      <c r="H12" s="1">
        <f t="shared" si="1"/>
        <v>771.70418006430873</v>
      </c>
      <c r="I12" s="3">
        <v>2543</v>
      </c>
      <c r="J12" s="37">
        <f t="shared" si="4"/>
        <v>1962443.7299035368</v>
      </c>
      <c r="K12" s="29">
        <v>16000</v>
      </c>
      <c r="L12" s="64">
        <f t="shared" si="5"/>
        <v>3200000</v>
      </c>
      <c r="M12" s="29">
        <f t="shared" si="6"/>
        <v>1237556.2700964632</v>
      </c>
    </row>
    <row r="13" spans="1:13" x14ac:dyDescent="0.2">
      <c r="A13" s="1"/>
      <c r="B13" s="1" t="s">
        <v>253</v>
      </c>
      <c r="C13" s="1" t="s">
        <v>980</v>
      </c>
      <c r="D13" s="1">
        <v>6.22</v>
      </c>
      <c r="E13" s="1">
        <v>200</v>
      </c>
      <c r="F13" s="1">
        <v>25</v>
      </c>
      <c r="G13" s="1">
        <f t="shared" si="0"/>
        <v>5000</v>
      </c>
      <c r="H13" s="1">
        <f t="shared" si="1"/>
        <v>803.85852090032154</v>
      </c>
      <c r="I13" s="3">
        <v>2543</v>
      </c>
      <c r="J13" s="37">
        <f t="shared" si="4"/>
        <v>2044212.2186495177</v>
      </c>
      <c r="K13" s="29">
        <v>16000</v>
      </c>
      <c r="L13" s="64">
        <f t="shared" si="5"/>
        <v>3200000</v>
      </c>
      <c r="M13" s="29">
        <f t="shared" si="6"/>
        <v>1155787.7813504823</v>
      </c>
    </row>
    <row r="14" spans="1:13" x14ac:dyDescent="0.2">
      <c r="A14" s="1"/>
      <c r="B14" s="1" t="s">
        <v>7</v>
      </c>
      <c r="C14" s="1" t="s">
        <v>981</v>
      </c>
      <c r="D14" s="1">
        <v>6.22</v>
      </c>
      <c r="E14" s="1">
        <v>200</v>
      </c>
      <c r="F14" s="1">
        <v>30</v>
      </c>
      <c r="G14" s="1">
        <f t="shared" si="0"/>
        <v>6000</v>
      </c>
      <c r="H14" s="1">
        <f t="shared" si="1"/>
        <v>964.63022508038591</v>
      </c>
      <c r="I14" s="3">
        <v>2543</v>
      </c>
      <c r="J14" s="37">
        <f t="shared" si="4"/>
        <v>2453054.6623794213</v>
      </c>
      <c r="K14" s="29">
        <v>18000</v>
      </c>
      <c r="L14" s="64">
        <f t="shared" si="5"/>
        <v>3600000</v>
      </c>
      <c r="M14" s="29">
        <f t="shared" si="6"/>
        <v>1146945.3376205787</v>
      </c>
    </row>
    <row r="15" spans="1:13" x14ac:dyDescent="0.2">
      <c r="A15" s="1"/>
      <c r="B15" s="1" t="s">
        <v>207</v>
      </c>
      <c r="C15" s="1" t="s">
        <v>982</v>
      </c>
      <c r="D15" s="1">
        <v>6.22</v>
      </c>
      <c r="E15" s="1">
        <v>150</v>
      </c>
      <c r="F15" s="1">
        <v>22</v>
      </c>
      <c r="G15" s="1">
        <f t="shared" si="0"/>
        <v>3300</v>
      </c>
      <c r="H15" s="1">
        <f t="shared" si="1"/>
        <v>530.54662379421222</v>
      </c>
      <c r="I15" s="3">
        <v>2543</v>
      </c>
      <c r="J15" s="37">
        <f t="shared" si="4"/>
        <v>1349180.0643086815</v>
      </c>
      <c r="K15" s="29">
        <v>15000</v>
      </c>
      <c r="L15" s="64">
        <f t="shared" si="5"/>
        <v>2250000</v>
      </c>
      <c r="M15" s="29">
        <f t="shared" si="6"/>
        <v>900819.93569131847</v>
      </c>
    </row>
    <row r="16" spans="1:13" x14ac:dyDescent="0.2">
      <c r="A16" s="1"/>
      <c r="B16" s="1" t="s">
        <v>7</v>
      </c>
      <c r="C16" s="1" t="s">
        <v>983</v>
      </c>
      <c r="D16" s="1">
        <v>6.22</v>
      </c>
      <c r="E16" s="1">
        <v>300</v>
      </c>
      <c r="F16" s="1">
        <v>28</v>
      </c>
      <c r="G16" s="1">
        <f t="shared" si="0"/>
        <v>8400</v>
      </c>
      <c r="H16" s="1">
        <f t="shared" si="1"/>
        <v>1350.4823151125402</v>
      </c>
      <c r="I16" s="3">
        <v>2543</v>
      </c>
      <c r="J16" s="37">
        <f t="shared" si="4"/>
        <v>3434276.5273311897</v>
      </c>
      <c r="K16" s="29">
        <v>18000</v>
      </c>
      <c r="L16" s="64">
        <f t="shared" si="5"/>
        <v>5400000</v>
      </c>
      <c r="M16" s="29">
        <f t="shared" si="6"/>
        <v>1965723.4726688103</v>
      </c>
    </row>
    <row r="17" spans="1:13" x14ac:dyDescent="0.2">
      <c r="A17" s="1"/>
      <c r="B17" s="1" t="s">
        <v>253</v>
      </c>
      <c r="C17" s="1" t="s">
        <v>984</v>
      </c>
      <c r="D17" s="1">
        <v>6.22</v>
      </c>
      <c r="E17" s="1">
        <v>300</v>
      </c>
      <c r="F17" s="1">
        <v>29</v>
      </c>
      <c r="G17" s="1">
        <f t="shared" si="0"/>
        <v>8700</v>
      </c>
      <c r="H17" s="1">
        <f t="shared" si="1"/>
        <v>1398.7138263665595</v>
      </c>
      <c r="I17" s="3">
        <v>2543</v>
      </c>
      <c r="J17" s="37">
        <f t="shared" si="4"/>
        <v>3556929.2604501611</v>
      </c>
      <c r="K17" s="29">
        <v>18000</v>
      </c>
      <c r="L17" s="64">
        <f t="shared" si="5"/>
        <v>5400000</v>
      </c>
      <c r="M17" s="29">
        <f t="shared" si="6"/>
        <v>1843070.7395498389</v>
      </c>
    </row>
    <row r="18" spans="1:13" x14ac:dyDescent="0.2">
      <c r="A18" s="1"/>
      <c r="B18" s="1" t="s">
        <v>253</v>
      </c>
      <c r="C18" s="1" t="s">
        <v>985</v>
      </c>
      <c r="D18" s="1">
        <v>6.22</v>
      </c>
      <c r="E18" s="1">
        <v>300</v>
      </c>
      <c r="F18" s="1">
        <v>26</v>
      </c>
      <c r="G18" s="1">
        <f t="shared" si="0"/>
        <v>7800</v>
      </c>
      <c r="H18" s="1">
        <f t="shared" si="1"/>
        <v>1254.0192926045017</v>
      </c>
      <c r="I18" s="3">
        <v>2543</v>
      </c>
      <c r="J18" s="37">
        <f t="shared" si="4"/>
        <v>3188971.0610932475</v>
      </c>
      <c r="K18" s="29">
        <v>18000</v>
      </c>
      <c r="L18" s="64">
        <f t="shared" si="5"/>
        <v>5400000</v>
      </c>
      <c r="M18" s="29">
        <f t="shared" si="6"/>
        <v>2211028.9389067525</v>
      </c>
    </row>
    <row r="19" spans="1:13" x14ac:dyDescent="0.2">
      <c r="A19" s="1"/>
      <c r="B19" s="1" t="s">
        <v>253</v>
      </c>
      <c r="C19" s="1" t="s">
        <v>986</v>
      </c>
      <c r="D19" s="1">
        <v>6.22</v>
      </c>
      <c r="E19" s="1">
        <v>300</v>
      </c>
      <c r="F19" s="1">
        <v>28</v>
      </c>
      <c r="G19" s="1">
        <f t="shared" si="0"/>
        <v>8400</v>
      </c>
      <c r="H19" s="1">
        <f t="shared" si="1"/>
        <v>1350.4823151125402</v>
      </c>
      <c r="I19" s="3">
        <v>2543</v>
      </c>
      <c r="J19" s="37">
        <f t="shared" si="4"/>
        <v>3434276.5273311897</v>
      </c>
      <c r="K19" s="29">
        <v>18000</v>
      </c>
      <c r="L19" s="64">
        <f t="shared" si="5"/>
        <v>5400000</v>
      </c>
      <c r="M19" s="29">
        <f t="shared" si="6"/>
        <v>1965723.4726688103</v>
      </c>
    </row>
    <row r="20" spans="1:13" x14ac:dyDescent="0.2">
      <c r="A20" s="1"/>
      <c r="B20" s="1" t="s">
        <v>253</v>
      </c>
      <c r="C20" s="1" t="s">
        <v>1043</v>
      </c>
      <c r="D20" s="1">
        <v>6.22</v>
      </c>
      <c r="E20" s="1">
        <v>300</v>
      </c>
      <c r="F20" s="1">
        <v>25</v>
      </c>
      <c r="G20" s="1">
        <f t="shared" si="0"/>
        <v>7500</v>
      </c>
      <c r="H20" s="1">
        <f t="shared" si="1"/>
        <v>1205.7877813504824</v>
      </c>
      <c r="I20" s="3">
        <v>2543</v>
      </c>
      <c r="J20" s="37">
        <f t="shared" si="4"/>
        <v>3066318.3279742766</v>
      </c>
      <c r="K20" s="29">
        <v>17000</v>
      </c>
      <c r="L20" s="64">
        <f t="shared" si="5"/>
        <v>5100000</v>
      </c>
      <c r="M20" s="29">
        <f t="shared" si="6"/>
        <v>2033681.6720257234</v>
      </c>
    </row>
    <row r="21" spans="1:13" x14ac:dyDescent="0.2">
      <c r="A21" s="1"/>
      <c r="B21" s="1" t="s">
        <v>253</v>
      </c>
      <c r="C21" s="1" t="s">
        <v>987</v>
      </c>
      <c r="D21" s="1">
        <v>6.22</v>
      </c>
      <c r="E21" s="1">
        <v>300</v>
      </c>
      <c r="F21" s="1">
        <v>28</v>
      </c>
      <c r="G21" s="1">
        <f t="shared" si="0"/>
        <v>8400</v>
      </c>
      <c r="H21" s="1">
        <f t="shared" si="1"/>
        <v>1350.4823151125402</v>
      </c>
      <c r="I21" s="3">
        <v>2543</v>
      </c>
      <c r="J21" s="37">
        <f t="shared" si="4"/>
        <v>3434276.5273311897</v>
      </c>
      <c r="K21" s="29">
        <v>18000</v>
      </c>
      <c r="L21" s="64">
        <f t="shared" si="5"/>
        <v>5400000</v>
      </c>
      <c r="M21" s="29">
        <f t="shared" si="6"/>
        <v>1965723.4726688103</v>
      </c>
    </row>
    <row r="22" spans="1:13" x14ac:dyDescent="0.2">
      <c r="A22" s="1"/>
      <c r="B22" s="1" t="s">
        <v>253</v>
      </c>
      <c r="C22" s="1" t="s">
        <v>988</v>
      </c>
      <c r="D22" s="1">
        <v>6.22</v>
      </c>
      <c r="E22" s="1">
        <v>200</v>
      </c>
      <c r="F22" s="1">
        <v>23</v>
      </c>
      <c r="G22" s="1">
        <f t="shared" si="0"/>
        <v>4600</v>
      </c>
      <c r="H22" s="1">
        <f t="shared" si="1"/>
        <v>739.54983922829581</v>
      </c>
      <c r="I22" s="3">
        <v>2543</v>
      </c>
      <c r="J22" s="37">
        <f t="shared" si="4"/>
        <v>1880675.2411575567</v>
      </c>
      <c r="K22" s="29">
        <v>16000</v>
      </c>
      <c r="L22" s="64">
        <f t="shared" si="5"/>
        <v>3200000</v>
      </c>
      <c r="M22" s="29">
        <f t="shared" si="6"/>
        <v>1319324.7588424433</v>
      </c>
    </row>
    <row r="23" spans="1:13" x14ac:dyDescent="0.2">
      <c r="A23" s="1"/>
      <c r="B23" s="1" t="s">
        <v>253</v>
      </c>
      <c r="C23" s="1" t="s">
        <v>989</v>
      </c>
      <c r="D23" s="1">
        <v>6.22</v>
      </c>
      <c r="E23" s="1">
        <v>200</v>
      </c>
      <c r="F23" s="1">
        <v>23</v>
      </c>
      <c r="G23" s="1">
        <f t="shared" si="0"/>
        <v>4600</v>
      </c>
      <c r="H23" s="1">
        <f t="shared" si="1"/>
        <v>739.54983922829581</v>
      </c>
      <c r="I23" s="3">
        <v>2543</v>
      </c>
      <c r="J23" s="37">
        <f t="shared" si="4"/>
        <v>1880675.2411575567</v>
      </c>
      <c r="K23" s="29">
        <v>16000</v>
      </c>
      <c r="L23" s="64">
        <f t="shared" si="5"/>
        <v>3200000</v>
      </c>
      <c r="M23" s="29">
        <f t="shared" si="6"/>
        <v>1319324.7588424433</v>
      </c>
    </row>
    <row r="24" spans="1:13" x14ac:dyDescent="0.2">
      <c r="A24" s="1"/>
      <c r="B24" s="1" t="s">
        <v>7</v>
      </c>
      <c r="C24" s="1" t="s">
        <v>1015</v>
      </c>
      <c r="D24" s="1">
        <v>6.22</v>
      </c>
      <c r="E24" s="1">
        <v>400</v>
      </c>
      <c r="F24" s="1">
        <v>26</v>
      </c>
      <c r="G24" s="1">
        <f t="shared" si="0"/>
        <v>10400</v>
      </c>
      <c r="H24" s="1">
        <f t="shared" si="1"/>
        <v>1672.0257234726689</v>
      </c>
      <c r="I24" s="3">
        <v>2543</v>
      </c>
      <c r="J24" s="37">
        <f t="shared" si="4"/>
        <v>4251961.4147909964</v>
      </c>
      <c r="K24" s="29">
        <v>17000</v>
      </c>
      <c r="L24" s="64">
        <f t="shared" si="5"/>
        <v>6800000</v>
      </c>
      <c r="M24" s="29">
        <f t="shared" si="6"/>
        <v>2548038.5852090036</v>
      </c>
    </row>
    <row r="25" spans="1:13" x14ac:dyDescent="0.2">
      <c r="A25" s="1"/>
      <c r="B25" s="1" t="s">
        <v>253</v>
      </c>
      <c r="C25" s="1" t="s">
        <v>1016</v>
      </c>
      <c r="D25" s="1">
        <v>6.22</v>
      </c>
      <c r="E25" s="1">
        <v>400</v>
      </c>
      <c r="F25" s="1">
        <v>25</v>
      </c>
      <c r="G25" s="1">
        <f t="shared" si="0"/>
        <v>10000</v>
      </c>
      <c r="H25" s="1">
        <f t="shared" si="1"/>
        <v>1607.7170418006431</v>
      </c>
      <c r="I25" s="3">
        <v>2543</v>
      </c>
      <c r="J25" s="37">
        <f t="shared" si="4"/>
        <v>4088424.4372990355</v>
      </c>
      <c r="K25" s="29">
        <v>17000</v>
      </c>
      <c r="L25" s="64">
        <f t="shared" si="5"/>
        <v>6800000</v>
      </c>
      <c r="M25" s="29">
        <f t="shared" si="6"/>
        <v>2711575.5627009645</v>
      </c>
    </row>
    <row r="26" spans="1:13" x14ac:dyDescent="0.2">
      <c r="A26" s="1"/>
      <c r="B26" s="1"/>
      <c r="C26" s="1" t="s">
        <v>1017</v>
      </c>
      <c r="D26" s="1">
        <v>6.22</v>
      </c>
      <c r="E26" s="1">
        <v>200</v>
      </c>
      <c r="F26" s="1">
        <v>26</v>
      </c>
      <c r="G26" s="1">
        <f t="shared" si="0"/>
        <v>5200</v>
      </c>
      <c r="H26" s="1">
        <f t="shared" si="1"/>
        <v>836.01286173633446</v>
      </c>
      <c r="I26" s="3">
        <v>2543</v>
      </c>
      <c r="J26" s="37">
        <f t="shared" si="4"/>
        <v>2125980.7073954982</v>
      </c>
      <c r="K26" s="29">
        <v>17000</v>
      </c>
      <c r="L26" s="64">
        <f t="shared" si="5"/>
        <v>3400000</v>
      </c>
      <c r="M26" s="29">
        <f t="shared" si="6"/>
        <v>1274019.2926045018</v>
      </c>
    </row>
    <row r="27" spans="1:13" x14ac:dyDescent="0.2">
      <c r="A27" s="1"/>
      <c r="B27" s="1"/>
      <c r="C27" s="1" t="s">
        <v>1020</v>
      </c>
      <c r="D27" s="1">
        <v>6.22</v>
      </c>
      <c r="E27" s="1">
        <v>200</v>
      </c>
      <c r="F27" s="1">
        <v>27</v>
      </c>
      <c r="G27" s="1">
        <f t="shared" si="0"/>
        <v>5400</v>
      </c>
      <c r="H27" s="1">
        <f t="shared" si="1"/>
        <v>868.16720257234726</v>
      </c>
      <c r="I27" s="3">
        <v>2543</v>
      </c>
      <c r="J27" s="37">
        <f t="shared" si="4"/>
        <v>2207749.1961414795</v>
      </c>
      <c r="K27" s="29">
        <v>18000</v>
      </c>
      <c r="L27" s="64">
        <f t="shared" si="5"/>
        <v>3600000</v>
      </c>
      <c r="M27" s="29">
        <f t="shared" si="6"/>
        <v>1392250.8038585205</v>
      </c>
    </row>
    <row r="28" spans="1:13" x14ac:dyDescent="0.2">
      <c r="A28" s="1"/>
      <c r="B28" s="1"/>
      <c r="C28" s="1" t="s">
        <v>1039</v>
      </c>
      <c r="D28" s="1">
        <v>6.22</v>
      </c>
      <c r="E28" s="1">
        <v>300</v>
      </c>
      <c r="F28" s="1">
        <v>32</v>
      </c>
      <c r="G28" s="1">
        <f t="shared" si="0"/>
        <v>9600</v>
      </c>
      <c r="H28" s="1">
        <f t="shared" si="1"/>
        <v>1543.4083601286175</v>
      </c>
      <c r="I28" s="3">
        <v>2543</v>
      </c>
      <c r="J28" s="37">
        <f t="shared" si="4"/>
        <v>3924887.4598070742</v>
      </c>
      <c r="K28" s="29">
        <v>20000</v>
      </c>
      <c r="L28" s="64">
        <f t="shared" si="5"/>
        <v>6000000</v>
      </c>
      <c r="M28" s="29">
        <f t="shared" si="6"/>
        <v>2075112.5401929258</v>
      </c>
    </row>
    <row r="29" spans="1:13" x14ac:dyDescent="0.2">
      <c r="A29" s="1"/>
      <c r="B29" s="1" t="s">
        <v>1018</v>
      </c>
      <c r="C29" s="1" t="s">
        <v>1019</v>
      </c>
      <c r="D29" s="1">
        <v>6.22</v>
      </c>
      <c r="E29" s="1">
        <v>600</v>
      </c>
      <c r="F29" s="1">
        <v>23</v>
      </c>
      <c r="G29" s="1">
        <f t="shared" si="0"/>
        <v>13800</v>
      </c>
      <c r="H29" s="1">
        <f t="shared" si="1"/>
        <v>2218.6495176848875</v>
      </c>
      <c r="I29" s="3">
        <v>2543</v>
      </c>
      <c r="J29" s="37">
        <f t="shared" si="4"/>
        <v>5642025.7234726697</v>
      </c>
      <c r="K29" s="29">
        <v>15000</v>
      </c>
      <c r="L29" s="64">
        <f t="shared" si="5"/>
        <v>9000000</v>
      </c>
      <c r="M29" s="29">
        <f t="shared" si="6"/>
        <v>3357974.2765273303</v>
      </c>
    </row>
    <row r="30" spans="1:13" x14ac:dyDescent="0.2">
      <c r="A30" s="1"/>
      <c r="B30" s="1" t="s">
        <v>7</v>
      </c>
      <c r="C30" s="1" t="s">
        <v>1021</v>
      </c>
      <c r="D30" s="1">
        <v>6.22</v>
      </c>
      <c r="E30" s="1">
        <v>250</v>
      </c>
      <c r="F30" s="1">
        <v>15</v>
      </c>
      <c r="G30" s="1">
        <f t="shared" si="0"/>
        <v>3750</v>
      </c>
      <c r="H30" s="1">
        <f t="shared" si="1"/>
        <v>602.89389067524121</v>
      </c>
      <c r="I30" s="3">
        <v>2543</v>
      </c>
      <c r="J30" s="37">
        <f t="shared" si="4"/>
        <v>1533159.1639871383</v>
      </c>
      <c r="K30" s="29">
        <v>18000</v>
      </c>
      <c r="L30" s="64">
        <f t="shared" si="5"/>
        <v>4500000</v>
      </c>
      <c r="M30" s="29">
        <f t="shared" si="6"/>
        <v>2966840.8360128617</v>
      </c>
    </row>
    <row r="31" spans="1:13" x14ac:dyDescent="0.2">
      <c r="A31" s="1"/>
      <c r="B31" s="1" t="s">
        <v>7</v>
      </c>
      <c r="C31" s="1" t="s">
        <v>1022</v>
      </c>
      <c r="D31" s="1">
        <v>6.22</v>
      </c>
      <c r="E31" s="1">
        <v>200</v>
      </c>
      <c r="F31" s="1">
        <v>24</v>
      </c>
      <c r="G31" s="1">
        <f t="shared" si="0"/>
        <v>4800</v>
      </c>
      <c r="H31" s="1">
        <f t="shared" si="1"/>
        <v>771.70418006430873</v>
      </c>
      <c r="I31" s="3">
        <v>2543</v>
      </c>
      <c r="J31" s="37">
        <f t="shared" si="4"/>
        <v>1962443.7299035368</v>
      </c>
      <c r="K31" s="29">
        <v>17000</v>
      </c>
      <c r="L31" s="64">
        <f t="shared" si="5"/>
        <v>3400000</v>
      </c>
      <c r="M31" s="29">
        <f t="shared" si="6"/>
        <v>1437556.2700964632</v>
      </c>
    </row>
    <row r="32" spans="1:13" x14ac:dyDescent="0.2">
      <c r="A32" s="1"/>
      <c r="B32" s="1" t="s">
        <v>7</v>
      </c>
      <c r="C32" s="1" t="s">
        <v>1024</v>
      </c>
      <c r="D32" s="1">
        <v>6.22</v>
      </c>
      <c r="E32" s="1">
        <v>280</v>
      </c>
      <c r="F32" s="1">
        <v>16</v>
      </c>
      <c r="G32" s="1">
        <f t="shared" si="0"/>
        <v>4480</v>
      </c>
      <c r="H32" s="1">
        <f t="shared" si="1"/>
        <v>720.25723472668813</v>
      </c>
      <c r="I32" s="3">
        <v>2543</v>
      </c>
      <c r="J32" s="37">
        <f t="shared" si="4"/>
        <v>1831614.1479099679</v>
      </c>
      <c r="K32" s="29">
        <v>16000</v>
      </c>
      <c r="L32" s="64">
        <f t="shared" si="5"/>
        <v>4480000</v>
      </c>
      <c r="M32" s="29">
        <f t="shared" si="6"/>
        <v>2648385.8520900318</v>
      </c>
    </row>
    <row r="33" spans="1:13" x14ac:dyDescent="0.2">
      <c r="A33" s="1"/>
      <c r="B33" s="1" t="s">
        <v>253</v>
      </c>
      <c r="C33" s="1" t="s">
        <v>1025</v>
      </c>
      <c r="D33" s="1">
        <v>6.22</v>
      </c>
      <c r="E33" s="1">
        <v>200</v>
      </c>
      <c r="F33" s="1">
        <v>21.5</v>
      </c>
      <c r="G33" s="1">
        <f t="shared" si="0"/>
        <v>4300</v>
      </c>
      <c r="H33" s="1">
        <f t="shared" si="1"/>
        <v>691.3183279742766</v>
      </c>
      <c r="I33" s="3">
        <v>2543</v>
      </c>
      <c r="J33" s="37">
        <f t="shared" si="4"/>
        <v>1758022.5080385855</v>
      </c>
      <c r="K33" s="29">
        <v>17000</v>
      </c>
      <c r="L33" s="64">
        <f t="shared" si="5"/>
        <v>3400000</v>
      </c>
      <c r="M33" s="29">
        <f t="shared" si="6"/>
        <v>1641977.4919614145</v>
      </c>
    </row>
    <row r="34" spans="1:13" x14ac:dyDescent="0.2">
      <c r="A34" s="1"/>
      <c r="B34" s="1" t="s">
        <v>7</v>
      </c>
      <c r="C34" s="1" t="s">
        <v>1026</v>
      </c>
      <c r="D34" s="1">
        <v>6.22</v>
      </c>
      <c r="E34" s="1">
        <v>1400</v>
      </c>
      <c r="F34" s="1">
        <v>22</v>
      </c>
      <c r="G34" s="1">
        <f t="shared" si="0"/>
        <v>30800</v>
      </c>
      <c r="H34" s="1">
        <f t="shared" si="1"/>
        <v>4951.7684887459809</v>
      </c>
      <c r="I34" s="3">
        <v>2543</v>
      </c>
      <c r="J34" s="37">
        <f t="shared" si="4"/>
        <v>12592347.266881028</v>
      </c>
      <c r="K34" s="29">
        <v>15000</v>
      </c>
      <c r="L34" s="64">
        <f t="shared" si="5"/>
        <v>21000000</v>
      </c>
      <c r="M34" s="29">
        <f t="shared" si="6"/>
        <v>8407652.7331189718</v>
      </c>
    </row>
    <row r="35" spans="1:13" x14ac:dyDescent="0.2">
      <c r="A35" s="1"/>
      <c r="B35" s="1" t="s">
        <v>253</v>
      </c>
      <c r="C35" s="1" t="s">
        <v>1034</v>
      </c>
      <c r="D35" s="1">
        <v>6.22</v>
      </c>
      <c r="E35" s="1">
        <v>200</v>
      </c>
      <c r="F35" s="1">
        <v>22</v>
      </c>
      <c r="G35" s="1">
        <f t="shared" si="0"/>
        <v>4400</v>
      </c>
      <c r="H35" s="1">
        <f t="shared" si="1"/>
        <v>707.395498392283</v>
      </c>
      <c r="I35" s="3">
        <v>2543</v>
      </c>
      <c r="J35" s="37">
        <f t="shared" si="4"/>
        <v>1798906.7524115755</v>
      </c>
      <c r="K35" s="29">
        <v>17000</v>
      </c>
      <c r="L35" s="64">
        <f t="shared" si="5"/>
        <v>3400000</v>
      </c>
      <c r="M35" s="29">
        <f t="shared" si="6"/>
        <v>1601093.2475884245</v>
      </c>
    </row>
    <row r="36" spans="1:13" x14ac:dyDescent="0.2">
      <c r="A36" s="1"/>
      <c r="B36" s="1" t="s">
        <v>23</v>
      </c>
      <c r="C36" s="1" t="s">
        <v>1027</v>
      </c>
      <c r="D36" s="1">
        <v>6.22</v>
      </c>
      <c r="E36" s="1">
        <v>200</v>
      </c>
      <c r="F36" s="1">
        <v>20</v>
      </c>
      <c r="G36" s="1">
        <f t="shared" si="0"/>
        <v>4000</v>
      </c>
      <c r="H36" s="1">
        <f t="shared" si="1"/>
        <v>643.08681672025727</v>
      </c>
      <c r="I36" s="3">
        <v>2543</v>
      </c>
      <c r="J36" s="37">
        <f t="shared" si="4"/>
        <v>1635369.7749196142</v>
      </c>
      <c r="K36" s="29">
        <v>15000</v>
      </c>
      <c r="L36" s="64">
        <f t="shared" si="5"/>
        <v>3000000</v>
      </c>
      <c r="M36" s="29">
        <f t="shared" si="6"/>
        <v>1364630.2250803858</v>
      </c>
    </row>
    <row r="37" spans="1:13" x14ac:dyDescent="0.2">
      <c r="A37" s="1"/>
      <c r="B37" s="1" t="s">
        <v>253</v>
      </c>
      <c r="C37" s="1" t="s">
        <v>253</v>
      </c>
      <c r="D37" s="1">
        <v>6.22</v>
      </c>
      <c r="E37" s="1">
        <v>200</v>
      </c>
      <c r="F37" s="1">
        <v>23</v>
      </c>
      <c r="G37" s="1">
        <f t="shared" si="0"/>
        <v>4600</v>
      </c>
      <c r="H37" s="1">
        <f t="shared" si="1"/>
        <v>739.54983922829581</v>
      </c>
      <c r="I37" s="3">
        <v>2543</v>
      </c>
      <c r="J37" s="37">
        <f t="shared" si="4"/>
        <v>1880675.2411575567</v>
      </c>
      <c r="K37" s="29">
        <v>15000</v>
      </c>
      <c r="L37" s="64">
        <f t="shared" si="5"/>
        <v>3000000</v>
      </c>
      <c r="M37" s="29">
        <f t="shared" si="6"/>
        <v>1119324.7588424433</v>
      </c>
    </row>
    <row r="38" spans="1:13" x14ac:dyDescent="0.2">
      <c r="A38" s="1"/>
      <c r="B38" s="1" t="s">
        <v>253</v>
      </c>
      <c r="C38" s="1" t="s">
        <v>253</v>
      </c>
      <c r="D38" s="1">
        <v>6.22</v>
      </c>
      <c r="E38" s="1">
        <v>150</v>
      </c>
      <c r="F38" s="1">
        <v>16</v>
      </c>
      <c r="G38" s="1">
        <f t="shared" si="0"/>
        <v>2400</v>
      </c>
      <c r="H38" s="1">
        <f t="shared" si="1"/>
        <v>385.85209003215436</v>
      </c>
      <c r="I38" s="3">
        <v>2543</v>
      </c>
      <c r="J38" s="37">
        <f t="shared" si="4"/>
        <v>981221.86495176854</v>
      </c>
      <c r="K38" s="29">
        <v>13000</v>
      </c>
      <c r="L38" s="64">
        <f t="shared" si="5"/>
        <v>1950000</v>
      </c>
      <c r="M38" s="29">
        <f t="shared" si="6"/>
        <v>968778.13504823146</v>
      </c>
    </row>
    <row r="39" spans="1:13" x14ac:dyDescent="0.2">
      <c r="A39" s="1"/>
      <c r="B39" s="1" t="s">
        <v>253</v>
      </c>
      <c r="C39" s="1" t="s">
        <v>1028</v>
      </c>
      <c r="D39" s="1">
        <v>6.22</v>
      </c>
      <c r="E39" s="1">
        <v>100</v>
      </c>
      <c r="F39" s="1">
        <v>17</v>
      </c>
      <c r="G39" s="1">
        <f t="shared" si="0"/>
        <v>1700</v>
      </c>
      <c r="H39" s="1">
        <f t="shared" si="1"/>
        <v>273.31189710610931</v>
      </c>
      <c r="I39" s="3">
        <v>2543</v>
      </c>
      <c r="J39" s="37">
        <f t="shared" si="4"/>
        <v>695032.15434083599</v>
      </c>
      <c r="K39" s="29">
        <v>13000</v>
      </c>
      <c r="L39" s="64">
        <f t="shared" si="5"/>
        <v>1300000</v>
      </c>
      <c r="M39" s="29">
        <f t="shared" si="6"/>
        <v>604967.84565916401</v>
      </c>
    </row>
    <row r="40" spans="1:13" x14ac:dyDescent="0.2">
      <c r="A40" s="1"/>
      <c r="B40" s="1" t="s">
        <v>253</v>
      </c>
      <c r="C40" s="1" t="s">
        <v>1029</v>
      </c>
      <c r="D40" s="1">
        <v>6.22</v>
      </c>
      <c r="E40" s="1">
        <v>150</v>
      </c>
      <c r="F40" s="1">
        <v>17</v>
      </c>
      <c r="G40" s="1">
        <f t="shared" si="0"/>
        <v>2550</v>
      </c>
      <c r="H40" s="1">
        <f t="shared" si="1"/>
        <v>409.96784565916403</v>
      </c>
      <c r="I40" s="3">
        <v>2543</v>
      </c>
      <c r="J40" s="37">
        <f t="shared" si="4"/>
        <v>1042548.2315112541</v>
      </c>
      <c r="K40" s="29">
        <v>13000</v>
      </c>
      <c r="L40" s="64">
        <f t="shared" si="5"/>
        <v>1950000</v>
      </c>
      <c r="M40" s="29">
        <f t="shared" si="6"/>
        <v>907451.7684887459</v>
      </c>
    </row>
    <row r="41" spans="1:13" x14ac:dyDescent="0.2">
      <c r="A41" s="1"/>
      <c r="B41" s="1" t="s">
        <v>253</v>
      </c>
      <c r="C41" s="1" t="s">
        <v>253</v>
      </c>
      <c r="D41" s="1">
        <v>6.22</v>
      </c>
      <c r="E41" s="1">
        <v>150</v>
      </c>
      <c r="F41" s="1">
        <v>18</v>
      </c>
      <c r="G41" s="1">
        <f t="shared" si="0"/>
        <v>2700</v>
      </c>
      <c r="H41" s="1">
        <f t="shared" si="1"/>
        <v>434.08360128617363</v>
      </c>
      <c r="I41" s="3">
        <v>2543</v>
      </c>
      <c r="J41" s="37">
        <f t="shared" si="4"/>
        <v>1103874.5980707395</v>
      </c>
      <c r="K41" s="29">
        <v>13000</v>
      </c>
      <c r="L41" s="64">
        <f t="shared" si="5"/>
        <v>1950000</v>
      </c>
      <c r="M41" s="29">
        <f t="shared" si="6"/>
        <v>846125.40192926046</v>
      </c>
    </row>
    <row r="42" spans="1:13" x14ac:dyDescent="0.2">
      <c r="A42" s="1"/>
      <c r="B42" s="1" t="s">
        <v>253</v>
      </c>
      <c r="C42" s="1" t="s">
        <v>1030</v>
      </c>
      <c r="D42" s="1">
        <v>6.22</v>
      </c>
      <c r="E42" s="1">
        <v>100</v>
      </c>
      <c r="F42" s="1">
        <v>16</v>
      </c>
      <c r="G42" s="1">
        <f t="shared" si="0"/>
        <v>1600</v>
      </c>
      <c r="H42" s="1">
        <f t="shared" si="1"/>
        <v>257.23472668810291</v>
      </c>
      <c r="I42" s="3">
        <v>2543</v>
      </c>
      <c r="J42" s="37">
        <f t="shared" si="4"/>
        <v>654147.90996784566</v>
      </c>
      <c r="K42" s="29">
        <v>13000</v>
      </c>
      <c r="L42" s="64">
        <f t="shared" si="5"/>
        <v>1300000</v>
      </c>
      <c r="M42" s="29">
        <f t="shared" si="6"/>
        <v>645852.09003215434</v>
      </c>
    </row>
    <row r="43" spans="1:13" x14ac:dyDescent="0.2">
      <c r="A43" s="1"/>
      <c r="B43" s="1" t="s">
        <v>7</v>
      </c>
      <c r="C43" s="1" t="s">
        <v>1031</v>
      </c>
      <c r="D43" s="1">
        <v>6.22</v>
      </c>
      <c r="E43" s="1">
        <v>329</v>
      </c>
      <c r="F43" s="1">
        <v>13</v>
      </c>
      <c r="G43" s="1">
        <f t="shared" si="0"/>
        <v>4277</v>
      </c>
      <c r="H43" s="1">
        <f t="shared" si="1"/>
        <v>687.62057877813504</v>
      </c>
      <c r="I43" s="3">
        <v>2543</v>
      </c>
      <c r="J43" s="37">
        <f t="shared" si="4"/>
        <v>1748619.1318327973</v>
      </c>
      <c r="K43" s="29">
        <v>16000</v>
      </c>
      <c r="L43" s="64">
        <f t="shared" si="5"/>
        <v>5264000</v>
      </c>
      <c r="M43" s="29">
        <f t="shared" si="6"/>
        <v>3515380.8681672029</v>
      </c>
    </row>
    <row r="44" spans="1:13" x14ac:dyDescent="0.2">
      <c r="A44" s="1"/>
      <c r="B44" s="1" t="s">
        <v>1032</v>
      </c>
      <c r="C44" s="1" t="s">
        <v>1033</v>
      </c>
      <c r="D44" s="1">
        <v>6.22</v>
      </c>
      <c r="E44" s="1">
        <v>186</v>
      </c>
      <c r="F44" s="1">
        <v>26</v>
      </c>
      <c r="G44" s="1">
        <f t="shared" si="0"/>
        <v>4836</v>
      </c>
      <c r="H44" s="1">
        <f t="shared" si="1"/>
        <v>777.49196141479104</v>
      </c>
      <c r="I44" s="3">
        <v>2543</v>
      </c>
      <c r="J44" s="37">
        <f t="shared" si="4"/>
        <v>1977162.0578778135</v>
      </c>
      <c r="K44" s="29">
        <v>18000</v>
      </c>
      <c r="L44" s="64">
        <f t="shared" si="5"/>
        <v>3348000</v>
      </c>
      <c r="M44" s="29">
        <f t="shared" si="6"/>
        <v>1370837.9421221865</v>
      </c>
    </row>
    <row r="45" spans="1:13" x14ac:dyDescent="0.2">
      <c r="A45" s="1"/>
      <c r="B45" s="1" t="s">
        <v>7</v>
      </c>
      <c r="C45" s="1" t="s">
        <v>453</v>
      </c>
      <c r="D45" s="1">
        <v>6.22</v>
      </c>
      <c r="E45" s="1">
        <v>1723</v>
      </c>
      <c r="F45" s="1">
        <v>23</v>
      </c>
      <c r="G45" s="1">
        <f t="shared" si="0"/>
        <v>39629</v>
      </c>
      <c r="H45" s="1">
        <f t="shared" si="1"/>
        <v>6371.221864951769</v>
      </c>
      <c r="I45" s="3">
        <v>2543</v>
      </c>
      <c r="J45" s="37">
        <f t="shared" si="4"/>
        <v>16202017.202572349</v>
      </c>
      <c r="K45" s="29">
        <v>15000</v>
      </c>
      <c r="L45" s="64">
        <f t="shared" si="5"/>
        <v>25845000</v>
      </c>
      <c r="M45" s="29">
        <f t="shared" si="6"/>
        <v>9642982.7974276505</v>
      </c>
    </row>
    <row r="46" spans="1:13" x14ac:dyDescent="0.2">
      <c r="A46" s="1"/>
      <c r="B46" s="1" t="s">
        <v>7</v>
      </c>
      <c r="C46" s="1" t="s">
        <v>1040</v>
      </c>
      <c r="D46" s="1">
        <v>6.22</v>
      </c>
      <c r="E46" s="1">
        <v>400</v>
      </c>
      <c r="F46" s="1">
        <v>24</v>
      </c>
      <c r="G46" s="1">
        <f t="shared" si="0"/>
        <v>9600</v>
      </c>
      <c r="H46" s="1">
        <f t="shared" si="1"/>
        <v>1543.4083601286175</v>
      </c>
      <c r="I46" s="3">
        <v>2543</v>
      </c>
      <c r="J46" s="37">
        <f t="shared" si="4"/>
        <v>3924887.4598070737</v>
      </c>
      <c r="K46" s="29">
        <v>17000</v>
      </c>
      <c r="L46" s="64">
        <f t="shared" si="5"/>
        <v>6800000</v>
      </c>
      <c r="M46" s="29">
        <f t="shared" si="6"/>
        <v>2875112.5401929263</v>
      </c>
    </row>
    <row r="47" spans="1:13" x14ac:dyDescent="0.2">
      <c r="A47" s="1"/>
      <c r="B47" s="1" t="s">
        <v>411</v>
      </c>
      <c r="C47" s="1" t="s">
        <v>1041</v>
      </c>
      <c r="D47" s="1">
        <v>6.22</v>
      </c>
      <c r="E47" s="1">
        <v>600</v>
      </c>
      <c r="F47" s="1">
        <v>20</v>
      </c>
      <c r="G47" s="1">
        <f t="shared" si="0"/>
        <v>12000</v>
      </c>
      <c r="H47" s="1">
        <f t="shared" si="1"/>
        <v>1929.2604501607718</v>
      </c>
      <c r="I47" s="3">
        <v>2543</v>
      </c>
      <c r="J47" s="37">
        <f t="shared" si="4"/>
        <v>4906109.3247588426</v>
      </c>
      <c r="K47" s="29">
        <v>15000</v>
      </c>
      <c r="L47" s="64">
        <f t="shared" si="5"/>
        <v>9000000</v>
      </c>
      <c r="M47" s="29">
        <f t="shared" si="6"/>
        <v>4093890.6752411574</v>
      </c>
    </row>
    <row r="48" spans="1:13" x14ac:dyDescent="0.2">
      <c r="D48" s="118"/>
      <c r="E48" s="7">
        <f>SUM(E3:E47)</f>
        <v>15171</v>
      </c>
      <c r="H48" s="114">
        <f>SUM(H3:H47)</f>
        <v>56387.781350482313</v>
      </c>
      <c r="I48" s="74"/>
      <c r="J48" s="70">
        <f>SUM(J3:J47)</f>
        <v>143394127.97427648</v>
      </c>
      <c r="L48" s="70">
        <f>SUM(L3:L47)</f>
        <v>243532000</v>
      </c>
      <c r="M48" s="48">
        <f>SUM(M3:M47)</f>
        <v>100137872.02572349</v>
      </c>
    </row>
    <row r="49" spans="4:10" x14ac:dyDescent="0.2">
      <c r="D49" s="1"/>
      <c r="I49" s="3"/>
    </row>
    <row r="50" spans="4:10" x14ac:dyDescent="0.2">
      <c r="D50" s="1"/>
      <c r="I50" s="3"/>
    </row>
    <row r="51" spans="4:10" x14ac:dyDescent="0.2">
      <c r="D51" s="1"/>
      <c r="I51" s="3"/>
    </row>
    <row r="52" spans="4:10" x14ac:dyDescent="0.2">
      <c r="D52" s="1"/>
      <c r="I52" s="3" t="s">
        <v>25</v>
      </c>
      <c r="J52" s="15">
        <v>143394128</v>
      </c>
    </row>
    <row r="53" spans="4:10" x14ac:dyDescent="0.2">
      <c r="D53" s="1"/>
      <c r="I53" s="3" t="s">
        <v>27</v>
      </c>
      <c r="J53" s="9">
        <v>6715540</v>
      </c>
    </row>
    <row r="54" spans="4:10" x14ac:dyDescent="0.2">
      <c r="D54" s="1"/>
      <c r="I54" s="3" t="s">
        <v>26</v>
      </c>
      <c r="J54" s="3">
        <v>3649400</v>
      </c>
    </row>
    <row r="55" spans="4:10" x14ac:dyDescent="0.2">
      <c r="D55" s="1"/>
      <c r="I55" s="3" t="s">
        <v>33</v>
      </c>
      <c r="J55" s="3">
        <v>4000000</v>
      </c>
    </row>
    <row r="56" spans="4:10" x14ac:dyDescent="0.2">
      <c r="D56" s="1"/>
      <c r="I56" s="3" t="s">
        <v>31</v>
      </c>
      <c r="J56" s="3">
        <v>6350000</v>
      </c>
    </row>
    <row r="57" spans="4:10" x14ac:dyDescent="0.2">
      <c r="D57" s="1"/>
      <c r="I57" s="3" t="s">
        <v>36</v>
      </c>
      <c r="J57" s="3">
        <v>3410000</v>
      </c>
    </row>
    <row r="58" spans="4:10" x14ac:dyDescent="0.2">
      <c r="D58" s="1"/>
      <c r="I58" s="3" t="s">
        <v>29</v>
      </c>
      <c r="J58" s="23">
        <v>11000000</v>
      </c>
    </row>
    <row r="59" spans="4:10" x14ac:dyDescent="0.2">
      <c r="D59" s="1"/>
      <c r="I59" s="3" t="s">
        <v>34</v>
      </c>
      <c r="J59" s="26">
        <f>SUM(J52:J58)</f>
        <v>178519068</v>
      </c>
    </row>
    <row r="60" spans="4:10" x14ac:dyDescent="0.2">
      <c r="D60" s="1"/>
      <c r="I60" s="3" t="s">
        <v>6</v>
      </c>
      <c r="J60" s="116">
        <v>243532000</v>
      </c>
    </row>
    <row r="61" spans="4:10" ht="18" x14ac:dyDescent="0.35">
      <c r="D61" s="1"/>
      <c r="I61" s="3" t="s">
        <v>35</v>
      </c>
      <c r="J61" s="21">
        <f>J60-J59</f>
        <v>65012932</v>
      </c>
    </row>
    <row r="68" spans="1:13" ht="31" x14ac:dyDescent="0.35">
      <c r="A68" s="56" t="s">
        <v>1008</v>
      </c>
      <c r="B68" s="56"/>
      <c r="C68" s="56"/>
      <c r="D68" s="56"/>
      <c r="E68" s="56"/>
      <c r="F68" s="57"/>
      <c r="G68" s="57"/>
      <c r="H68" s="57"/>
      <c r="I68" s="57"/>
      <c r="J68" s="57"/>
      <c r="K68" s="57"/>
      <c r="L68" s="57"/>
      <c r="M68" s="57"/>
    </row>
    <row r="69" spans="1:13" x14ac:dyDescent="0.2">
      <c r="A69" s="58" t="s">
        <v>0</v>
      </c>
      <c r="B69" s="58" t="s">
        <v>1</v>
      </c>
      <c r="C69" s="58" t="s">
        <v>263</v>
      </c>
      <c r="D69" s="58" t="s">
        <v>2</v>
      </c>
      <c r="E69" s="58" t="s">
        <v>3</v>
      </c>
      <c r="F69" s="58" t="s">
        <v>11</v>
      </c>
      <c r="G69" s="59" t="s">
        <v>8</v>
      </c>
      <c r="H69" s="58" t="s">
        <v>77</v>
      </c>
      <c r="I69" s="59" t="s">
        <v>41</v>
      </c>
      <c r="J69" s="59" t="s">
        <v>9</v>
      </c>
      <c r="K69" s="59" t="s">
        <v>10</v>
      </c>
      <c r="L69" s="59" t="s">
        <v>6</v>
      </c>
      <c r="M69" s="59" t="s">
        <v>12</v>
      </c>
    </row>
    <row r="70" spans="1:13" x14ac:dyDescent="0.2">
      <c r="A70" s="2" t="s">
        <v>862</v>
      </c>
      <c r="B70" s="1" t="s">
        <v>23</v>
      </c>
      <c r="C70" s="1" t="s">
        <v>994</v>
      </c>
      <c r="D70" s="1">
        <v>32.32</v>
      </c>
      <c r="E70" s="1">
        <v>300</v>
      </c>
      <c r="F70" s="1">
        <v>90</v>
      </c>
      <c r="G70" s="44">
        <f t="shared" ref="G70:G91" si="7">E70*F70</f>
        <v>27000</v>
      </c>
      <c r="H70" s="5">
        <f t="shared" ref="H70" si="8">G70/D70</f>
        <v>835.39603960396039</v>
      </c>
      <c r="I70" s="3">
        <v>2542</v>
      </c>
      <c r="J70" s="3">
        <f t="shared" ref="J70:J91" si="9">F70/D70*I70*E70</f>
        <v>2123576.7326732674</v>
      </c>
      <c r="K70" s="3">
        <v>12000</v>
      </c>
      <c r="L70" s="44">
        <f t="shared" ref="L70:L91" si="10">K70*E70</f>
        <v>3600000</v>
      </c>
      <c r="M70" s="3">
        <f t="shared" ref="M70:M91" si="11">L70-J70</f>
        <v>1476423.2673267326</v>
      </c>
    </row>
    <row r="71" spans="1:13" x14ac:dyDescent="0.2">
      <c r="A71" s="2"/>
      <c r="B71" s="1" t="s">
        <v>253</v>
      </c>
      <c r="C71" s="1" t="s">
        <v>995</v>
      </c>
      <c r="D71" s="1">
        <v>32.32</v>
      </c>
      <c r="E71" s="1">
        <v>200</v>
      </c>
      <c r="F71" s="1">
        <v>100</v>
      </c>
      <c r="G71" s="44">
        <f t="shared" si="7"/>
        <v>20000</v>
      </c>
      <c r="H71" s="5">
        <f>G71/D71</f>
        <v>618.81188118811883</v>
      </c>
      <c r="I71" s="3">
        <v>2542</v>
      </c>
      <c r="J71" s="3">
        <f t="shared" si="9"/>
        <v>1573019.8019801981</v>
      </c>
      <c r="K71" s="3">
        <v>13000</v>
      </c>
      <c r="L71" s="44">
        <f t="shared" si="10"/>
        <v>2600000</v>
      </c>
      <c r="M71" s="3">
        <f t="shared" si="11"/>
        <v>1026980.1980198019</v>
      </c>
    </row>
    <row r="72" spans="1:13" x14ac:dyDescent="0.2">
      <c r="A72" s="2"/>
      <c r="B72" s="1" t="s">
        <v>253</v>
      </c>
      <c r="C72" s="1" t="s">
        <v>996</v>
      </c>
      <c r="D72" s="1">
        <v>32.32</v>
      </c>
      <c r="E72" s="1">
        <v>300</v>
      </c>
      <c r="F72" s="1">
        <v>90</v>
      </c>
      <c r="G72" s="44">
        <f t="shared" si="7"/>
        <v>27000</v>
      </c>
      <c r="H72" s="5">
        <f>G72/D72</f>
        <v>835.39603960396039</v>
      </c>
      <c r="I72" s="3">
        <v>2542</v>
      </c>
      <c r="J72" s="3">
        <f t="shared" si="9"/>
        <v>2123576.7326732674</v>
      </c>
      <c r="K72" s="3">
        <v>12000</v>
      </c>
      <c r="L72" s="44">
        <f t="shared" si="10"/>
        <v>3600000</v>
      </c>
      <c r="M72" s="3">
        <f t="shared" si="11"/>
        <v>1476423.2673267326</v>
      </c>
    </row>
    <row r="73" spans="1:13" x14ac:dyDescent="0.2">
      <c r="A73" s="2"/>
      <c r="B73" s="1" t="s">
        <v>253</v>
      </c>
      <c r="C73" s="1" t="s">
        <v>995</v>
      </c>
      <c r="D73" s="1">
        <v>32.32</v>
      </c>
      <c r="E73" s="1">
        <v>300</v>
      </c>
      <c r="F73" s="1">
        <v>100</v>
      </c>
      <c r="G73" s="1">
        <f t="shared" si="7"/>
        <v>30000</v>
      </c>
      <c r="H73" s="1">
        <f t="shared" ref="H73:H91" si="12">G73/D73</f>
        <v>928.21782178217825</v>
      </c>
      <c r="I73" s="3">
        <v>2542</v>
      </c>
      <c r="J73" s="37">
        <f t="shared" si="9"/>
        <v>2359529.7029702971</v>
      </c>
      <c r="K73" s="3">
        <v>13000</v>
      </c>
      <c r="L73" s="44">
        <f t="shared" si="10"/>
        <v>3900000</v>
      </c>
      <c r="M73" s="3">
        <f t="shared" si="11"/>
        <v>1540470.2970297029</v>
      </c>
    </row>
    <row r="74" spans="1:13" x14ac:dyDescent="0.2">
      <c r="A74" s="2"/>
      <c r="B74" s="1" t="s">
        <v>23</v>
      </c>
      <c r="C74" s="1" t="s">
        <v>912</v>
      </c>
      <c r="D74" s="1">
        <v>32.32</v>
      </c>
      <c r="E74" s="1">
        <v>2000</v>
      </c>
      <c r="F74" s="1">
        <v>60</v>
      </c>
      <c r="G74" s="1">
        <f t="shared" si="7"/>
        <v>120000</v>
      </c>
      <c r="H74" s="1">
        <f t="shared" si="12"/>
        <v>3712.871287128713</v>
      </c>
      <c r="I74" s="3">
        <v>2542</v>
      </c>
      <c r="J74" s="37">
        <f t="shared" si="9"/>
        <v>9438118.8118811883</v>
      </c>
      <c r="K74" s="3">
        <v>12000</v>
      </c>
      <c r="L74" s="44">
        <f t="shared" si="10"/>
        <v>24000000</v>
      </c>
      <c r="M74" s="3">
        <f t="shared" si="11"/>
        <v>14561881.188118812</v>
      </c>
    </row>
    <row r="75" spans="1:13" x14ac:dyDescent="0.2">
      <c r="A75" s="2"/>
      <c r="B75" s="1" t="s">
        <v>1007</v>
      </c>
      <c r="C75" s="1" t="s">
        <v>327</v>
      </c>
      <c r="D75" s="1">
        <v>32.32</v>
      </c>
      <c r="E75" s="1">
        <v>215</v>
      </c>
      <c r="F75" s="1">
        <v>120</v>
      </c>
      <c r="G75" s="1">
        <f t="shared" si="7"/>
        <v>25800</v>
      </c>
      <c r="H75" s="1">
        <f t="shared" si="12"/>
        <v>798.26732673267327</v>
      </c>
      <c r="I75" s="3">
        <v>2542</v>
      </c>
      <c r="J75" s="37">
        <f t="shared" si="9"/>
        <v>2029195.5445544554</v>
      </c>
      <c r="K75" s="29">
        <v>14000</v>
      </c>
      <c r="L75" s="64">
        <f t="shared" si="10"/>
        <v>3010000</v>
      </c>
      <c r="M75" s="29">
        <f t="shared" si="11"/>
        <v>980804.45544554456</v>
      </c>
    </row>
    <row r="76" spans="1:13" x14ac:dyDescent="0.2">
      <c r="A76" s="2"/>
      <c r="B76" s="1" t="s">
        <v>253</v>
      </c>
      <c r="C76" s="1" t="s">
        <v>999</v>
      </c>
      <c r="D76" s="1">
        <v>32.32</v>
      </c>
      <c r="E76" s="1">
        <v>135</v>
      </c>
      <c r="F76" s="1">
        <v>110</v>
      </c>
      <c r="G76" s="1">
        <f t="shared" si="7"/>
        <v>14850</v>
      </c>
      <c r="H76" s="1">
        <f t="shared" si="12"/>
        <v>459.46782178217819</v>
      </c>
      <c r="I76" s="3">
        <v>2542</v>
      </c>
      <c r="J76" s="37">
        <f t="shared" si="9"/>
        <v>1167967.2029702971</v>
      </c>
      <c r="K76" s="29">
        <v>14000</v>
      </c>
      <c r="L76" s="64">
        <f t="shared" si="10"/>
        <v>1890000</v>
      </c>
      <c r="M76" s="29">
        <f t="shared" si="11"/>
        <v>722032.79702970292</v>
      </c>
    </row>
    <row r="77" spans="1:13" x14ac:dyDescent="0.2">
      <c r="A77" s="2"/>
      <c r="B77" s="1" t="s">
        <v>253</v>
      </c>
      <c r="C77" s="1" t="s">
        <v>1000</v>
      </c>
      <c r="D77" s="1">
        <v>32.32</v>
      </c>
      <c r="E77" s="1">
        <v>200</v>
      </c>
      <c r="F77" s="1">
        <v>90</v>
      </c>
      <c r="G77" s="1">
        <f t="shared" si="7"/>
        <v>18000</v>
      </c>
      <c r="H77" s="1">
        <f t="shared" si="12"/>
        <v>556.93069306930693</v>
      </c>
      <c r="I77" s="3">
        <v>2542</v>
      </c>
      <c r="J77" s="37">
        <f t="shared" si="9"/>
        <v>1415717.8217821782</v>
      </c>
      <c r="K77" s="29">
        <v>14000</v>
      </c>
      <c r="L77" s="64">
        <f t="shared" si="10"/>
        <v>2800000</v>
      </c>
      <c r="M77" s="29">
        <f t="shared" si="11"/>
        <v>1384282.1782178218</v>
      </c>
    </row>
    <row r="78" spans="1:13" x14ac:dyDescent="0.2">
      <c r="A78" s="2"/>
      <c r="B78" s="1" t="s">
        <v>23</v>
      </c>
      <c r="C78" s="1" t="s">
        <v>997</v>
      </c>
      <c r="D78" s="1">
        <v>32.32</v>
      </c>
      <c r="E78" s="1">
        <v>160</v>
      </c>
      <c r="F78" s="1">
        <v>110</v>
      </c>
      <c r="G78" s="1">
        <f t="shared" si="7"/>
        <v>17600</v>
      </c>
      <c r="H78" s="1">
        <f t="shared" si="12"/>
        <v>544.55445544554459</v>
      </c>
      <c r="I78" s="3">
        <v>2542</v>
      </c>
      <c r="J78" s="37">
        <f t="shared" si="9"/>
        <v>1384257.4257425743</v>
      </c>
      <c r="K78" s="29">
        <v>15000</v>
      </c>
      <c r="L78" s="64">
        <f t="shared" si="10"/>
        <v>2400000</v>
      </c>
      <c r="M78" s="29">
        <f t="shared" si="11"/>
        <v>1015742.5742574257</v>
      </c>
    </row>
    <row r="79" spans="1:13" x14ac:dyDescent="0.2">
      <c r="A79" s="2"/>
      <c r="B79" s="1" t="s">
        <v>535</v>
      </c>
      <c r="C79" s="1" t="s">
        <v>998</v>
      </c>
      <c r="D79" s="1">
        <v>32.32</v>
      </c>
      <c r="E79" s="1">
        <v>300</v>
      </c>
      <c r="F79" s="1">
        <v>100</v>
      </c>
      <c r="G79" s="1">
        <f t="shared" si="7"/>
        <v>30000</v>
      </c>
      <c r="H79" s="1">
        <f t="shared" si="12"/>
        <v>928.21782178217825</v>
      </c>
      <c r="I79" s="3">
        <v>2542</v>
      </c>
      <c r="J79" s="37">
        <f t="shared" si="9"/>
        <v>2359529.7029702971</v>
      </c>
      <c r="K79" s="29">
        <v>13000</v>
      </c>
      <c r="L79" s="64">
        <f t="shared" si="10"/>
        <v>3900000</v>
      </c>
      <c r="M79" s="29">
        <f t="shared" si="11"/>
        <v>1540470.2970297029</v>
      </c>
    </row>
    <row r="80" spans="1:13" x14ac:dyDescent="0.2">
      <c r="A80" s="1"/>
      <c r="B80" s="1" t="s">
        <v>253</v>
      </c>
      <c r="C80" s="1" t="s">
        <v>1009</v>
      </c>
      <c r="D80" s="1">
        <v>32.32</v>
      </c>
      <c r="E80" s="1">
        <v>150</v>
      </c>
      <c r="F80" s="1">
        <v>105</v>
      </c>
      <c r="G80" s="1">
        <f t="shared" si="7"/>
        <v>15750</v>
      </c>
      <c r="H80" s="1">
        <f t="shared" si="12"/>
        <v>487.31435643564356</v>
      </c>
      <c r="I80" s="3">
        <v>2542</v>
      </c>
      <c r="J80" s="37">
        <f t="shared" si="9"/>
        <v>1238753.0940594061</v>
      </c>
      <c r="K80" s="29">
        <v>13000</v>
      </c>
      <c r="L80" s="64">
        <f t="shared" si="10"/>
        <v>1950000</v>
      </c>
      <c r="M80" s="29">
        <f t="shared" si="11"/>
        <v>711246.90594059392</v>
      </c>
    </row>
    <row r="81" spans="1:13" x14ac:dyDescent="0.2">
      <c r="A81" s="1"/>
      <c r="B81" s="1" t="s">
        <v>1001</v>
      </c>
      <c r="C81" s="1" t="s">
        <v>1002</v>
      </c>
      <c r="D81" s="1">
        <v>32.32</v>
      </c>
      <c r="E81" s="1">
        <v>223</v>
      </c>
      <c r="F81" s="1">
        <v>110</v>
      </c>
      <c r="G81" s="1">
        <f t="shared" si="7"/>
        <v>24530</v>
      </c>
      <c r="H81" s="1">
        <f t="shared" si="12"/>
        <v>758.9727722772277</v>
      </c>
      <c r="I81" s="3">
        <v>2542</v>
      </c>
      <c r="J81" s="37">
        <f t="shared" si="9"/>
        <v>1929308.787128713</v>
      </c>
      <c r="K81" s="29">
        <v>15000</v>
      </c>
      <c r="L81" s="64">
        <f t="shared" si="10"/>
        <v>3345000</v>
      </c>
      <c r="M81" s="29">
        <f t="shared" si="11"/>
        <v>1415691.212871287</v>
      </c>
    </row>
    <row r="82" spans="1:13" x14ac:dyDescent="0.2">
      <c r="A82" s="1"/>
      <c r="B82" s="1" t="s">
        <v>23</v>
      </c>
      <c r="C82" s="1" t="s">
        <v>1010</v>
      </c>
      <c r="D82" s="1">
        <v>32.32</v>
      </c>
      <c r="E82" s="1">
        <v>139</v>
      </c>
      <c r="F82" s="1">
        <v>95</v>
      </c>
      <c r="G82" s="1">
        <f t="shared" si="7"/>
        <v>13205</v>
      </c>
      <c r="H82" s="1">
        <f>G82/D82</f>
        <v>408.57054455445547</v>
      </c>
      <c r="I82" s="3">
        <v>2542</v>
      </c>
      <c r="J82" s="37">
        <f t="shared" si="9"/>
        <v>1038586.3242574258</v>
      </c>
      <c r="K82" s="29">
        <v>13000</v>
      </c>
      <c r="L82" s="64">
        <f t="shared" si="10"/>
        <v>1807000</v>
      </c>
      <c r="M82" s="29">
        <f t="shared" si="11"/>
        <v>768413.67574257415</v>
      </c>
    </row>
    <row r="83" spans="1:13" x14ac:dyDescent="0.2">
      <c r="A83" s="1"/>
      <c r="B83" s="1" t="s">
        <v>23</v>
      </c>
      <c r="C83" s="1" t="s">
        <v>1011</v>
      </c>
      <c r="D83" s="1">
        <v>32.32</v>
      </c>
      <c r="E83" s="1">
        <v>108</v>
      </c>
      <c r="F83" s="1">
        <v>95</v>
      </c>
      <c r="G83" s="1">
        <f t="shared" si="7"/>
        <v>10260</v>
      </c>
      <c r="H83" s="1">
        <f t="shared" si="12"/>
        <v>317.45049504950492</v>
      </c>
      <c r="I83" s="3">
        <v>2542</v>
      </c>
      <c r="J83" s="37">
        <f t="shared" si="9"/>
        <v>806959.15841584164</v>
      </c>
      <c r="K83" s="29">
        <v>13000</v>
      </c>
      <c r="L83" s="64">
        <f t="shared" si="10"/>
        <v>1404000</v>
      </c>
      <c r="M83" s="29">
        <f t="shared" si="11"/>
        <v>597040.84158415836</v>
      </c>
    </row>
    <row r="84" spans="1:13" x14ac:dyDescent="0.2">
      <c r="A84" s="1"/>
      <c r="B84" s="1" t="s">
        <v>23</v>
      </c>
      <c r="C84" s="1" t="s">
        <v>1003</v>
      </c>
      <c r="D84" s="1">
        <v>32.32</v>
      </c>
      <c r="E84" s="1">
        <v>60</v>
      </c>
      <c r="F84" s="1">
        <v>95</v>
      </c>
      <c r="G84" s="1">
        <f t="shared" si="7"/>
        <v>5700</v>
      </c>
      <c r="H84" s="1">
        <f t="shared" si="12"/>
        <v>176.36138613861385</v>
      </c>
      <c r="I84" s="3">
        <v>2542</v>
      </c>
      <c r="J84" s="37">
        <f t="shared" si="9"/>
        <v>448310.64356435649</v>
      </c>
      <c r="K84" s="29">
        <v>13000</v>
      </c>
      <c r="L84" s="64">
        <f t="shared" si="10"/>
        <v>780000</v>
      </c>
      <c r="M84" s="29">
        <f t="shared" si="11"/>
        <v>331689.35643564351</v>
      </c>
    </row>
    <row r="85" spans="1:13" x14ac:dyDescent="0.2">
      <c r="A85" s="1"/>
      <c r="B85" s="1" t="s">
        <v>253</v>
      </c>
      <c r="C85" s="1" t="s">
        <v>253</v>
      </c>
      <c r="D85" s="1">
        <v>32.32</v>
      </c>
      <c r="E85" s="1">
        <v>50</v>
      </c>
      <c r="F85" s="1">
        <v>100</v>
      </c>
      <c r="G85" s="1">
        <f t="shared" si="7"/>
        <v>5000</v>
      </c>
      <c r="H85" s="1">
        <f t="shared" si="12"/>
        <v>154.70297029702971</v>
      </c>
      <c r="I85" s="3">
        <v>2542</v>
      </c>
      <c r="J85" s="37">
        <f t="shared" si="9"/>
        <v>393254.95049504953</v>
      </c>
      <c r="K85" s="29">
        <v>15000</v>
      </c>
      <c r="L85" s="64">
        <f t="shared" si="10"/>
        <v>750000</v>
      </c>
      <c r="M85" s="29">
        <f t="shared" si="11"/>
        <v>356745.04950495047</v>
      </c>
    </row>
    <row r="86" spans="1:13" x14ac:dyDescent="0.2">
      <c r="A86" s="1"/>
      <c r="B86" s="1" t="s">
        <v>253</v>
      </c>
      <c r="C86" s="1" t="s">
        <v>1012</v>
      </c>
      <c r="D86" s="1">
        <v>32.32</v>
      </c>
      <c r="E86" s="1">
        <v>50</v>
      </c>
      <c r="F86" s="1">
        <v>90</v>
      </c>
      <c r="G86" s="1">
        <f t="shared" si="7"/>
        <v>4500</v>
      </c>
      <c r="H86" s="1">
        <f t="shared" si="12"/>
        <v>139.23267326732673</v>
      </c>
      <c r="I86" s="3">
        <v>2542</v>
      </c>
      <c r="J86" s="37">
        <f t="shared" si="9"/>
        <v>353929.45544554456</v>
      </c>
      <c r="K86" s="29">
        <v>13000</v>
      </c>
      <c r="L86" s="64">
        <f t="shared" si="10"/>
        <v>650000</v>
      </c>
      <c r="M86" s="29">
        <f t="shared" si="11"/>
        <v>296070.54455445544</v>
      </c>
    </row>
    <row r="87" spans="1:13" x14ac:dyDescent="0.2">
      <c r="A87" s="1"/>
      <c r="B87" s="1" t="s">
        <v>23</v>
      </c>
      <c r="C87" s="1" t="s">
        <v>1004</v>
      </c>
      <c r="D87" s="1">
        <v>32.32</v>
      </c>
      <c r="E87" s="1">
        <v>450</v>
      </c>
      <c r="F87" s="1">
        <v>120</v>
      </c>
      <c r="G87" s="1">
        <f t="shared" si="7"/>
        <v>54000</v>
      </c>
      <c r="H87" s="1">
        <f t="shared" si="12"/>
        <v>1670.7920792079208</v>
      </c>
      <c r="I87" s="3">
        <v>2542</v>
      </c>
      <c r="J87" s="37">
        <f t="shared" si="9"/>
        <v>4247153.4653465347</v>
      </c>
      <c r="K87" s="29">
        <v>17000</v>
      </c>
      <c r="L87" s="64">
        <f t="shared" si="10"/>
        <v>7650000</v>
      </c>
      <c r="M87" s="29">
        <f t="shared" si="11"/>
        <v>3402846.5346534653</v>
      </c>
    </row>
    <row r="88" spans="1:13" x14ac:dyDescent="0.2">
      <c r="A88" s="1"/>
      <c r="B88" s="1" t="s">
        <v>253</v>
      </c>
      <c r="C88" s="1" t="s">
        <v>1006</v>
      </c>
      <c r="D88" s="1">
        <v>32.32</v>
      </c>
      <c r="E88" s="1">
        <v>200</v>
      </c>
      <c r="F88" s="1">
        <v>100</v>
      </c>
      <c r="G88" s="1">
        <f t="shared" si="7"/>
        <v>20000</v>
      </c>
      <c r="H88" s="1">
        <f t="shared" si="12"/>
        <v>618.81188118811883</v>
      </c>
      <c r="I88" s="3">
        <v>2542</v>
      </c>
      <c r="J88" s="37">
        <f t="shared" si="9"/>
        <v>1573019.8019801981</v>
      </c>
      <c r="K88" s="29">
        <v>13000</v>
      </c>
      <c r="L88" s="64">
        <f t="shared" si="10"/>
        <v>2600000</v>
      </c>
      <c r="M88" s="29">
        <f t="shared" si="11"/>
        <v>1026980.1980198019</v>
      </c>
    </row>
    <row r="89" spans="1:13" x14ac:dyDescent="0.2">
      <c r="A89" s="1"/>
      <c r="B89" s="1"/>
      <c r="C89" s="1" t="s">
        <v>1005</v>
      </c>
      <c r="D89" s="1">
        <v>32.32</v>
      </c>
      <c r="E89" s="1">
        <v>200</v>
      </c>
      <c r="F89" s="1">
        <v>110</v>
      </c>
      <c r="G89" s="1">
        <f t="shared" si="7"/>
        <v>22000</v>
      </c>
      <c r="H89" s="1">
        <f t="shared" si="12"/>
        <v>680.69306930693074</v>
      </c>
      <c r="I89" s="3">
        <v>2542</v>
      </c>
      <c r="J89" s="37">
        <f t="shared" si="9"/>
        <v>1730321.7821782178</v>
      </c>
      <c r="K89" s="29">
        <v>15000</v>
      </c>
      <c r="L89" s="64">
        <f t="shared" si="10"/>
        <v>3000000</v>
      </c>
      <c r="M89" s="29">
        <f t="shared" si="11"/>
        <v>1269678.2178217822</v>
      </c>
    </row>
    <row r="90" spans="1:13" x14ac:dyDescent="0.2">
      <c r="A90" s="1"/>
      <c r="B90" s="1" t="s">
        <v>23</v>
      </c>
      <c r="C90" s="1" t="s">
        <v>1013</v>
      </c>
      <c r="D90" s="1">
        <v>32.32</v>
      </c>
      <c r="E90" s="1">
        <v>120</v>
      </c>
      <c r="F90" s="1">
        <v>120</v>
      </c>
      <c r="G90" s="1">
        <f t="shared" si="7"/>
        <v>14400</v>
      </c>
      <c r="H90" s="1">
        <f t="shared" si="12"/>
        <v>445.54455445544556</v>
      </c>
      <c r="I90" s="3">
        <v>2542</v>
      </c>
      <c r="J90" s="37">
        <f t="shared" si="9"/>
        <v>1132574.2574257425</v>
      </c>
      <c r="K90" s="29">
        <v>17000</v>
      </c>
      <c r="L90" s="64">
        <f t="shared" si="10"/>
        <v>2040000</v>
      </c>
      <c r="M90" s="29">
        <f t="shared" si="11"/>
        <v>907425.74257425754</v>
      </c>
    </row>
    <row r="91" spans="1:13" x14ac:dyDescent="0.2">
      <c r="A91" s="1"/>
      <c r="B91" s="1" t="s">
        <v>253</v>
      </c>
      <c r="C91" s="1" t="s">
        <v>1014</v>
      </c>
      <c r="D91" s="1">
        <v>32.32</v>
      </c>
      <c r="E91" s="1">
        <v>50</v>
      </c>
      <c r="F91" s="1">
        <v>100</v>
      </c>
      <c r="G91" s="1">
        <f t="shared" si="7"/>
        <v>5000</v>
      </c>
      <c r="H91" s="1">
        <f t="shared" si="12"/>
        <v>154.70297029702971</v>
      </c>
      <c r="I91" s="3">
        <v>2542</v>
      </c>
      <c r="J91" s="37">
        <f t="shared" si="9"/>
        <v>393254.95049504953</v>
      </c>
      <c r="K91" s="29">
        <v>15000</v>
      </c>
      <c r="L91" s="64">
        <f t="shared" si="10"/>
        <v>750000</v>
      </c>
      <c r="M91" s="29">
        <f t="shared" si="11"/>
        <v>356745.04950495047</v>
      </c>
    </row>
    <row r="92" spans="1:13" x14ac:dyDescent="0.2">
      <c r="E92" s="7">
        <f>SUM(E70:E91)</f>
        <v>5910</v>
      </c>
      <c r="G92" s="115">
        <f>SUM(G70:G91)</f>
        <v>524595</v>
      </c>
      <c r="H92" s="114">
        <f>SUM(H70:H91)</f>
        <v>16231.280940594062</v>
      </c>
      <c r="J92" s="95">
        <f>SUM(J70:J91)</f>
        <v>41259916.150990099</v>
      </c>
      <c r="L92" s="70">
        <f>SUM(L70:L91)</f>
        <v>78426000</v>
      </c>
      <c r="M92" s="48">
        <f>SUM(M70:M91)</f>
        <v>37166083.849009901</v>
      </c>
    </row>
    <row r="96" spans="1:13" x14ac:dyDescent="0.2">
      <c r="I96" s="3" t="s">
        <v>25</v>
      </c>
      <c r="J96" s="15">
        <v>41259916</v>
      </c>
    </row>
    <row r="97" spans="1:10" x14ac:dyDescent="0.2">
      <c r="I97" s="3" t="s">
        <v>27</v>
      </c>
      <c r="J97" s="9">
        <v>1200000</v>
      </c>
    </row>
    <row r="98" spans="1:10" x14ac:dyDescent="0.2">
      <c r="I98" s="3" t="s">
        <v>26</v>
      </c>
      <c r="J98" s="3"/>
    </row>
    <row r="99" spans="1:10" x14ac:dyDescent="0.2">
      <c r="I99" s="3" t="s">
        <v>33</v>
      </c>
      <c r="J99" s="3">
        <v>1000000</v>
      </c>
    </row>
    <row r="100" spans="1:10" x14ac:dyDescent="0.2">
      <c r="I100" s="3" t="s">
        <v>31</v>
      </c>
      <c r="J100" s="3">
        <v>1000000</v>
      </c>
    </row>
    <row r="101" spans="1:10" x14ac:dyDescent="0.2">
      <c r="I101" s="3" t="s">
        <v>36</v>
      </c>
      <c r="J101" s="3">
        <v>1000000</v>
      </c>
    </row>
    <row r="102" spans="1:10" x14ac:dyDescent="0.2">
      <c r="I102" s="3" t="s">
        <v>29</v>
      </c>
      <c r="J102" s="23">
        <v>3770000</v>
      </c>
    </row>
    <row r="103" spans="1:10" x14ac:dyDescent="0.2">
      <c r="I103" s="3" t="s">
        <v>34</v>
      </c>
      <c r="J103" s="26">
        <f>SUM(J96:J102)</f>
        <v>49229916</v>
      </c>
    </row>
    <row r="104" spans="1:10" x14ac:dyDescent="0.2">
      <c r="I104" s="3" t="s">
        <v>6</v>
      </c>
      <c r="J104" s="55">
        <v>81095000</v>
      </c>
    </row>
    <row r="105" spans="1:10" ht="18" x14ac:dyDescent="0.35">
      <c r="I105" s="3" t="s">
        <v>35</v>
      </c>
      <c r="J105" s="21">
        <f>J104-J103</f>
        <v>31865084</v>
      </c>
    </row>
    <row r="111" spans="1:10" x14ac:dyDescent="0.2">
      <c r="A111" s="2"/>
    </row>
    <row r="112" spans="1:10" x14ac:dyDescent="0.2">
      <c r="A112" s="2"/>
    </row>
    <row r="113" spans="1:1" x14ac:dyDescent="0.2">
      <c r="A113" s="2"/>
    </row>
  </sheetData>
  <phoneticPr fontId="33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66"/>
  <sheetViews>
    <sheetView topLeftCell="A37" workbookViewId="0">
      <selection activeCell="I57" sqref="I57:J67"/>
    </sheetView>
  </sheetViews>
  <sheetFormatPr baseColWidth="10" defaultRowHeight="15" x14ac:dyDescent="0.2"/>
  <cols>
    <col min="3" max="3" width="12.6640625" customWidth="1"/>
    <col min="7" max="7" width="12.6640625" customWidth="1"/>
    <col min="10" max="10" width="14.5" customWidth="1"/>
    <col min="12" max="12" width="14.33203125" customWidth="1"/>
  </cols>
  <sheetData>
    <row r="1" spans="1:15" ht="31" x14ac:dyDescent="0.35">
      <c r="A1" s="56" t="s">
        <v>1084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5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5" x14ac:dyDescent="0.2">
      <c r="A3" s="2" t="s">
        <v>971</v>
      </c>
      <c r="B3" s="1" t="s">
        <v>7</v>
      </c>
      <c r="C3" s="1" t="s">
        <v>1075</v>
      </c>
      <c r="D3" s="1">
        <v>6.18</v>
      </c>
      <c r="E3" s="1">
        <v>290</v>
      </c>
      <c r="F3" s="1">
        <v>31</v>
      </c>
      <c r="G3" s="1">
        <f>E3*F3</f>
        <v>8990</v>
      </c>
      <c r="H3" s="1">
        <f t="shared" ref="H3:H19" si="0">G3/D3</f>
        <v>1454.6925566343043</v>
      </c>
      <c r="I3" s="3">
        <v>2635</v>
      </c>
      <c r="J3" s="37">
        <f t="shared" ref="J3:J19" si="1">F3/D3*I3*E3</f>
        <v>3833114.8867313918</v>
      </c>
      <c r="K3" s="3">
        <v>20000</v>
      </c>
      <c r="L3" s="44">
        <f t="shared" ref="L3:L19" si="2">K3*E3</f>
        <v>5800000</v>
      </c>
      <c r="M3" s="3">
        <f>L3-J3</f>
        <v>1966885.1132686082</v>
      </c>
    </row>
    <row r="4" spans="1:15" x14ac:dyDescent="0.2">
      <c r="A4" s="2"/>
      <c r="B4" s="1" t="s">
        <v>253</v>
      </c>
      <c r="C4" s="1" t="s">
        <v>1045</v>
      </c>
      <c r="D4" s="1">
        <v>6.18</v>
      </c>
      <c r="E4" s="1">
        <v>328</v>
      </c>
      <c r="F4" s="1">
        <v>29.5</v>
      </c>
      <c r="G4" s="1">
        <f t="shared" ref="G4:G19" si="3">E4*F4</f>
        <v>9676</v>
      </c>
      <c r="H4" s="1">
        <f t="shared" si="0"/>
        <v>1565.695792880259</v>
      </c>
      <c r="I4" s="3">
        <v>2635</v>
      </c>
      <c r="J4" s="37">
        <f t="shared" si="1"/>
        <v>4125608.414239482</v>
      </c>
      <c r="K4" s="3">
        <v>18000</v>
      </c>
      <c r="L4" s="44">
        <f t="shared" si="2"/>
        <v>5904000</v>
      </c>
      <c r="M4" s="3">
        <f t="shared" ref="M4:M19" si="4">L4-J4</f>
        <v>1778391.585760518</v>
      </c>
    </row>
    <row r="5" spans="1:15" x14ac:dyDescent="0.2">
      <c r="A5" s="2"/>
      <c r="B5" s="1" t="s">
        <v>253</v>
      </c>
      <c r="C5" s="1" t="s">
        <v>875</v>
      </c>
      <c r="D5" s="1">
        <v>6.18</v>
      </c>
      <c r="E5" s="1">
        <v>180</v>
      </c>
      <c r="F5" s="1">
        <v>27</v>
      </c>
      <c r="G5" s="1">
        <f t="shared" si="3"/>
        <v>4860</v>
      </c>
      <c r="H5" s="1">
        <f t="shared" si="0"/>
        <v>786.40776699029129</v>
      </c>
      <c r="I5" s="3">
        <v>2635</v>
      </c>
      <c r="J5" s="37">
        <f t="shared" si="1"/>
        <v>2072184.4660194174</v>
      </c>
      <c r="K5" s="29">
        <v>18000</v>
      </c>
      <c r="L5" s="64">
        <f t="shared" si="2"/>
        <v>3240000</v>
      </c>
      <c r="M5" s="29">
        <f t="shared" si="4"/>
        <v>1167815.5339805826</v>
      </c>
    </row>
    <row r="6" spans="1:15" x14ac:dyDescent="0.2">
      <c r="A6" s="125"/>
      <c r="B6" s="78"/>
      <c r="C6" s="78" t="s">
        <v>1080</v>
      </c>
      <c r="D6" s="1">
        <v>6.18</v>
      </c>
      <c r="E6" s="78">
        <v>170</v>
      </c>
      <c r="F6" s="78">
        <v>28.5</v>
      </c>
      <c r="G6" s="78">
        <f>F6*E6</f>
        <v>4845</v>
      </c>
      <c r="H6" s="78">
        <f>G6/D6</f>
        <v>783.98058252427188</v>
      </c>
      <c r="I6" s="3">
        <v>2635</v>
      </c>
      <c r="J6" s="111">
        <f>F6/D6*E6*I6</f>
        <v>2065788.8349514564</v>
      </c>
      <c r="K6" s="112">
        <v>18000</v>
      </c>
      <c r="L6" s="113">
        <f>K6*E6</f>
        <v>3060000</v>
      </c>
      <c r="M6" s="112">
        <f>L6-J6</f>
        <v>994211.1650485436</v>
      </c>
    </row>
    <row r="7" spans="1:15" x14ac:dyDescent="0.2">
      <c r="B7" s="78" t="s">
        <v>7</v>
      </c>
      <c r="C7" s="78" t="s">
        <v>1047</v>
      </c>
      <c r="D7" s="1">
        <v>6.18</v>
      </c>
      <c r="E7" s="78">
        <v>200</v>
      </c>
      <c r="F7" s="78">
        <v>26</v>
      </c>
      <c r="G7" s="78">
        <f t="shared" si="3"/>
        <v>5200</v>
      </c>
      <c r="H7" s="78">
        <f t="shared" si="0"/>
        <v>841.42394822006474</v>
      </c>
      <c r="I7" s="3">
        <v>2635</v>
      </c>
      <c r="J7" s="111">
        <f t="shared" si="1"/>
        <v>2217152.1035598707</v>
      </c>
      <c r="K7" s="112">
        <v>17000</v>
      </c>
      <c r="L7" s="113">
        <f t="shared" si="2"/>
        <v>3400000</v>
      </c>
      <c r="M7" s="112">
        <f t="shared" si="4"/>
        <v>1182847.8964401293</v>
      </c>
      <c r="O7" t="s">
        <v>1076</v>
      </c>
    </row>
    <row r="8" spans="1:15" x14ac:dyDescent="0.2">
      <c r="B8" s="78" t="s">
        <v>253</v>
      </c>
      <c r="C8" s="78" t="s">
        <v>1048</v>
      </c>
      <c r="D8" s="1">
        <v>6.18</v>
      </c>
      <c r="E8" s="78">
        <v>300</v>
      </c>
      <c r="F8" s="78">
        <v>25</v>
      </c>
      <c r="G8" s="78">
        <f t="shared" si="3"/>
        <v>7500</v>
      </c>
      <c r="H8" s="78">
        <f t="shared" si="0"/>
        <v>1213.5922330097087</v>
      </c>
      <c r="I8" s="3">
        <v>2635</v>
      </c>
      <c r="J8" s="111">
        <f t="shared" si="1"/>
        <v>3197815.5339805833</v>
      </c>
      <c r="K8" s="112">
        <v>17000</v>
      </c>
      <c r="L8" s="113">
        <f t="shared" si="2"/>
        <v>5100000</v>
      </c>
      <c r="M8" s="112">
        <f t="shared" si="4"/>
        <v>1902184.4660194167</v>
      </c>
    </row>
    <row r="9" spans="1:15" x14ac:dyDescent="0.2">
      <c r="B9" s="78" t="s">
        <v>7</v>
      </c>
      <c r="C9" s="78" t="s">
        <v>1049</v>
      </c>
      <c r="D9" s="1">
        <v>6.18</v>
      </c>
      <c r="E9" s="78">
        <v>300</v>
      </c>
      <c r="F9" s="78">
        <v>24</v>
      </c>
      <c r="G9" s="78">
        <f t="shared" si="3"/>
        <v>7200</v>
      </c>
      <c r="H9" s="78">
        <f t="shared" si="0"/>
        <v>1165.0485436893205</v>
      </c>
      <c r="I9" s="3">
        <v>2635</v>
      </c>
      <c r="J9" s="111">
        <f t="shared" si="1"/>
        <v>3069902.9126213589</v>
      </c>
      <c r="K9" s="112">
        <v>17000</v>
      </c>
      <c r="L9" s="113">
        <f t="shared" si="2"/>
        <v>5100000</v>
      </c>
      <c r="M9" s="112">
        <f t="shared" si="4"/>
        <v>2030097.0873786411</v>
      </c>
    </row>
    <row r="10" spans="1:15" x14ac:dyDescent="0.2">
      <c r="B10" s="78" t="s">
        <v>253</v>
      </c>
      <c r="C10" s="78" t="s">
        <v>1050</v>
      </c>
      <c r="D10" s="1">
        <v>6.18</v>
      </c>
      <c r="E10" s="78">
        <v>300</v>
      </c>
      <c r="F10" s="78">
        <v>24</v>
      </c>
      <c r="G10" s="78">
        <f t="shared" si="3"/>
        <v>7200</v>
      </c>
      <c r="H10" s="78">
        <f t="shared" si="0"/>
        <v>1165.0485436893205</v>
      </c>
      <c r="I10" s="3">
        <v>2635</v>
      </c>
      <c r="J10" s="111">
        <f t="shared" si="1"/>
        <v>3069902.9126213589</v>
      </c>
      <c r="K10" s="112">
        <v>17000</v>
      </c>
      <c r="L10" s="113">
        <f t="shared" si="2"/>
        <v>5100000</v>
      </c>
      <c r="M10" s="112">
        <f t="shared" si="4"/>
        <v>2030097.0873786411</v>
      </c>
    </row>
    <row r="11" spans="1:15" x14ac:dyDescent="0.2">
      <c r="B11" s="78" t="s">
        <v>253</v>
      </c>
      <c r="C11" s="78" t="s">
        <v>1051</v>
      </c>
      <c r="D11" s="1">
        <v>6.18</v>
      </c>
      <c r="E11" s="78">
        <v>100</v>
      </c>
      <c r="F11" s="78">
        <v>27</v>
      </c>
      <c r="G11" s="78">
        <f t="shared" si="3"/>
        <v>2700</v>
      </c>
      <c r="H11" s="78">
        <f t="shared" si="0"/>
        <v>436.89320388349518</v>
      </c>
      <c r="I11" s="3">
        <v>2635</v>
      </c>
      <c r="J11" s="111">
        <f t="shared" si="1"/>
        <v>1151213.5922330096</v>
      </c>
      <c r="K11" s="112">
        <v>19000</v>
      </c>
      <c r="L11" s="113">
        <f t="shared" si="2"/>
        <v>1900000</v>
      </c>
      <c r="M11" s="112">
        <f t="shared" si="4"/>
        <v>748786.40776699036</v>
      </c>
    </row>
    <row r="12" spans="1:15" x14ac:dyDescent="0.2">
      <c r="B12" s="78" t="s">
        <v>253</v>
      </c>
      <c r="C12" s="78" t="s">
        <v>1052</v>
      </c>
      <c r="D12" s="1">
        <v>6.18</v>
      </c>
      <c r="E12" s="78">
        <v>200</v>
      </c>
      <c r="F12" s="78">
        <v>27</v>
      </c>
      <c r="G12" s="78">
        <f t="shared" si="3"/>
        <v>5400</v>
      </c>
      <c r="H12" s="78">
        <f t="shared" si="0"/>
        <v>873.78640776699035</v>
      </c>
      <c r="I12" s="3">
        <v>2635</v>
      </c>
      <c r="J12" s="111">
        <f t="shared" si="1"/>
        <v>2302427.1844660193</v>
      </c>
      <c r="K12" s="112">
        <v>19000</v>
      </c>
      <c r="L12" s="113">
        <f t="shared" si="2"/>
        <v>3800000</v>
      </c>
      <c r="M12" s="112">
        <f t="shared" si="4"/>
        <v>1497572.8155339807</v>
      </c>
    </row>
    <row r="13" spans="1:15" x14ac:dyDescent="0.2">
      <c r="B13" s="78" t="s">
        <v>207</v>
      </c>
      <c r="C13" s="78" t="s">
        <v>1053</v>
      </c>
      <c r="D13" s="1">
        <v>6.18</v>
      </c>
      <c r="E13" s="78">
        <v>200</v>
      </c>
      <c r="F13" s="78">
        <v>21</v>
      </c>
      <c r="G13" s="78">
        <f t="shared" si="3"/>
        <v>4200</v>
      </c>
      <c r="H13" s="78">
        <f t="shared" si="0"/>
        <v>679.61165048543694</v>
      </c>
      <c r="I13" s="3">
        <v>2635</v>
      </c>
      <c r="J13" s="111">
        <f t="shared" si="1"/>
        <v>1790776.6990291264</v>
      </c>
      <c r="K13" s="112">
        <v>15000</v>
      </c>
      <c r="L13" s="113">
        <f t="shared" si="2"/>
        <v>3000000</v>
      </c>
      <c r="M13" s="112">
        <f t="shared" si="4"/>
        <v>1209223.3009708736</v>
      </c>
    </row>
    <row r="14" spans="1:15" x14ac:dyDescent="0.2">
      <c r="B14" s="78" t="s">
        <v>253</v>
      </c>
      <c r="C14" s="78" t="s">
        <v>1034</v>
      </c>
      <c r="D14" s="1">
        <v>6.18</v>
      </c>
      <c r="E14" s="78">
        <v>200</v>
      </c>
      <c r="F14" s="78">
        <v>21</v>
      </c>
      <c r="G14" s="78">
        <f t="shared" si="3"/>
        <v>4200</v>
      </c>
      <c r="H14" s="78">
        <f t="shared" si="0"/>
        <v>679.61165048543694</v>
      </c>
      <c r="I14" s="3">
        <v>2635</v>
      </c>
      <c r="J14" s="111">
        <f t="shared" si="1"/>
        <v>1790776.6990291264</v>
      </c>
      <c r="K14" s="112">
        <v>15000</v>
      </c>
      <c r="L14" s="113">
        <f t="shared" si="2"/>
        <v>3000000</v>
      </c>
      <c r="M14" s="112">
        <f t="shared" si="4"/>
        <v>1209223.3009708736</v>
      </c>
    </row>
    <row r="15" spans="1:15" x14ac:dyDescent="0.2">
      <c r="B15" t="s">
        <v>1054</v>
      </c>
      <c r="C15" s="78" t="s">
        <v>1055</v>
      </c>
      <c r="D15" s="1">
        <v>6.18</v>
      </c>
      <c r="E15" s="78">
        <v>600</v>
      </c>
      <c r="F15" s="78">
        <v>24</v>
      </c>
      <c r="G15" s="78">
        <f t="shared" si="3"/>
        <v>14400</v>
      </c>
      <c r="H15" s="78">
        <f t="shared" si="0"/>
        <v>2330.0970873786409</v>
      </c>
      <c r="I15" s="3">
        <v>2635</v>
      </c>
      <c r="J15" s="111">
        <f t="shared" si="1"/>
        <v>6139805.8252427178</v>
      </c>
      <c r="K15" s="112">
        <v>17000</v>
      </c>
      <c r="L15" s="113">
        <f t="shared" si="2"/>
        <v>10200000</v>
      </c>
      <c r="M15" s="8">
        <f t="shared" si="4"/>
        <v>4060194.1747572822</v>
      </c>
    </row>
    <row r="16" spans="1:15" x14ac:dyDescent="0.2">
      <c r="B16" t="s">
        <v>1056</v>
      </c>
      <c r="C16" s="78" t="s">
        <v>1057</v>
      </c>
      <c r="D16" s="1">
        <v>6.18</v>
      </c>
      <c r="E16" s="78">
        <v>100</v>
      </c>
      <c r="F16" s="78">
        <v>19</v>
      </c>
      <c r="G16" s="78">
        <f t="shared" si="3"/>
        <v>1900</v>
      </c>
      <c r="H16" s="78">
        <f t="shared" si="0"/>
        <v>307.44336569579292</v>
      </c>
      <c r="I16" s="3">
        <v>2635</v>
      </c>
      <c r="J16" s="111">
        <f t="shared" si="1"/>
        <v>810113.26860841422</v>
      </c>
      <c r="K16" s="112">
        <v>16000</v>
      </c>
      <c r="L16" s="113">
        <f t="shared" si="2"/>
        <v>1600000</v>
      </c>
      <c r="M16" s="8">
        <f t="shared" si="4"/>
        <v>789886.73139158578</v>
      </c>
    </row>
    <row r="17" spans="2:13" x14ac:dyDescent="0.2">
      <c r="B17" t="s">
        <v>253</v>
      </c>
      <c r="C17" s="78" t="s">
        <v>1058</v>
      </c>
      <c r="D17" s="1">
        <v>6.18</v>
      </c>
      <c r="E17" s="78">
        <v>50</v>
      </c>
      <c r="F17" s="78">
        <v>21</v>
      </c>
      <c r="G17" s="78">
        <f t="shared" si="3"/>
        <v>1050</v>
      </c>
      <c r="H17" s="78">
        <f t="shared" si="0"/>
        <v>169.90291262135923</v>
      </c>
      <c r="I17" s="3">
        <v>2635</v>
      </c>
      <c r="J17" s="111">
        <f t="shared" si="1"/>
        <v>447694.17475728161</v>
      </c>
      <c r="K17" s="112">
        <v>16000</v>
      </c>
      <c r="L17" s="113">
        <f t="shared" si="2"/>
        <v>800000</v>
      </c>
      <c r="M17" s="8">
        <f t="shared" si="4"/>
        <v>352305.82524271839</v>
      </c>
    </row>
    <row r="18" spans="2:13" x14ac:dyDescent="0.2">
      <c r="B18" t="s">
        <v>253</v>
      </c>
      <c r="C18" s="78" t="s">
        <v>1059</v>
      </c>
      <c r="D18" s="1">
        <v>6.18</v>
      </c>
      <c r="E18" s="78">
        <v>100</v>
      </c>
      <c r="F18" s="78">
        <v>20</v>
      </c>
      <c r="G18" s="78">
        <f t="shared" si="3"/>
        <v>2000</v>
      </c>
      <c r="H18" s="78">
        <f t="shared" si="0"/>
        <v>323.62459546925567</v>
      </c>
      <c r="I18" s="3">
        <v>2635</v>
      </c>
      <c r="J18" s="111">
        <f t="shared" si="1"/>
        <v>852750.80906148872</v>
      </c>
      <c r="K18" s="112">
        <v>16000</v>
      </c>
      <c r="L18" s="113">
        <f t="shared" si="2"/>
        <v>1600000</v>
      </c>
      <c r="M18" s="8">
        <f t="shared" si="4"/>
        <v>747249.19093851128</v>
      </c>
    </row>
    <row r="19" spans="2:13" x14ac:dyDescent="0.2">
      <c r="B19" t="s">
        <v>253</v>
      </c>
      <c r="C19" s="78" t="s">
        <v>1060</v>
      </c>
      <c r="D19" s="1">
        <v>6.18</v>
      </c>
      <c r="E19" s="78">
        <v>150</v>
      </c>
      <c r="F19" s="78">
        <v>20</v>
      </c>
      <c r="G19" s="78">
        <f t="shared" si="3"/>
        <v>3000</v>
      </c>
      <c r="H19" s="78">
        <f t="shared" si="0"/>
        <v>485.43689320388353</v>
      </c>
      <c r="I19" s="3">
        <v>2635</v>
      </c>
      <c r="J19" s="111">
        <f t="shared" si="1"/>
        <v>1279126.2135922331</v>
      </c>
      <c r="K19" s="112">
        <v>16000</v>
      </c>
      <c r="L19" s="113">
        <f t="shared" si="2"/>
        <v>2400000</v>
      </c>
      <c r="M19" s="8">
        <f t="shared" si="4"/>
        <v>1120873.7864077669</v>
      </c>
    </row>
    <row r="20" spans="2:13" x14ac:dyDescent="0.2">
      <c r="B20" s="78" t="s">
        <v>1046</v>
      </c>
      <c r="C20" s="78" t="s">
        <v>1019</v>
      </c>
      <c r="D20" s="1">
        <v>6.18</v>
      </c>
      <c r="E20" s="78">
        <v>492</v>
      </c>
      <c r="F20" s="78">
        <v>23</v>
      </c>
      <c r="G20" s="78">
        <f t="shared" ref="G20:G45" si="5">E20*F20</f>
        <v>11316</v>
      </c>
      <c r="H20" s="78">
        <f t="shared" ref="H20:H45" si="6">G20/D20</f>
        <v>1831.0679611650487</v>
      </c>
      <c r="I20" s="3">
        <v>2635</v>
      </c>
      <c r="J20" s="111">
        <f t="shared" ref="J20:J45" si="7">F20/D20*I20*E20</f>
        <v>4824864.0776699036</v>
      </c>
      <c r="K20" s="112">
        <v>15000</v>
      </c>
      <c r="L20" s="113">
        <f t="shared" ref="L20:L45" si="8">K20*E20</f>
        <v>7380000</v>
      </c>
      <c r="M20" s="112">
        <f t="shared" ref="M20:M45" si="9">L20-J20</f>
        <v>2555135.9223300964</v>
      </c>
    </row>
    <row r="21" spans="2:13" x14ac:dyDescent="0.2">
      <c r="B21" s="120" t="s">
        <v>253</v>
      </c>
      <c r="C21" s="78" t="s">
        <v>1061</v>
      </c>
      <c r="D21" s="1">
        <v>6.18</v>
      </c>
      <c r="E21" s="78">
        <v>600</v>
      </c>
      <c r="F21" s="78">
        <v>10</v>
      </c>
      <c r="G21" s="78">
        <f t="shared" si="5"/>
        <v>6000</v>
      </c>
      <c r="H21" s="78">
        <f t="shared" si="6"/>
        <v>970.87378640776706</v>
      </c>
      <c r="I21" s="3">
        <v>2635</v>
      </c>
      <c r="J21" s="111">
        <f t="shared" si="7"/>
        <v>2558252.4271844663</v>
      </c>
      <c r="K21" s="112">
        <v>10000</v>
      </c>
      <c r="L21" s="113">
        <f t="shared" si="8"/>
        <v>6000000</v>
      </c>
      <c r="M21" s="121">
        <f t="shared" si="9"/>
        <v>3441747.5728155337</v>
      </c>
    </row>
    <row r="22" spans="2:13" x14ac:dyDescent="0.2">
      <c r="B22" s="120" t="s">
        <v>253</v>
      </c>
      <c r="C22" s="78" t="s">
        <v>1062</v>
      </c>
      <c r="D22" s="1">
        <v>6.18</v>
      </c>
      <c r="E22" s="78">
        <v>210</v>
      </c>
      <c r="F22" s="78">
        <v>18</v>
      </c>
      <c r="G22" s="78">
        <f t="shared" si="5"/>
        <v>3780</v>
      </c>
      <c r="H22" s="78">
        <f t="shared" si="6"/>
        <v>611.65048543689318</v>
      </c>
      <c r="I22" s="3">
        <v>2635</v>
      </c>
      <c r="J22" s="111">
        <f t="shared" si="7"/>
        <v>1611699.0291262136</v>
      </c>
      <c r="K22" s="112">
        <v>16000</v>
      </c>
      <c r="L22" s="113">
        <f t="shared" si="8"/>
        <v>3360000</v>
      </c>
      <c r="M22" s="121">
        <f t="shared" si="9"/>
        <v>1748300.9708737864</v>
      </c>
    </row>
    <row r="23" spans="2:13" x14ac:dyDescent="0.2">
      <c r="B23" s="120" t="s">
        <v>253</v>
      </c>
      <c r="C23" s="78" t="s">
        <v>1063</v>
      </c>
      <c r="D23" s="1">
        <v>6.18</v>
      </c>
      <c r="E23" s="78">
        <v>350</v>
      </c>
      <c r="F23" s="78">
        <v>15</v>
      </c>
      <c r="G23" s="78">
        <f t="shared" si="5"/>
        <v>5250</v>
      </c>
      <c r="H23" s="78">
        <f t="shared" si="6"/>
        <v>849.51456310679612</v>
      </c>
      <c r="I23" s="3">
        <v>2635</v>
      </c>
      <c r="J23" s="111">
        <f t="shared" si="7"/>
        <v>2238470.873786408</v>
      </c>
      <c r="K23" s="112">
        <v>15000</v>
      </c>
      <c r="L23" s="113">
        <f t="shared" si="8"/>
        <v>5250000</v>
      </c>
      <c r="M23" s="121">
        <f t="shared" si="9"/>
        <v>3011529.126213592</v>
      </c>
    </row>
    <row r="24" spans="2:13" x14ac:dyDescent="0.2">
      <c r="B24" s="120" t="s">
        <v>207</v>
      </c>
      <c r="C24" s="78" t="s">
        <v>1064</v>
      </c>
      <c r="D24" s="1">
        <v>6.18</v>
      </c>
      <c r="E24" s="78">
        <v>200</v>
      </c>
      <c r="F24" s="78">
        <v>19</v>
      </c>
      <c r="G24" s="78">
        <f t="shared" si="5"/>
        <v>3800</v>
      </c>
      <c r="H24" s="78">
        <f t="shared" si="6"/>
        <v>614.88673139158584</v>
      </c>
      <c r="I24" s="3">
        <v>2635</v>
      </c>
      <c r="J24" s="111">
        <f t="shared" si="7"/>
        <v>1620226.5372168284</v>
      </c>
      <c r="K24" s="112">
        <v>15000</v>
      </c>
      <c r="L24" s="113">
        <f t="shared" si="8"/>
        <v>3000000</v>
      </c>
      <c r="M24" s="121">
        <f t="shared" si="9"/>
        <v>1379773.4627831716</v>
      </c>
    </row>
    <row r="25" spans="2:13" x14ac:dyDescent="0.2">
      <c r="B25" s="120" t="s">
        <v>253</v>
      </c>
      <c r="C25" s="78" t="s">
        <v>1065</v>
      </c>
      <c r="D25" s="1">
        <v>6.18</v>
      </c>
      <c r="E25" s="78">
        <v>280</v>
      </c>
      <c r="F25" s="78">
        <v>21</v>
      </c>
      <c r="G25" s="78">
        <f t="shared" si="5"/>
        <v>5880</v>
      </c>
      <c r="H25" s="78">
        <f t="shared" si="6"/>
        <v>951.45631067961165</v>
      </c>
      <c r="I25" s="3">
        <v>2635</v>
      </c>
      <c r="J25" s="111">
        <f t="shared" si="7"/>
        <v>2507087.378640777</v>
      </c>
      <c r="K25" s="112">
        <v>15000</v>
      </c>
      <c r="L25" s="113">
        <f t="shared" si="8"/>
        <v>4200000</v>
      </c>
      <c r="M25" s="121">
        <f t="shared" si="9"/>
        <v>1692912.621359223</v>
      </c>
    </row>
    <row r="26" spans="2:13" x14ac:dyDescent="0.2">
      <c r="B26" s="120" t="s">
        <v>253</v>
      </c>
      <c r="C26" s="78" t="s">
        <v>977</v>
      </c>
      <c r="D26" s="1">
        <v>6.18</v>
      </c>
      <c r="E26" s="78">
        <v>100</v>
      </c>
      <c r="F26" s="78">
        <v>18</v>
      </c>
      <c r="G26" s="78">
        <f t="shared" si="5"/>
        <v>1800</v>
      </c>
      <c r="H26" s="78">
        <f t="shared" si="6"/>
        <v>291.26213592233012</v>
      </c>
      <c r="I26" s="3">
        <v>2635</v>
      </c>
      <c r="J26" s="111">
        <f t="shared" si="7"/>
        <v>767475.72815533984</v>
      </c>
      <c r="K26" s="112">
        <v>15000</v>
      </c>
      <c r="L26" s="113">
        <f t="shared" si="8"/>
        <v>1500000</v>
      </c>
      <c r="M26" s="121">
        <f t="shared" si="9"/>
        <v>732524.27184466016</v>
      </c>
    </row>
    <row r="27" spans="2:13" x14ac:dyDescent="0.2">
      <c r="B27" s="120" t="s">
        <v>7</v>
      </c>
      <c r="C27" s="78" t="s">
        <v>1066</v>
      </c>
      <c r="D27" s="1">
        <v>6.18</v>
      </c>
      <c r="E27" s="78">
        <v>300</v>
      </c>
      <c r="F27" s="78">
        <v>21</v>
      </c>
      <c r="G27" s="78">
        <f t="shared" si="5"/>
        <v>6300</v>
      </c>
      <c r="H27" s="78">
        <f t="shared" si="6"/>
        <v>1019.4174757281554</v>
      </c>
      <c r="I27" s="3">
        <v>2635</v>
      </c>
      <c r="J27" s="111">
        <f t="shared" si="7"/>
        <v>2686165.0485436898</v>
      </c>
      <c r="K27" s="112">
        <v>17000</v>
      </c>
      <c r="L27" s="113">
        <f t="shared" si="8"/>
        <v>5100000</v>
      </c>
      <c r="M27" s="121">
        <f t="shared" si="9"/>
        <v>2413834.9514563102</v>
      </c>
    </row>
    <row r="28" spans="2:13" x14ac:dyDescent="0.2">
      <c r="C28" s="78" t="s">
        <v>1067</v>
      </c>
      <c r="D28" s="1">
        <v>6.18</v>
      </c>
      <c r="E28" s="78">
        <v>110</v>
      </c>
      <c r="F28" s="78">
        <v>15</v>
      </c>
      <c r="G28" s="78">
        <f t="shared" si="5"/>
        <v>1650</v>
      </c>
      <c r="H28" s="78">
        <f t="shared" si="6"/>
        <v>266.99029126213594</v>
      </c>
      <c r="I28" s="126">
        <v>2635</v>
      </c>
      <c r="J28" s="111">
        <f t="shared" si="7"/>
        <v>703519.41747572832</v>
      </c>
      <c r="K28" s="112">
        <v>16000</v>
      </c>
      <c r="L28" s="113">
        <f t="shared" si="8"/>
        <v>1760000</v>
      </c>
      <c r="M28" s="121">
        <f t="shared" si="9"/>
        <v>1056480.5825242717</v>
      </c>
    </row>
    <row r="29" spans="2:13" x14ac:dyDescent="0.2">
      <c r="B29" t="s">
        <v>7</v>
      </c>
      <c r="C29" s="78" t="s">
        <v>1068</v>
      </c>
      <c r="D29" s="1">
        <v>6.18</v>
      </c>
      <c r="E29">
        <v>66</v>
      </c>
      <c r="F29" s="78">
        <v>19</v>
      </c>
      <c r="G29" s="78">
        <f t="shared" si="5"/>
        <v>1254</v>
      </c>
      <c r="H29" s="78">
        <f t="shared" si="6"/>
        <v>202.91262135922332</v>
      </c>
      <c r="I29" s="3">
        <v>2635</v>
      </c>
      <c r="J29" s="122">
        <f t="shared" si="7"/>
        <v>534674.75728155347</v>
      </c>
      <c r="K29" s="112">
        <v>18000</v>
      </c>
      <c r="L29" s="8">
        <f t="shared" si="8"/>
        <v>1188000</v>
      </c>
      <c r="M29" s="8">
        <f t="shared" si="9"/>
        <v>653325.24271844653</v>
      </c>
    </row>
    <row r="30" spans="2:13" x14ac:dyDescent="0.2">
      <c r="B30" t="s">
        <v>1032</v>
      </c>
      <c r="C30" s="78" t="s">
        <v>1033</v>
      </c>
      <c r="D30" s="1">
        <v>6.18</v>
      </c>
      <c r="E30">
        <v>320</v>
      </c>
      <c r="F30" s="78">
        <v>24</v>
      </c>
      <c r="G30" s="78">
        <f t="shared" si="5"/>
        <v>7680</v>
      </c>
      <c r="H30" s="78">
        <f t="shared" si="6"/>
        <v>1242.7184466019419</v>
      </c>
      <c r="I30" s="3">
        <v>2635</v>
      </c>
      <c r="J30" s="122">
        <f t="shared" si="7"/>
        <v>3274563.1067961166</v>
      </c>
      <c r="K30" s="112">
        <v>18000</v>
      </c>
      <c r="L30" s="8">
        <f t="shared" si="8"/>
        <v>5760000</v>
      </c>
      <c r="M30" s="8">
        <f t="shared" si="9"/>
        <v>2485436.8932038834</v>
      </c>
    </row>
    <row r="31" spans="2:13" x14ac:dyDescent="0.2">
      <c r="B31" t="s">
        <v>253</v>
      </c>
      <c r="C31" s="78" t="s">
        <v>253</v>
      </c>
      <c r="D31" s="1">
        <v>6.18</v>
      </c>
      <c r="E31">
        <v>80</v>
      </c>
      <c r="F31" s="78">
        <v>20</v>
      </c>
      <c r="G31" s="78">
        <f t="shared" si="5"/>
        <v>1600</v>
      </c>
      <c r="H31" s="78">
        <f t="shared" si="6"/>
        <v>258.89967637540457</v>
      </c>
      <c r="I31" s="3">
        <v>2635</v>
      </c>
      <c r="J31" s="122">
        <f t="shared" si="7"/>
        <v>682200.64724919095</v>
      </c>
      <c r="K31" s="112">
        <v>18000</v>
      </c>
      <c r="L31" s="8">
        <f t="shared" si="8"/>
        <v>1440000</v>
      </c>
      <c r="M31" s="8">
        <f t="shared" si="9"/>
        <v>757799.35275080905</v>
      </c>
    </row>
    <row r="32" spans="2:13" x14ac:dyDescent="0.2">
      <c r="B32" t="s">
        <v>1070</v>
      </c>
      <c r="C32" s="78" t="s">
        <v>1033</v>
      </c>
      <c r="D32" s="1">
        <v>6.18</v>
      </c>
      <c r="E32">
        <v>300</v>
      </c>
      <c r="F32" s="78">
        <v>15</v>
      </c>
      <c r="G32" s="78">
        <f t="shared" si="5"/>
        <v>4500</v>
      </c>
      <c r="H32" s="78">
        <f t="shared" si="6"/>
        <v>728.15533980582529</v>
      </c>
      <c r="I32" s="3">
        <v>2635</v>
      </c>
      <c r="J32" s="122">
        <f t="shared" si="7"/>
        <v>1918689.3203883499</v>
      </c>
      <c r="K32" s="112">
        <v>13000</v>
      </c>
      <c r="L32" s="8">
        <f t="shared" si="8"/>
        <v>3900000</v>
      </c>
      <c r="M32" s="8">
        <f t="shared" si="9"/>
        <v>1981310.6796116501</v>
      </c>
    </row>
    <row r="33" spans="2:13" x14ac:dyDescent="0.2">
      <c r="B33" t="s">
        <v>7</v>
      </c>
      <c r="C33" s="78" t="s">
        <v>1079</v>
      </c>
      <c r="D33" s="1">
        <v>6.18</v>
      </c>
      <c r="E33">
        <v>210</v>
      </c>
      <c r="F33" s="78">
        <v>26.5</v>
      </c>
      <c r="G33" s="78">
        <f t="shared" si="5"/>
        <v>5565</v>
      </c>
      <c r="H33" s="78">
        <f t="shared" si="6"/>
        <v>900.48543689320388</v>
      </c>
      <c r="I33" s="3">
        <v>2635</v>
      </c>
      <c r="J33" s="122">
        <f t="shared" si="7"/>
        <v>2372779.1262135925</v>
      </c>
      <c r="K33" s="112">
        <v>18000</v>
      </c>
      <c r="L33" s="8">
        <f t="shared" si="8"/>
        <v>3780000</v>
      </c>
      <c r="M33" s="8">
        <f t="shared" si="9"/>
        <v>1407220.8737864075</v>
      </c>
    </row>
    <row r="34" spans="2:13" x14ac:dyDescent="0.2">
      <c r="B34" t="s">
        <v>7</v>
      </c>
      <c r="C34" s="78" t="s">
        <v>1077</v>
      </c>
      <c r="D34" s="1">
        <v>6.18</v>
      </c>
      <c r="E34">
        <v>200</v>
      </c>
      <c r="F34" s="78">
        <v>27</v>
      </c>
      <c r="G34" s="78">
        <f t="shared" si="5"/>
        <v>5400</v>
      </c>
      <c r="H34" s="78">
        <f t="shared" si="6"/>
        <v>873.78640776699035</v>
      </c>
      <c r="I34" s="3">
        <v>2635</v>
      </c>
      <c r="J34" s="122">
        <f t="shared" si="7"/>
        <v>2302427.1844660193</v>
      </c>
      <c r="K34" s="112">
        <v>18000</v>
      </c>
      <c r="L34" s="8">
        <f t="shared" si="8"/>
        <v>3600000</v>
      </c>
      <c r="M34" s="8">
        <f t="shared" si="9"/>
        <v>1297572.8155339807</v>
      </c>
    </row>
    <row r="35" spans="2:13" x14ac:dyDescent="0.2">
      <c r="B35" t="s">
        <v>1070</v>
      </c>
      <c r="C35" s="78" t="s">
        <v>1071</v>
      </c>
      <c r="D35" s="1">
        <v>6.18</v>
      </c>
      <c r="E35">
        <v>200</v>
      </c>
      <c r="F35" s="78">
        <v>17</v>
      </c>
      <c r="G35" s="78">
        <f t="shared" si="5"/>
        <v>3400</v>
      </c>
      <c r="H35" s="78">
        <f t="shared" si="6"/>
        <v>550.16181229773463</v>
      </c>
      <c r="I35" s="3">
        <v>2635</v>
      </c>
      <c r="J35" s="122">
        <f t="shared" si="7"/>
        <v>1449676.3754045307</v>
      </c>
      <c r="K35" s="112">
        <v>13000</v>
      </c>
      <c r="L35" s="8">
        <f t="shared" si="8"/>
        <v>2600000</v>
      </c>
      <c r="M35" s="8">
        <f t="shared" si="9"/>
        <v>1150323.6245954693</v>
      </c>
    </row>
    <row r="36" spans="2:13" x14ac:dyDescent="0.2">
      <c r="B36" t="s">
        <v>253</v>
      </c>
      <c r="C36" s="78" t="s">
        <v>1072</v>
      </c>
      <c r="D36" s="1">
        <v>6.18</v>
      </c>
      <c r="E36">
        <v>200</v>
      </c>
      <c r="F36" s="78">
        <v>21</v>
      </c>
      <c r="G36" s="78">
        <f t="shared" si="5"/>
        <v>4200</v>
      </c>
      <c r="H36" s="78">
        <f t="shared" si="6"/>
        <v>679.61165048543694</v>
      </c>
      <c r="I36" s="3">
        <v>2635</v>
      </c>
      <c r="J36" s="122">
        <f t="shared" si="7"/>
        <v>1790776.6990291264</v>
      </c>
      <c r="K36" s="112">
        <v>15000</v>
      </c>
      <c r="L36" s="8">
        <f t="shared" si="8"/>
        <v>3000000</v>
      </c>
      <c r="M36" s="8">
        <f t="shared" si="9"/>
        <v>1209223.3009708736</v>
      </c>
    </row>
    <row r="37" spans="2:13" x14ac:dyDescent="0.2">
      <c r="B37" t="s">
        <v>253</v>
      </c>
      <c r="C37" s="78" t="s">
        <v>1073</v>
      </c>
      <c r="D37" s="1">
        <v>6.18</v>
      </c>
      <c r="E37">
        <v>150</v>
      </c>
      <c r="F37" s="78">
        <v>17.5</v>
      </c>
      <c r="G37" s="78">
        <f t="shared" si="5"/>
        <v>2625</v>
      </c>
      <c r="H37" s="78">
        <f t="shared" si="6"/>
        <v>424.75728155339806</v>
      </c>
      <c r="I37" s="3">
        <v>2635</v>
      </c>
      <c r="J37" s="122">
        <f t="shared" si="7"/>
        <v>1119235.436893204</v>
      </c>
      <c r="K37" s="112">
        <v>13000</v>
      </c>
      <c r="L37" s="8">
        <f t="shared" si="8"/>
        <v>1950000</v>
      </c>
      <c r="M37" s="8">
        <f t="shared" si="9"/>
        <v>830764.56310679601</v>
      </c>
    </row>
    <row r="38" spans="2:13" x14ac:dyDescent="0.2">
      <c r="B38" t="s">
        <v>253</v>
      </c>
      <c r="C38" t="s">
        <v>1074</v>
      </c>
      <c r="D38" s="1">
        <v>6.18</v>
      </c>
      <c r="E38">
        <v>150</v>
      </c>
      <c r="F38" s="78">
        <v>14</v>
      </c>
      <c r="G38" s="78">
        <f t="shared" si="5"/>
        <v>2100</v>
      </c>
      <c r="H38" s="78">
        <f t="shared" si="6"/>
        <v>339.80582524271847</v>
      </c>
      <c r="I38" s="3">
        <v>2635</v>
      </c>
      <c r="J38" s="122">
        <f t="shared" si="7"/>
        <v>895388.3495145631</v>
      </c>
      <c r="K38" s="112">
        <v>13000</v>
      </c>
      <c r="L38" s="8">
        <f t="shared" si="8"/>
        <v>1950000</v>
      </c>
      <c r="M38" s="8">
        <f t="shared" si="9"/>
        <v>1054611.6504854369</v>
      </c>
    </row>
    <row r="39" spans="2:13" x14ac:dyDescent="0.2">
      <c r="B39" t="s">
        <v>253</v>
      </c>
      <c r="C39" t="s">
        <v>1074</v>
      </c>
      <c r="D39" s="1">
        <v>6.18</v>
      </c>
      <c r="E39">
        <v>150</v>
      </c>
      <c r="F39" s="78">
        <v>13</v>
      </c>
      <c r="G39" s="78">
        <f t="shared" si="5"/>
        <v>1950</v>
      </c>
      <c r="H39" s="78">
        <f t="shared" si="6"/>
        <v>315.53398058252429</v>
      </c>
      <c r="I39" s="3">
        <v>2635</v>
      </c>
      <c r="J39" s="122">
        <f t="shared" si="7"/>
        <v>831432.03883495159</v>
      </c>
      <c r="K39" s="112">
        <v>13000</v>
      </c>
      <c r="L39" s="8">
        <f t="shared" si="8"/>
        <v>1950000</v>
      </c>
      <c r="M39" s="8">
        <f t="shared" si="9"/>
        <v>1118567.9611650484</v>
      </c>
    </row>
    <row r="40" spans="2:13" x14ac:dyDescent="0.2">
      <c r="B40" t="s">
        <v>253</v>
      </c>
      <c r="C40" t="s">
        <v>1074</v>
      </c>
      <c r="D40" s="1">
        <v>6.18</v>
      </c>
      <c r="E40">
        <v>150</v>
      </c>
      <c r="F40" s="78">
        <v>14</v>
      </c>
      <c r="G40" s="78">
        <f t="shared" si="5"/>
        <v>2100</v>
      </c>
      <c r="H40" s="78">
        <f t="shared" si="6"/>
        <v>339.80582524271847</v>
      </c>
      <c r="I40" s="3">
        <v>2635</v>
      </c>
      <c r="J40" s="122">
        <f t="shared" si="7"/>
        <v>895388.3495145631</v>
      </c>
      <c r="K40" s="112">
        <v>13000</v>
      </c>
      <c r="L40" s="8">
        <f t="shared" si="8"/>
        <v>1950000</v>
      </c>
      <c r="M40" s="8">
        <f t="shared" si="9"/>
        <v>1054611.6504854369</v>
      </c>
    </row>
    <row r="41" spans="2:13" x14ac:dyDescent="0.2">
      <c r="B41" t="s">
        <v>7</v>
      </c>
      <c r="C41" t="s">
        <v>1081</v>
      </c>
      <c r="D41" s="1">
        <v>6.18</v>
      </c>
      <c r="E41">
        <v>395</v>
      </c>
      <c r="F41" s="78">
        <v>11.5</v>
      </c>
      <c r="G41" s="78">
        <f t="shared" si="5"/>
        <v>4542.5</v>
      </c>
      <c r="H41" s="78">
        <f t="shared" si="6"/>
        <v>735.0323624595469</v>
      </c>
      <c r="I41" s="3">
        <v>2635</v>
      </c>
      <c r="J41" s="122">
        <f t="shared" si="7"/>
        <v>1936810.2750809062</v>
      </c>
      <c r="K41" s="112">
        <v>17000</v>
      </c>
      <c r="L41" s="8">
        <f t="shared" si="8"/>
        <v>6715000</v>
      </c>
      <c r="M41" s="8">
        <f t="shared" si="9"/>
        <v>4778189.7249190938</v>
      </c>
    </row>
    <row r="42" spans="2:13" x14ac:dyDescent="0.2">
      <c r="C42" t="s">
        <v>1082</v>
      </c>
      <c r="D42" s="1">
        <v>6.18</v>
      </c>
      <c r="E42">
        <v>171</v>
      </c>
      <c r="F42" s="78">
        <v>15</v>
      </c>
      <c r="G42" s="78">
        <f t="shared" si="5"/>
        <v>2565</v>
      </c>
      <c r="H42" s="78">
        <f t="shared" si="6"/>
        <v>415.04854368932041</v>
      </c>
      <c r="I42" s="3">
        <v>2635</v>
      </c>
      <c r="J42" s="122">
        <f t="shared" si="7"/>
        <v>1093652.9126213593</v>
      </c>
      <c r="K42" s="112">
        <v>18000</v>
      </c>
      <c r="L42" s="8">
        <f t="shared" si="8"/>
        <v>3078000</v>
      </c>
      <c r="M42" s="8">
        <f t="shared" si="9"/>
        <v>1984347.0873786407</v>
      </c>
    </row>
    <row r="43" spans="2:13" x14ac:dyDescent="0.2">
      <c r="B43" t="s">
        <v>7</v>
      </c>
      <c r="C43" t="s">
        <v>1083</v>
      </c>
      <c r="D43" s="1">
        <v>6.18</v>
      </c>
      <c r="E43">
        <v>275</v>
      </c>
      <c r="F43" s="78">
        <v>14.5</v>
      </c>
      <c r="G43" s="78">
        <f t="shared" si="5"/>
        <v>3987.5</v>
      </c>
      <c r="H43" s="78">
        <f t="shared" si="6"/>
        <v>645.22653721682855</v>
      </c>
      <c r="I43" s="3">
        <v>2635</v>
      </c>
      <c r="J43" s="122">
        <f t="shared" si="7"/>
        <v>1700171.9255663429</v>
      </c>
      <c r="K43" s="112">
        <v>17000</v>
      </c>
      <c r="L43" s="8">
        <f t="shared" si="8"/>
        <v>4675000</v>
      </c>
      <c r="M43" s="8">
        <f t="shared" si="9"/>
        <v>2974828.0744336573</v>
      </c>
    </row>
    <row r="44" spans="2:13" x14ac:dyDescent="0.2">
      <c r="B44" t="s">
        <v>7</v>
      </c>
      <c r="C44" t="s">
        <v>1078</v>
      </c>
      <c r="D44" s="1">
        <v>6.18</v>
      </c>
      <c r="E44">
        <v>423</v>
      </c>
      <c r="F44" s="78">
        <v>22</v>
      </c>
      <c r="G44" s="78">
        <f t="shared" si="5"/>
        <v>9306</v>
      </c>
      <c r="H44" s="78">
        <f t="shared" si="6"/>
        <v>1505.8252427184466</v>
      </c>
      <c r="I44" s="3">
        <v>2635</v>
      </c>
      <c r="J44" s="122">
        <f t="shared" si="7"/>
        <v>3967849.5145631074</v>
      </c>
      <c r="K44" s="112">
        <v>18000</v>
      </c>
      <c r="L44" s="8">
        <f t="shared" si="8"/>
        <v>7614000</v>
      </c>
      <c r="M44" s="8">
        <f t="shared" si="9"/>
        <v>3646150.4854368926</v>
      </c>
    </row>
    <row r="45" spans="2:13" x14ac:dyDescent="0.2">
      <c r="D45" s="1">
        <v>6.18</v>
      </c>
      <c r="E45">
        <v>350</v>
      </c>
      <c r="F45" s="78">
        <v>23</v>
      </c>
      <c r="G45" s="78">
        <f t="shared" si="5"/>
        <v>8050</v>
      </c>
      <c r="H45" s="78">
        <f t="shared" si="6"/>
        <v>1302.588996763754</v>
      </c>
      <c r="I45" s="3">
        <v>2635</v>
      </c>
      <c r="J45" s="122">
        <f t="shared" si="7"/>
        <v>3432322.0064724921</v>
      </c>
      <c r="K45" s="105">
        <v>18000</v>
      </c>
      <c r="L45" s="8">
        <f t="shared" si="8"/>
        <v>6300000</v>
      </c>
      <c r="M45" s="8">
        <f t="shared" si="9"/>
        <v>2867677.9935275079</v>
      </c>
    </row>
    <row r="46" spans="2:13" x14ac:dyDescent="0.2">
      <c r="E46" s="7">
        <f>SUM(E3:E45)</f>
        <v>10200</v>
      </c>
      <c r="H46" s="124">
        <f>SUM(H3:H45)</f>
        <v>34129.773462783174</v>
      </c>
      <c r="I46" s="3"/>
      <c r="J46" s="123">
        <f>SUM(J3:J45)</f>
        <v>89931953.074433684</v>
      </c>
      <c r="L46" s="95">
        <f>SUM(L3:L45)</f>
        <v>164004000</v>
      </c>
      <c r="M46" s="48">
        <f>SUM(M3:M45)</f>
        <v>74072046.925566331</v>
      </c>
    </row>
    <row r="57" spans="9:10" x14ac:dyDescent="0.2">
      <c r="I57" s="3" t="s">
        <v>25</v>
      </c>
      <c r="J57" s="119">
        <v>89931953</v>
      </c>
    </row>
    <row r="58" spans="9:10" x14ac:dyDescent="0.2">
      <c r="I58" s="3" t="s">
        <v>27</v>
      </c>
      <c r="J58" s="9">
        <v>4300000</v>
      </c>
    </row>
    <row r="59" spans="9:10" x14ac:dyDescent="0.2">
      <c r="I59" s="3" t="s">
        <v>26</v>
      </c>
      <c r="J59" s="3">
        <v>3162000</v>
      </c>
    </row>
    <row r="60" spans="9:10" x14ac:dyDescent="0.2">
      <c r="I60" s="3" t="s">
        <v>33</v>
      </c>
      <c r="J60" s="3">
        <v>4000000</v>
      </c>
    </row>
    <row r="61" spans="9:10" x14ac:dyDescent="0.2">
      <c r="I61" s="3" t="s">
        <v>31</v>
      </c>
      <c r="J61" s="3">
        <v>6900000</v>
      </c>
    </row>
    <row r="62" spans="9:10" x14ac:dyDescent="0.2">
      <c r="I62" s="3" t="s">
        <v>36</v>
      </c>
      <c r="J62" s="3">
        <v>3640000</v>
      </c>
    </row>
    <row r="63" spans="9:10" x14ac:dyDescent="0.2">
      <c r="I63" s="3" t="s">
        <v>29</v>
      </c>
      <c r="J63" s="23">
        <v>9500000</v>
      </c>
    </row>
    <row r="64" spans="9:10" x14ac:dyDescent="0.2">
      <c r="I64" s="3" t="s">
        <v>34</v>
      </c>
      <c r="J64" s="26">
        <f>SUM(J57:J63)</f>
        <v>121433953</v>
      </c>
    </row>
    <row r="65" spans="9:10" x14ac:dyDescent="0.2">
      <c r="I65" s="3" t="s">
        <v>6</v>
      </c>
      <c r="J65" s="127">
        <v>164004000</v>
      </c>
    </row>
    <row r="66" spans="9:10" ht="18" x14ac:dyDescent="0.35">
      <c r="I66" s="3" t="s">
        <v>35</v>
      </c>
      <c r="J66" s="21">
        <f>J65-J64</f>
        <v>42570047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43"/>
  <sheetViews>
    <sheetView workbookViewId="0">
      <selection activeCell="C28" sqref="C28"/>
    </sheetView>
  </sheetViews>
  <sheetFormatPr baseColWidth="10" defaultRowHeight="15" x14ac:dyDescent="0.2"/>
  <cols>
    <col min="2" max="2" width="11.83203125" customWidth="1"/>
    <col min="3" max="3" width="19.1640625" customWidth="1"/>
    <col min="7" max="7" width="10.83203125" customWidth="1"/>
    <col min="10" max="10" width="14.5" customWidth="1"/>
    <col min="12" max="12" width="12.1640625" customWidth="1"/>
  </cols>
  <sheetData>
    <row r="1" spans="1:13" ht="31" x14ac:dyDescent="0.35">
      <c r="A1" s="56" t="s">
        <v>1085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2" t="s">
        <v>1086</v>
      </c>
      <c r="B3" s="1" t="s">
        <v>1087</v>
      </c>
      <c r="C3" s="1" t="s">
        <v>1088</v>
      </c>
      <c r="D3" s="1">
        <v>6.1349999999999998</v>
      </c>
      <c r="E3" s="1">
        <v>1080</v>
      </c>
      <c r="F3" s="1">
        <v>14</v>
      </c>
      <c r="G3" s="1">
        <f>E3*F3</f>
        <v>15120</v>
      </c>
      <c r="H3" s="1">
        <f t="shared" ref="H3:H28" si="0">G3/D3</f>
        <v>2464.5476772616139</v>
      </c>
      <c r="I3" s="3">
        <v>2608</v>
      </c>
      <c r="J3" s="37">
        <f t="shared" ref="J3:J28" si="1">F3/D3*I3*E3</f>
        <v>6427540.3422982888</v>
      </c>
      <c r="K3" s="3">
        <v>10000</v>
      </c>
      <c r="L3" s="44">
        <f t="shared" ref="L3:L28" si="2">K3*E3</f>
        <v>10800000</v>
      </c>
      <c r="M3" s="3">
        <f>L3-J3</f>
        <v>4372459.6577017112</v>
      </c>
    </row>
    <row r="4" spans="1:13" x14ac:dyDescent="0.2">
      <c r="A4" s="2"/>
      <c r="B4" s="1" t="s">
        <v>7</v>
      </c>
      <c r="C4" s="1" t="s">
        <v>1089</v>
      </c>
      <c r="D4" s="1">
        <v>6.1349999999999998</v>
      </c>
      <c r="E4" s="1">
        <v>584</v>
      </c>
      <c r="F4" s="1">
        <v>27</v>
      </c>
      <c r="G4" s="1">
        <f t="shared" ref="G4:G28" si="3">E4*F4</f>
        <v>15768</v>
      </c>
      <c r="H4" s="1">
        <f t="shared" si="0"/>
        <v>2570.1711491442543</v>
      </c>
      <c r="I4" s="3">
        <v>2608</v>
      </c>
      <c r="J4" s="37">
        <f t="shared" si="1"/>
        <v>6703006.3569682147</v>
      </c>
      <c r="K4" s="3">
        <v>18000</v>
      </c>
      <c r="L4" s="44">
        <f t="shared" si="2"/>
        <v>10512000</v>
      </c>
      <c r="M4" s="3">
        <f t="shared" ref="M4:M27" si="4">L4-J4</f>
        <v>3808993.6430317853</v>
      </c>
    </row>
    <row r="5" spans="1:13" x14ac:dyDescent="0.2">
      <c r="A5" s="2"/>
      <c r="B5" s="1" t="s">
        <v>7</v>
      </c>
      <c r="C5" s="1" t="s">
        <v>1090</v>
      </c>
      <c r="D5" s="1">
        <v>6.1349999999999998</v>
      </c>
      <c r="E5" s="1">
        <v>300</v>
      </c>
      <c r="F5" s="1">
        <v>25</v>
      </c>
      <c r="G5" s="1">
        <f t="shared" si="3"/>
        <v>7500</v>
      </c>
      <c r="H5" s="1">
        <f t="shared" si="0"/>
        <v>1222.4938875305625</v>
      </c>
      <c r="I5" s="3">
        <v>2608</v>
      </c>
      <c r="J5" s="37">
        <f t="shared" si="1"/>
        <v>3188264.0586797069</v>
      </c>
      <c r="K5" s="29">
        <v>17000</v>
      </c>
      <c r="L5" s="64">
        <f t="shared" si="2"/>
        <v>5100000</v>
      </c>
      <c r="M5" s="29">
        <f t="shared" si="4"/>
        <v>1911735.9413202931</v>
      </c>
    </row>
    <row r="6" spans="1:13" x14ac:dyDescent="0.2">
      <c r="A6" s="125"/>
      <c r="B6" s="78" t="s">
        <v>253</v>
      </c>
      <c r="C6" s="78" t="s">
        <v>1052</v>
      </c>
      <c r="D6" s="1">
        <v>6.1349999999999998</v>
      </c>
      <c r="E6" s="78">
        <v>200</v>
      </c>
      <c r="F6" s="78">
        <v>30</v>
      </c>
      <c r="G6" s="78">
        <f>F6*E6</f>
        <v>6000</v>
      </c>
      <c r="H6" s="78">
        <f>G6/D6</f>
        <v>977.9951100244499</v>
      </c>
      <c r="I6" s="3">
        <v>2608</v>
      </c>
      <c r="J6" s="111">
        <f>F6/D6*E6*I6</f>
        <v>2550611.2469437653</v>
      </c>
      <c r="K6" s="112">
        <v>20000</v>
      </c>
      <c r="L6" s="113">
        <f>K6*E6</f>
        <v>4000000</v>
      </c>
      <c r="M6" s="112">
        <f>L6-J6</f>
        <v>1449388.7530562347</v>
      </c>
    </row>
    <row r="7" spans="1:13" x14ac:dyDescent="0.2">
      <c r="B7" s="78" t="s">
        <v>253</v>
      </c>
      <c r="C7" s="78" t="s">
        <v>1091</v>
      </c>
      <c r="D7" s="1">
        <v>6.1349999999999998</v>
      </c>
      <c r="E7" s="78">
        <v>200</v>
      </c>
      <c r="F7" s="78">
        <v>26</v>
      </c>
      <c r="G7" s="78">
        <f t="shared" si="3"/>
        <v>5200</v>
      </c>
      <c r="H7" s="78">
        <f t="shared" si="0"/>
        <v>847.5957620211899</v>
      </c>
      <c r="I7" s="3">
        <v>2608</v>
      </c>
      <c r="J7" s="111">
        <f t="shared" si="1"/>
        <v>2210529.7473512632</v>
      </c>
      <c r="K7" s="112">
        <v>17000</v>
      </c>
      <c r="L7" s="113">
        <f t="shared" si="2"/>
        <v>3400000</v>
      </c>
      <c r="M7" s="112">
        <f t="shared" si="4"/>
        <v>1189470.2526487368</v>
      </c>
    </row>
    <row r="8" spans="1:13" x14ac:dyDescent="0.2">
      <c r="B8" s="78" t="s">
        <v>7</v>
      </c>
      <c r="C8" s="78" t="s">
        <v>1164</v>
      </c>
      <c r="D8" s="1">
        <v>6.1349999999999998</v>
      </c>
      <c r="E8" s="78">
        <v>300</v>
      </c>
      <c r="F8" s="78">
        <v>29</v>
      </c>
      <c r="G8" s="78">
        <f>E8*F8</f>
        <v>8700</v>
      </c>
      <c r="H8" s="78">
        <f>G8/D8</f>
        <v>1418.0929095354525</v>
      </c>
      <c r="I8" s="3">
        <v>2608</v>
      </c>
      <c r="J8" s="111">
        <f>F8/D8*I8*E8</f>
        <v>3698386.3080684599</v>
      </c>
      <c r="K8" s="112">
        <v>18000</v>
      </c>
      <c r="L8" s="113">
        <f>K8*E8</f>
        <v>5400000</v>
      </c>
      <c r="M8" s="112">
        <f>L8-J8</f>
        <v>1701613.6919315401</v>
      </c>
    </row>
    <row r="9" spans="1:13" x14ac:dyDescent="0.2">
      <c r="B9" s="78" t="s">
        <v>253</v>
      </c>
      <c r="C9" s="78" t="s">
        <v>1165</v>
      </c>
      <c r="D9" s="1">
        <v>6.1349999999999998</v>
      </c>
      <c r="E9" s="78">
        <v>200</v>
      </c>
      <c r="F9" s="78">
        <v>27</v>
      </c>
      <c r="G9" s="78">
        <f>E9*F9</f>
        <v>5400</v>
      </c>
      <c r="H9" s="78">
        <f>G9/D9</f>
        <v>880.1955990220049</v>
      </c>
      <c r="I9" s="3">
        <v>2608</v>
      </c>
      <c r="J9" s="111">
        <f>F9/D9*I9*E9</f>
        <v>2295550.1222493886</v>
      </c>
      <c r="K9" s="112">
        <v>17000</v>
      </c>
      <c r="L9" s="113">
        <f>K9*E9</f>
        <v>3400000</v>
      </c>
      <c r="M9" s="112">
        <f>L9-J9</f>
        <v>1104449.8777506114</v>
      </c>
    </row>
    <row r="10" spans="1:13" x14ac:dyDescent="0.2">
      <c r="B10" s="78" t="s">
        <v>253</v>
      </c>
      <c r="C10" s="78" t="s">
        <v>1166</v>
      </c>
      <c r="D10" s="1">
        <v>6.1349999999999998</v>
      </c>
      <c r="E10" s="78">
        <v>200</v>
      </c>
      <c r="F10" s="78">
        <v>28</v>
      </c>
      <c r="G10" s="78">
        <f>E10*F10</f>
        <v>5600</v>
      </c>
      <c r="H10" s="78">
        <f>G10/D10</f>
        <v>912.7954360228199</v>
      </c>
      <c r="I10" s="3">
        <v>2608</v>
      </c>
      <c r="J10" s="111">
        <f>F10/D10*I10*E10</f>
        <v>2380570.4971475145</v>
      </c>
      <c r="K10" s="112">
        <v>18000</v>
      </c>
      <c r="L10" s="113">
        <f>K10*E10</f>
        <v>3600000</v>
      </c>
      <c r="M10" s="112">
        <f>L10-J10</f>
        <v>1219429.5028524855</v>
      </c>
    </row>
    <row r="11" spans="1:13" x14ac:dyDescent="0.2">
      <c r="B11" s="78" t="s">
        <v>253</v>
      </c>
      <c r="C11" s="78" t="s">
        <v>1167</v>
      </c>
      <c r="D11" s="1">
        <v>6.1349999999999998</v>
      </c>
      <c r="E11" s="78">
        <v>200</v>
      </c>
      <c r="F11" s="78">
        <v>28</v>
      </c>
      <c r="G11" s="78">
        <f>E11*F11</f>
        <v>5600</v>
      </c>
      <c r="H11" s="78">
        <f>G11/D11</f>
        <v>912.7954360228199</v>
      </c>
      <c r="I11" s="3">
        <v>2608</v>
      </c>
      <c r="J11" s="111">
        <f>F11/D11*I11*E11</f>
        <v>2380570.4971475145</v>
      </c>
      <c r="K11" s="112">
        <v>18000</v>
      </c>
      <c r="L11" s="113">
        <f>K11*E11</f>
        <v>3600000</v>
      </c>
      <c r="M11" s="112">
        <f>L11-J11</f>
        <v>1219429.5028524855</v>
      </c>
    </row>
    <row r="12" spans="1:13" x14ac:dyDescent="0.2">
      <c r="B12" s="78" t="s">
        <v>253</v>
      </c>
      <c r="C12" s="78" t="s">
        <v>1163</v>
      </c>
      <c r="D12" s="1">
        <v>6.1349999999999998</v>
      </c>
      <c r="E12" s="78">
        <v>200</v>
      </c>
      <c r="F12" s="78">
        <v>28.5</v>
      </c>
      <c r="G12" s="78">
        <f>E12*F12</f>
        <v>5700</v>
      </c>
      <c r="H12" s="78">
        <f>G12/D12</f>
        <v>929.09535452322746</v>
      </c>
      <c r="I12" s="3">
        <v>2608</v>
      </c>
      <c r="J12" s="111">
        <f>F12/D12*I12*E12</f>
        <v>2423080.6845965772</v>
      </c>
      <c r="K12" s="112">
        <v>18000</v>
      </c>
      <c r="L12" s="113">
        <f>K12*E12</f>
        <v>3600000</v>
      </c>
      <c r="M12" s="112">
        <f>L12-J12</f>
        <v>1176919.3154034228</v>
      </c>
    </row>
    <row r="13" spans="1:13" x14ac:dyDescent="0.2">
      <c r="B13" s="78" t="s">
        <v>7</v>
      </c>
      <c r="C13" s="78" t="s">
        <v>1069</v>
      </c>
      <c r="D13" s="1">
        <v>6.1349999999999998</v>
      </c>
      <c r="E13" s="78">
        <v>1000</v>
      </c>
      <c r="F13" s="78">
        <v>20</v>
      </c>
      <c r="G13" s="78">
        <f t="shared" si="3"/>
        <v>20000</v>
      </c>
      <c r="H13" s="78">
        <f t="shared" si="0"/>
        <v>3259.9837000814996</v>
      </c>
      <c r="I13" s="3">
        <v>2608</v>
      </c>
      <c r="J13" s="111">
        <f t="shared" si="1"/>
        <v>8502037.4898125492</v>
      </c>
      <c r="K13" s="112">
        <v>17000</v>
      </c>
      <c r="L13" s="113">
        <f t="shared" si="2"/>
        <v>17000000</v>
      </c>
      <c r="M13" s="112">
        <f t="shared" si="4"/>
        <v>8497962.5101874508</v>
      </c>
    </row>
    <row r="14" spans="1:13" x14ac:dyDescent="0.2">
      <c r="B14" s="78" t="s">
        <v>1092</v>
      </c>
      <c r="C14" s="78" t="s">
        <v>1093</v>
      </c>
      <c r="D14" s="1">
        <v>6.1349999999999998</v>
      </c>
      <c r="E14" s="78">
        <v>486</v>
      </c>
      <c r="F14" s="78">
        <v>24</v>
      </c>
      <c r="G14" s="78">
        <f t="shared" si="3"/>
        <v>11664</v>
      </c>
      <c r="H14" s="78">
        <f t="shared" si="0"/>
        <v>1901.2224938875306</v>
      </c>
      <c r="I14" s="3">
        <v>2608</v>
      </c>
      <c r="J14" s="111">
        <f t="shared" si="1"/>
        <v>4958388.2640586793</v>
      </c>
      <c r="K14" s="112">
        <v>17000</v>
      </c>
      <c r="L14" s="113">
        <f t="shared" si="2"/>
        <v>8262000</v>
      </c>
      <c r="M14" s="112">
        <f t="shared" si="4"/>
        <v>3303611.7359413207</v>
      </c>
    </row>
    <row r="15" spans="1:13" x14ac:dyDescent="0.2">
      <c r="B15" s="78" t="s">
        <v>7</v>
      </c>
      <c r="C15" s="78" t="s">
        <v>1100</v>
      </c>
      <c r="D15" s="1">
        <v>6.1349999999999998</v>
      </c>
      <c r="E15" s="78">
        <v>516</v>
      </c>
      <c r="F15" s="78">
        <v>20</v>
      </c>
      <c r="G15" s="78">
        <f t="shared" si="3"/>
        <v>10320</v>
      </c>
      <c r="H15" s="78">
        <f t="shared" si="0"/>
        <v>1682.1515892420539</v>
      </c>
      <c r="I15" s="3">
        <v>2608</v>
      </c>
      <c r="J15" s="111">
        <f t="shared" si="1"/>
        <v>4387051.344743276</v>
      </c>
      <c r="K15" s="112">
        <v>17000</v>
      </c>
      <c r="L15" s="113">
        <f t="shared" si="2"/>
        <v>8772000</v>
      </c>
      <c r="M15" s="112">
        <f t="shared" si="4"/>
        <v>4384948.655256724</v>
      </c>
    </row>
    <row r="16" spans="1:13" x14ac:dyDescent="0.2">
      <c r="B16" s="78" t="s">
        <v>7</v>
      </c>
      <c r="C16" s="78" t="s">
        <v>1094</v>
      </c>
      <c r="D16" s="1">
        <v>6.1349999999999998</v>
      </c>
      <c r="E16" s="78">
        <v>230</v>
      </c>
      <c r="F16" s="78">
        <v>21</v>
      </c>
      <c r="G16" s="78">
        <f t="shared" si="3"/>
        <v>4830</v>
      </c>
      <c r="H16" s="78">
        <f t="shared" si="0"/>
        <v>787.28606356968214</v>
      </c>
      <c r="I16" s="3">
        <v>2608</v>
      </c>
      <c r="J16" s="111">
        <f t="shared" si="1"/>
        <v>2053242.0537897311</v>
      </c>
      <c r="K16" s="112">
        <v>18000</v>
      </c>
      <c r="L16" s="113">
        <f t="shared" si="2"/>
        <v>4140000</v>
      </c>
      <c r="M16" s="8">
        <f t="shared" si="4"/>
        <v>2086757.9462102689</v>
      </c>
    </row>
    <row r="17" spans="2:13" x14ac:dyDescent="0.2">
      <c r="B17" s="78" t="s">
        <v>7</v>
      </c>
      <c r="C17" s="78" t="s">
        <v>1104</v>
      </c>
      <c r="D17" s="1">
        <v>6.1349999999999998</v>
      </c>
      <c r="E17" s="78">
        <v>420</v>
      </c>
      <c r="F17" s="78">
        <v>25</v>
      </c>
      <c r="G17" s="78">
        <f t="shared" si="3"/>
        <v>10500</v>
      </c>
      <c r="H17" s="78">
        <f t="shared" si="0"/>
        <v>1711.4914425427874</v>
      </c>
      <c r="I17" s="3">
        <v>2608</v>
      </c>
      <c r="J17" s="111">
        <f t="shared" si="1"/>
        <v>4463569.6821515895</v>
      </c>
      <c r="K17" s="112">
        <v>17000</v>
      </c>
      <c r="L17" s="113">
        <f t="shared" si="2"/>
        <v>7140000</v>
      </c>
      <c r="M17" s="8">
        <f t="shared" si="4"/>
        <v>2676430.3178484105</v>
      </c>
    </row>
    <row r="18" spans="2:13" x14ac:dyDescent="0.2">
      <c r="C18" s="78" t="s">
        <v>995</v>
      </c>
      <c r="D18" s="1">
        <v>6.1349999999999998</v>
      </c>
      <c r="E18" s="78">
        <v>420</v>
      </c>
      <c r="F18" s="78">
        <v>28</v>
      </c>
      <c r="G18" s="78">
        <f t="shared" si="3"/>
        <v>11760</v>
      </c>
      <c r="H18" s="78">
        <f t="shared" si="0"/>
        <v>1916.8704156479218</v>
      </c>
      <c r="I18" s="3">
        <v>2608</v>
      </c>
      <c r="J18" s="111">
        <f t="shared" si="1"/>
        <v>4999198.0440097805</v>
      </c>
      <c r="K18" s="112">
        <v>20000</v>
      </c>
      <c r="L18" s="113">
        <f t="shared" si="2"/>
        <v>8400000</v>
      </c>
      <c r="M18" s="8">
        <f t="shared" si="4"/>
        <v>3400801.9559902195</v>
      </c>
    </row>
    <row r="19" spans="2:13" x14ac:dyDescent="0.2">
      <c r="B19" t="s">
        <v>7</v>
      </c>
      <c r="C19" s="78" t="s">
        <v>1095</v>
      </c>
      <c r="D19" s="1">
        <v>6.1349999999999998</v>
      </c>
      <c r="E19" s="78">
        <v>330</v>
      </c>
      <c r="F19" s="78">
        <v>25.5</v>
      </c>
      <c r="G19" s="78">
        <f t="shared" si="3"/>
        <v>8415</v>
      </c>
      <c r="H19" s="78">
        <f t="shared" si="0"/>
        <v>1371.638141809291</v>
      </c>
      <c r="I19" s="3">
        <v>2608</v>
      </c>
      <c r="J19" s="111">
        <f t="shared" si="1"/>
        <v>3577232.2738386309</v>
      </c>
      <c r="K19" s="112">
        <v>18000</v>
      </c>
      <c r="L19" s="113">
        <f t="shared" si="2"/>
        <v>5940000</v>
      </c>
      <c r="M19" s="8">
        <f t="shared" si="4"/>
        <v>2362767.7261613691</v>
      </c>
    </row>
    <row r="20" spans="2:13" x14ac:dyDescent="0.2">
      <c r="B20" t="s">
        <v>7</v>
      </c>
      <c r="C20" s="78" t="s">
        <v>1096</v>
      </c>
      <c r="D20" s="1">
        <v>6.1349999999999998</v>
      </c>
      <c r="E20" s="78">
        <v>356</v>
      </c>
      <c r="F20" s="78">
        <v>15</v>
      </c>
      <c r="G20" s="78">
        <f t="shared" si="3"/>
        <v>5340</v>
      </c>
      <c r="H20" s="78">
        <f t="shared" si="0"/>
        <v>870.41564792176041</v>
      </c>
      <c r="I20" s="3">
        <v>2608</v>
      </c>
      <c r="J20" s="111">
        <f t="shared" si="1"/>
        <v>2270044.0097799515</v>
      </c>
      <c r="K20" s="112">
        <v>16000</v>
      </c>
      <c r="L20" s="113">
        <f t="shared" si="2"/>
        <v>5696000</v>
      </c>
      <c r="M20" s="8">
        <f t="shared" si="4"/>
        <v>3425955.9902200485</v>
      </c>
    </row>
    <row r="21" spans="2:13" x14ac:dyDescent="0.2">
      <c r="B21" t="s">
        <v>7</v>
      </c>
      <c r="C21" s="78" t="s">
        <v>1097</v>
      </c>
      <c r="D21" s="1">
        <v>6.1349999999999998</v>
      </c>
      <c r="E21" s="78">
        <v>600</v>
      </c>
      <c r="F21" s="78">
        <v>26</v>
      </c>
      <c r="G21" s="78">
        <f t="shared" si="3"/>
        <v>15600</v>
      </c>
      <c r="H21" s="78">
        <f t="shared" si="0"/>
        <v>2542.7872860635698</v>
      </c>
      <c r="I21" s="3">
        <v>2608</v>
      </c>
      <c r="J21" s="111">
        <f t="shared" si="1"/>
        <v>6631589.24205379</v>
      </c>
      <c r="K21" s="112">
        <v>18000</v>
      </c>
      <c r="L21" s="113">
        <f t="shared" si="2"/>
        <v>10800000</v>
      </c>
      <c r="M21" s="8">
        <f t="shared" si="4"/>
        <v>4168410.75794621</v>
      </c>
    </row>
    <row r="22" spans="2:13" x14ac:dyDescent="0.2">
      <c r="C22" s="78" t="s">
        <v>253</v>
      </c>
      <c r="D22" s="1">
        <v>6.1349999999999998</v>
      </c>
      <c r="E22" s="78">
        <v>900</v>
      </c>
      <c r="F22" s="78">
        <v>20</v>
      </c>
      <c r="G22" s="78">
        <f t="shared" si="3"/>
        <v>18000</v>
      </c>
      <c r="H22" s="78">
        <f t="shared" si="0"/>
        <v>2933.9853300733498</v>
      </c>
      <c r="I22" s="3">
        <v>2608</v>
      </c>
      <c r="J22" s="111">
        <f t="shared" si="1"/>
        <v>7651833.740831295</v>
      </c>
      <c r="K22" s="112">
        <v>17000</v>
      </c>
      <c r="L22" s="113">
        <f t="shared" si="2"/>
        <v>15300000</v>
      </c>
      <c r="M22" s="8">
        <f t="shared" si="4"/>
        <v>7648166.259168705</v>
      </c>
    </row>
    <row r="23" spans="2:13" x14ac:dyDescent="0.2">
      <c r="B23" t="s">
        <v>7</v>
      </c>
      <c r="C23" s="78" t="s">
        <v>1098</v>
      </c>
      <c r="D23" s="1">
        <v>6.1349999999999998</v>
      </c>
      <c r="E23" s="78">
        <v>460</v>
      </c>
      <c r="F23" s="78">
        <v>22</v>
      </c>
      <c r="G23" s="78">
        <f t="shared" si="3"/>
        <v>10120</v>
      </c>
      <c r="H23" s="78">
        <f t="shared" si="0"/>
        <v>1649.5517522412388</v>
      </c>
      <c r="I23" s="3">
        <v>2608</v>
      </c>
      <c r="J23" s="111">
        <f t="shared" si="1"/>
        <v>4302030.9698451506</v>
      </c>
      <c r="K23" s="112">
        <v>16000</v>
      </c>
      <c r="L23" s="113">
        <f t="shared" si="2"/>
        <v>7360000</v>
      </c>
      <c r="M23" s="8">
        <f t="shared" si="4"/>
        <v>3057969.0301548494</v>
      </c>
    </row>
    <row r="24" spans="2:13" x14ac:dyDescent="0.2">
      <c r="B24" t="s">
        <v>7</v>
      </c>
      <c r="C24" s="78" t="s">
        <v>1099</v>
      </c>
      <c r="D24" s="1">
        <v>6.1349999999999998</v>
      </c>
      <c r="E24" s="78">
        <v>178</v>
      </c>
      <c r="F24" s="78">
        <v>15</v>
      </c>
      <c r="G24" s="78">
        <f t="shared" si="3"/>
        <v>2670</v>
      </c>
      <c r="H24" s="78">
        <f t="shared" si="0"/>
        <v>435.20782396088021</v>
      </c>
      <c r="I24" s="3">
        <v>2608</v>
      </c>
      <c r="J24" s="111">
        <f t="shared" si="1"/>
        <v>1135022.0048899758</v>
      </c>
      <c r="K24" s="112">
        <v>16000</v>
      </c>
      <c r="L24" s="113">
        <f t="shared" si="2"/>
        <v>2848000</v>
      </c>
      <c r="M24" s="8">
        <f t="shared" si="4"/>
        <v>1712977.9951100242</v>
      </c>
    </row>
    <row r="25" spans="2:13" x14ac:dyDescent="0.2">
      <c r="B25" t="s">
        <v>7</v>
      </c>
      <c r="C25" s="78" t="s">
        <v>1103</v>
      </c>
      <c r="D25" s="1">
        <v>6.1349999999999998</v>
      </c>
      <c r="E25" s="78">
        <v>300</v>
      </c>
      <c r="F25" s="78">
        <v>23</v>
      </c>
      <c r="G25" s="78">
        <f t="shared" si="3"/>
        <v>6900</v>
      </c>
      <c r="H25" s="78">
        <f t="shared" si="0"/>
        <v>1124.6943765281173</v>
      </c>
      <c r="I25" s="3">
        <v>2608</v>
      </c>
      <c r="J25" s="111">
        <f t="shared" si="1"/>
        <v>2933202.9339853302</v>
      </c>
      <c r="K25" s="112">
        <v>17000</v>
      </c>
      <c r="L25" s="113">
        <f t="shared" si="2"/>
        <v>5100000</v>
      </c>
      <c r="M25" s="8">
        <f t="shared" si="4"/>
        <v>2166797.0660146698</v>
      </c>
    </row>
    <row r="26" spans="2:13" x14ac:dyDescent="0.2">
      <c r="B26" t="s">
        <v>7</v>
      </c>
      <c r="C26" s="78" t="s">
        <v>1101</v>
      </c>
      <c r="D26" s="1">
        <v>6.1349999999999998</v>
      </c>
      <c r="E26" s="78">
        <v>211</v>
      </c>
      <c r="F26" s="78">
        <v>14</v>
      </c>
      <c r="G26" s="78">
        <f t="shared" si="3"/>
        <v>2954</v>
      </c>
      <c r="H26" s="78">
        <f t="shared" si="0"/>
        <v>481.4995925020375</v>
      </c>
      <c r="I26" s="3">
        <v>2608</v>
      </c>
      <c r="J26" s="111">
        <f t="shared" si="1"/>
        <v>1255750.9372453138</v>
      </c>
      <c r="K26" s="112">
        <v>17000</v>
      </c>
      <c r="L26" s="113">
        <f t="shared" si="2"/>
        <v>3587000</v>
      </c>
      <c r="M26" s="8">
        <f t="shared" si="4"/>
        <v>2331249.062754686</v>
      </c>
    </row>
    <row r="27" spans="2:13" x14ac:dyDescent="0.2">
      <c r="B27" t="s">
        <v>253</v>
      </c>
      <c r="C27" s="78" t="s">
        <v>1034</v>
      </c>
      <c r="D27" s="1">
        <v>6.1349999999999998</v>
      </c>
      <c r="E27" s="78">
        <v>200</v>
      </c>
      <c r="F27" s="78">
        <v>23.5</v>
      </c>
      <c r="G27" s="78">
        <f t="shared" si="3"/>
        <v>4700</v>
      </c>
      <c r="H27" s="78">
        <f t="shared" si="0"/>
        <v>766.09616951915245</v>
      </c>
      <c r="I27" s="3">
        <v>2608</v>
      </c>
      <c r="J27" s="111">
        <f t="shared" si="1"/>
        <v>1997978.8101059494</v>
      </c>
      <c r="K27" s="112">
        <v>16000</v>
      </c>
      <c r="L27" s="113">
        <f t="shared" si="2"/>
        <v>3200000</v>
      </c>
      <c r="M27" s="8">
        <f t="shared" si="4"/>
        <v>1202021.1898940506</v>
      </c>
    </row>
    <row r="28" spans="2:13" x14ac:dyDescent="0.2">
      <c r="B28" t="s">
        <v>7</v>
      </c>
      <c r="C28" s="78" t="s">
        <v>1102</v>
      </c>
      <c r="D28" s="1">
        <v>6.1349999999999998</v>
      </c>
      <c r="E28" s="78">
        <v>360</v>
      </c>
      <c r="F28" s="78">
        <v>22</v>
      </c>
      <c r="G28" s="78">
        <f t="shared" si="3"/>
        <v>7920</v>
      </c>
      <c r="H28" s="78">
        <f t="shared" si="0"/>
        <v>1290.9535452322739</v>
      </c>
      <c r="I28" s="3">
        <v>2608</v>
      </c>
      <c r="J28" s="111">
        <f t="shared" si="1"/>
        <v>3366806.8459657701</v>
      </c>
      <c r="K28" s="112">
        <v>18000</v>
      </c>
      <c r="L28" s="113">
        <f t="shared" si="2"/>
        <v>6480000</v>
      </c>
      <c r="M28" s="8">
        <f>L28-J28</f>
        <v>3113193.1540342299</v>
      </c>
    </row>
    <row r="29" spans="2:13" x14ac:dyDescent="0.2">
      <c r="D29" s="1"/>
      <c r="E29" s="7">
        <f>SUM(E3:E28)</f>
        <v>10431</v>
      </c>
      <c r="H29" s="124">
        <f>SUM(H3:H28)</f>
        <v>37861.613691931532</v>
      </c>
      <c r="I29" s="3"/>
      <c r="J29" s="128">
        <f>SUM(J3:J28)</f>
        <v>98743088.508557439</v>
      </c>
      <c r="L29" s="95">
        <f>SUM(L3:L28)</f>
        <v>173437000</v>
      </c>
      <c r="M29" s="48">
        <f>SUM(M3:M28)</f>
        <v>74693911.491442531</v>
      </c>
    </row>
    <row r="34" spans="9:10" x14ac:dyDescent="0.2">
      <c r="I34" s="3" t="s">
        <v>25</v>
      </c>
      <c r="J34" s="119">
        <v>98743088</v>
      </c>
    </row>
    <row r="35" spans="9:10" x14ac:dyDescent="0.2">
      <c r="I35" s="3" t="s">
        <v>27</v>
      </c>
      <c r="J35" s="9">
        <v>3950000</v>
      </c>
    </row>
    <row r="36" spans="9:10" x14ac:dyDescent="0.2">
      <c r="I36" s="3" t="s">
        <v>26</v>
      </c>
      <c r="J36" s="3">
        <v>3233920</v>
      </c>
    </row>
    <row r="37" spans="9:10" x14ac:dyDescent="0.2">
      <c r="I37" s="3" t="s">
        <v>33</v>
      </c>
      <c r="J37" s="3">
        <v>4000000</v>
      </c>
    </row>
    <row r="38" spans="9:10" x14ac:dyDescent="0.2">
      <c r="I38" s="3" t="s">
        <v>31</v>
      </c>
      <c r="J38" s="3">
        <v>6350000</v>
      </c>
    </row>
    <row r="39" spans="9:10" x14ac:dyDescent="0.2">
      <c r="I39" s="3" t="s">
        <v>36</v>
      </c>
      <c r="J39" s="3">
        <v>3410000</v>
      </c>
    </row>
    <row r="40" spans="9:10" x14ac:dyDescent="0.2">
      <c r="I40" s="3" t="s">
        <v>29</v>
      </c>
      <c r="J40" s="23">
        <v>9694800</v>
      </c>
    </row>
    <row r="41" spans="9:10" x14ac:dyDescent="0.2">
      <c r="I41" s="3" t="s">
        <v>34</v>
      </c>
      <c r="J41" s="26">
        <f>SUM(J34:J40)</f>
        <v>129381808</v>
      </c>
    </row>
    <row r="42" spans="9:10" x14ac:dyDescent="0.2">
      <c r="I42" s="3" t="s">
        <v>6</v>
      </c>
      <c r="J42" s="127">
        <v>173437000</v>
      </c>
    </row>
    <row r="43" spans="9:10" ht="18" x14ac:dyDescent="0.35">
      <c r="I43" s="3" t="s">
        <v>35</v>
      </c>
      <c r="J43" s="21">
        <f>J42-J41</f>
        <v>44055192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110"/>
  <sheetViews>
    <sheetView topLeftCell="A59" workbookViewId="0">
      <selection activeCell="A72" sqref="A72:M106"/>
    </sheetView>
  </sheetViews>
  <sheetFormatPr baseColWidth="10" defaultRowHeight="15" x14ac:dyDescent="0.2"/>
  <cols>
    <col min="10" max="10" width="14.1640625" customWidth="1"/>
    <col min="11" max="11" width="10.83203125" customWidth="1"/>
    <col min="12" max="12" width="15.33203125" customWidth="1"/>
  </cols>
  <sheetData>
    <row r="1" spans="1:13" ht="31" x14ac:dyDescent="0.35">
      <c r="A1" s="56" t="s">
        <v>1140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2" t="s">
        <v>349</v>
      </c>
      <c r="B3" s="1" t="s">
        <v>7</v>
      </c>
      <c r="C3" s="1" t="s">
        <v>1105</v>
      </c>
      <c r="D3" s="1">
        <v>6.12</v>
      </c>
      <c r="E3" s="1">
        <v>444</v>
      </c>
      <c r="F3" s="1">
        <v>31.5</v>
      </c>
      <c r="G3" s="1">
        <f>E3*F3</f>
        <v>13986</v>
      </c>
      <c r="H3" s="1">
        <f t="shared" ref="H3:H41" si="0">G3/D3</f>
        <v>2285.294117647059</v>
      </c>
      <c r="I3" s="3">
        <v>2650</v>
      </c>
      <c r="J3" s="37">
        <f t="shared" ref="J3:J41" si="1">F3/D3*I3*E3</f>
        <v>6056029.4117647056</v>
      </c>
      <c r="K3" s="3">
        <v>20000</v>
      </c>
      <c r="L3" s="44">
        <f t="shared" ref="L3:L41" si="2">K3*E3</f>
        <v>8880000</v>
      </c>
      <c r="M3" s="3">
        <f t="shared" ref="M3:M41" si="3">L3-J3</f>
        <v>2823970.5882352944</v>
      </c>
    </row>
    <row r="4" spans="1:13" x14ac:dyDescent="0.2">
      <c r="A4" s="2"/>
      <c r="B4" s="1" t="s">
        <v>253</v>
      </c>
      <c r="C4" s="1" t="s">
        <v>1106</v>
      </c>
      <c r="D4" s="1">
        <v>6.12</v>
      </c>
      <c r="E4" s="1">
        <v>495</v>
      </c>
      <c r="F4" s="1">
        <v>24.5</v>
      </c>
      <c r="G4" s="1">
        <f t="shared" ref="G4:G41" si="4">E4*F4</f>
        <v>12127.5</v>
      </c>
      <c r="H4" s="1">
        <f t="shared" si="0"/>
        <v>1981.6176470588234</v>
      </c>
      <c r="I4" s="3">
        <v>2650</v>
      </c>
      <c r="J4" s="37">
        <f t="shared" si="1"/>
        <v>5251286.7647058824</v>
      </c>
      <c r="K4" s="3">
        <v>18000</v>
      </c>
      <c r="L4" s="44">
        <f t="shared" si="2"/>
        <v>8910000</v>
      </c>
      <c r="M4" s="3">
        <f t="shared" si="3"/>
        <v>3658713.2352941176</v>
      </c>
    </row>
    <row r="5" spans="1:13" x14ac:dyDescent="0.2">
      <c r="A5" s="2"/>
      <c r="B5" s="1" t="s">
        <v>253</v>
      </c>
      <c r="C5" s="1" t="s">
        <v>1107</v>
      </c>
      <c r="D5" s="1">
        <v>6.12</v>
      </c>
      <c r="E5" s="1">
        <v>444</v>
      </c>
      <c r="F5" s="1">
        <v>31.5</v>
      </c>
      <c r="G5" s="1">
        <f t="shared" si="4"/>
        <v>13986</v>
      </c>
      <c r="H5" s="1">
        <f t="shared" si="0"/>
        <v>2285.294117647059</v>
      </c>
      <c r="I5" s="3">
        <v>2650</v>
      </c>
      <c r="J5" s="37">
        <f t="shared" si="1"/>
        <v>6056029.4117647056</v>
      </c>
      <c r="K5" s="29">
        <v>20000</v>
      </c>
      <c r="L5" s="64">
        <f t="shared" si="2"/>
        <v>8880000</v>
      </c>
      <c r="M5" s="29">
        <f t="shared" si="3"/>
        <v>2823970.5882352944</v>
      </c>
    </row>
    <row r="6" spans="1:13" x14ac:dyDescent="0.2">
      <c r="A6" s="2"/>
      <c r="B6" s="1" t="s">
        <v>253</v>
      </c>
      <c r="C6" s="1" t="s">
        <v>1108</v>
      </c>
      <c r="D6" s="1">
        <v>6.12</v>
      </c>
      <c r="E6" s="1">
        <v>1039</v>
      </c>
      <c r="F6" s="1">
        <v>32</v>
      </c>
      <c r="G6" s="1">
        <f>F6*E6</f>
        <v>33248</v>
      </c>
      <c r="H6" s="1">
        <f>G6/D6</f>
        <v>5432.6797385620912</v>
      </c>
      <c r="I6" s="3">
        <v>2650</v>
      </c>
      <c r="J6" s="37">
        <f>F6/D6*E6*I6</f>
        <v>14396601.307189541</v>
      </c>
      <c r="K6" s="29">
        <v>20000</v>
      </c>
      <c r="L6" s="64">
        <f t="shared" si="2"/>
        <v>20780000</v>
      </c>
      <c r="M6" s="29">
        <f>L6-J6</f>
        <v>6383398.6928104591</v>
      </c>
    </row>
    <row r="7" spans="1:13" x14ac:dyDescent="0.2">
      <c r="A7" s="1"/>
      <c r="B7" s="1" t="s">
        <v>253</v>
      </c>
      <c r="C7" s="1" t="s">
        <v>1108</v>
      </c>
      <c r="D7" s="1">
        <v>6.12</v>
      </c>
      <c r="E7" s="1">
        <v>1015</v>
      </c>
      <c r="F7" s="1">
        <v>32</v>
      </c>
      <c r="G7" s="1">
        <f t="shared" si="4"/>
        <v>32480</v>
      </c>
      <c r="H7" s="1">
        <f t="shared" si="0"/>
        <v>5307.1895424836603</v>
      </c>
      <c r="I7" s="3">
        <v>2650</v>
      </c>
      <c r="J7" s="37">
        <f t="shared" si="1"/>
        <v>14064052.287581701</v>
      </c>
      <c r="K7" s="29">
        <v>20000</v>
      </c>
      <c r="L7" s="64">
        <f t="shared" si="2"/>
        <v>20300000</v>
      </c>
      <c r="M7" s="29">
        <f t="shared" si="3"/>
        <v>6235947.7124182992</v>
      </c>
    </row>
    <row r="8" spans="1:13" x14ac:dyDescent="0.2">
      <c r="A8" s="1"/>
      <c r="B8" s="1" t="s">
        <v>7</v>
      </c>
      <c r="C8" s="1" t="s">
        <v>1109</v>
      </c>
      <c r="D8" s="1">
        <v>6.12</v>
      </c>
      <c r="E8" s="1">
        <v>200</v>
      </c>
      <c r="F8" s="1">
        <v>26</v>
      </c>
      <c r="G8" s="1">
        <f t="shared" si="4"/>
        <v>5200</v>
      </c>
      <c r="H8" s="1">
        <f t="shared" si="0"/>
        <v>849.67320261437908</v>
      </c>
      <c r="I8" s="3">
        <v>2650</v>
      </c>
      <c r="J8" s="37">
        <f t="shared" si="1"/>
        <v>2251633.9869281044</v>
      </c>
      <c r="K8" s="29">
        <v>18000</v>
      </c>
      <c r="L8" s="64">
        <f t="shared" si="2"/>
        <v>3600000</v>
      </c>
      <c r="M8" s="29">
        <f t="shared" si="3"/>
        <v>1348366.0130718956</v>
      </c>
    </row>
    <row r="9" spans="1:13" x14ac:dyDescent="0.2">
      <c r="A9" s="1"/>
      <c r="B9" s="1" t="s">
        <v>253</v>
      </c>
      <c r="C9" s="1" t="s">
        <v>1110</v>
      </c>
      <c r="D9" s="1">
        <v>6.12</v>
      </c>
      <c r="E9" s="1">
        <v>100</v>
      </c>
      <c r="F9" s="1">
        <v>29</v>
      </c>
      <c r="G9" s="1">
        <f t="shared" si="4"/>
        <v>2900</v>
      </c>
      <c r="H9" s="1">
        <f t="shared" si="0"/>
        <v>473.85620915032678</v>
      </c>
      <c r="I9" s="3">
        <v>2650</v>
      </c>
      <c r="J9" s="37">
        <f t="shared" si="1"/>
        <v>1255718.9542483659</v>
      </c>
      <c r="K9" s="29">
        <v>18000</v>
      </c>
      <c r="L9" s="64">
        <f t="shared" si="2"/>
        <v>1800000</v>
      </c>
      <c r="M9" s="29">
        <f t="shared" si="3"/>
        <v>544281.04575163405</v>
      </c>
    </row>
    <row r="10" spans="1:13" x14ac:dyDescent="0.2">
      <c r="A10" s="1"/>
      <c r="B10" s="1" t="s">
        <v>253</v>
      </c>
      <c r="C10" s="1" t="s">
        <v>1111</v>
      </c>
      <c r="D10" s="1">
        <v>6.12</v>
      </c>
      <c r="E10" s="1">
        <v>200</v>
      </c>
      <c r="F10" s="1">
        <v>27</v>
      </c>
      <c r="G10" s="1">
        <f t="shared" si="4"/>
        <v>5400</v>
      </c>
      <c r="H10" s="1">
        <f t="shared" si="0"/>
        <v>882.35294117647061</v>
      </c>
      <c r="I10" s="3">
        <v>2650</v>
      </c>
      <c r="J10" s="37">
        <f t="shared" si="1"/>
        <v>2338235.2941176472</v>
      </c>
      <c r="K10" s="29">
        <v>18000</v>
      </c>
      <c r="L10" s="64">
        <f t="shared" si="2"/>
        <v>3600000</v>
      </c>
      <c r="M10" s="29">
        <f t="shared" si="3"/>
        <v>1261764.7058823528</v>
      </c>
    </row>
    <row r="11" spans="1:13" x14ac:dyDescent="0.2">
      <c r="A11" s="1"/>
      <c r="B11" s="1" t="s">
        <v>253</v>
      </c>
      <c r="C11" s="1" t="s">
        <v>1112</v>
      </c>
      <c r="D11" s="1">
        <v>6.12</v>
      </c>
      <c r="E11" s="1">
        <v>200</v>
      </c>
      <c r="F11" s="1">
        <v>30</v>
      </c>
      <c r="G11" s="1">
        <f t="shared" si="4"/>
        <v>6000</v>
      </c>
      <c r="H11" s="1">
        <f t="shared" si="0"/>
        <v>980.39215686274508</v>
      </c>
      <c r="I11" s="3">
        <v>2650</v>
      </c>
      <c r="J11" s="37">
        <f t="shared" si="1"/>
        <v>2598039.2156862747</v>
      </c>
      <c r="K11" s="29">
        <v>20000</v>
      </c>
      <c r="L11" s="64">
        <f t="shared" si="2"/>
        <v>4000000</v>
      </c>
      <c r="M11" s="29">
        <f t="shared" si="3"/>
        <v>1401960.7843137253</v>
      </c>
    </row>
    <row r="12" spans="1:13" x14ac:dyDescent="0.2">
      <c r="A12" s="1"/>
      <c r="B12" s="1" t="s">
        <v>253</v>
      </c>
      <c r="C12" s="1" t="s">
        <v>1113</v>
      </c>
      <c r="D12" s="1">
        <v>6.12</v>
      </c>
      <c r="E12" s="1">
        <v>200</v>
      </c>
      <c r="F12" s="1">
        <v>25</v>
      </c>
      <c r="G12" s="1">
        <f t="shared" si="4"/>
        <v>5000</v>
      </c>
      <c r="H12" s="1">
        <f t="shared" si="0"/>
        <v>816.99346405228755</v>
      </c>
      <c r="I12" s="3">
        <v>2650</v>
      </c>
      <c r="J12" s="37">
        <f t="shared" si="1"/>
        <v>2165032.6797385621</v>
      </c>
      <c r="K12" s="29">
        <v>18000</v>
      </c>
      <c r="L12" s="64">
        <f t="shared" si="2"/>
        <v>3600000</v>
      </c>
      <c r="M12" s="29">
        <f t="shared" si="3"/>
        <v>1434967.3202614379</v>
      </c>
    </row>
    <row r="13" spans="1:13" x14ac:dyDescent="0.2">
      <c r="A13" s="1"/>
      <c r="B13" s="1" t="s">
        <v>7</v>
      </c>
      <c r="C13" s="1" t="s">
        <v>1114</v>
      </c>
      <c r="D13" s="1">
        <v>6.12</v>
      </c>
      <c r="E13" s="1">
        <v>530</v>
      </c>
      <c r="F13" s="1">
        <v>20</v>
      </c>
      <c r="G13" s="1">
        <f t="shared" si="4"/>
        <v>10600</v>
      </c>
      <c r="H13" s="1">
        <f t="shared" si="0"/>
        <v>1732.0261437908496</v>
      </c>
      <c r="I13" s="3">
        <v>2650</v>
      </c>
      <c r="J13" s="37">
        <f t="shared" si="1"/>
        <v>4589869.2810457516</v>
      </c>
      <c r="K13" s="29">
        <v>18000</v>
      </c>
      <c r="L13" s="64">
        <f t="shared" si="2"/>
        <v>9540000</v>
      </c>
      <c r="M13" s="29">
        <f t="shared" si="3"/>
        <v>4950130.7189542484</v>
      </c>
    </row>
    <row r="14" spans="1:13" x14ac:dyDescent="0.2">
      <c r="A14" s="1"/>
      <c r="B14" s="1" t="s">
        <v>7</v>
      </c>
      <c r="C14" s="1" t="s">
        <v>1115</v>
      </c>
      <c r="D14" s="1">
        <v>6.12</v>
      </c>
      <c r="E14" s="1">
        <v>523</v>
      </c>
      <c r="F14" s="1">
        <v>25</v>
      </c>
      <c r="G14" s="1">
        <f t="shared" si="4"/>
        <v>13075</v>
      </c>
      <c r="H14" s="1">
        <f t="shared" si="0"/>
        <v>2136.4379084967318</v>
      </c>
      <c r="I14" s="3">
        <v>2650</v>
      </c>
      <c r="J14" s="37">
        <f t="shared" si="1"/>
        <v>5661560.4575163396</v>
      </c>
      <c r="K14" s="29">
        <v>17000</v>
      </c>
      <c r="L14" s="64">
        <f t="shared" si="2"/>
        <v>8891000</v>
      </c>
      <c r="M14" s="29">
        <f t="shared" si="3"/>
        <v>3229439.5424836604</v>
      </c>
    </row>
    <row r="15" spans="1:13" x14ac:dyDescent="0.2">
      <c r="A15" s="1"/>
      <c r="B15" s="1" t="s">
        <v>253</v>
      </c>
      <c r="C15" s="1" t="s">
        <v>380</v>
      </c>
      <c r="D15" s="1">
        <v>6.12</v>
      </c>
      <c r="E15" s="1">
        <v>300</v>
      </c>
      <c r="F15" s="1">
        <v>31</v>
      </c>
      <c r="G15" s="1">
        <f t="shared" si="4"/>
        <v>9300</v>
      </c>
      <c r="H15" s="1">
        <f t="shared" si="0"/>
        <v>1519.6078431372548</v>
      </c>
      <c r="I15" s="3">
        <v>2650</v>
      </c>
      <c r="J15" s="37">
        <f t="shared" si="1"/>
        <v>4026960.7843137253</v>
      </c>
      <c r="K15" s="29">
        <v>20000</v>
      </c>
      <c r="L15" s="64">
        <f t="shared" si="2"/>
        <v>6000000</v>
      </c>
      <c r="M15" s="29">
        <f t="shared" si="3"/>
        <v>1973039.2156862747</v>
      </c>
    </row>
    <row r="16" spans="1:13" x14ac:dyDescent="0.2">
      <c r="A16" s="1"/>
      <c r="B16" s="1" t="s">
        <v>253</v>
      </c>
      <c r="C16" s="1" t="s">
        <v>1116</v>
      </c>
      <c r="D16" s="1">
        <v>6.12</v>
      </c>
      <c r="E16" s="1">
        <v>207</v>
      </c>
      <c r="F16" s="1">
        <v>30</v>
      </c>
      <c r="G16" s="1">
        <f t="shared" si="4"/>
        <v>6210</v>
      </c>
      <c r="H16" s="1">
        <f t="shared" si="0"/>
        <v>1014.7058823529411</v>
      </c>
      <c r="I16" s="3">
        <v>2650</v>
      </c>
      <c r="J16" s="37">
        <f t="shared" si="1"/>
        <v>2688970.5882352944</v>
      </c>
      <c r="K16" s="29">
        <v>20000</v>
      </c>
      <c r="L16" s="64">
        <f t="shared" si="2"/>
        <v>4140000</v>
      </c>
      <c r="M16" s="29">
        <f t="shared" si="3"/>
        <v>1451029.4117647056</v>
      </c>
    </row>
    <row r="17" spans="1:13" x14ac:dyDescent="0.2">
      <c r="A17" s="1"/>
      <c r="B17" s="1" t="s">
        <v>253</v>
      </c>
      <c r="C17" s="1" t="s">
        <v>1117</v>
      </c>
      <c r="D17" s="1">
        <v>6.12</v>
      </c>
      <c r="E17" s="1">
        <v>200</v>
      </c>
      <c r="F17" s="1">
        <v>30</v>
      </c>
      <c r="G17" s="1">
        <f t="shared" si="4"/>
        <v>6000</v>
      </c>
      <c r="H17" s="1">
        <f t="shared" si="0"/>
        <v>980.39215686274508</v>
      </c>
      <c r="I17" s="3">
        <v>2650</v>
      </c>
      <c r="J17" s="37">
        <f t="shared" si="1"/>
        <v>2598039.2156862747</v>
      </c>
      <c r="K17" s="29">
        <v>20000</v>
      </c>
      <c r="L17" s="64">
        <f t="shared" si="2"/>
        <v>4000000</v>
      </c>
      <c r="M17" s="29">
        <f t="shared" si="3"/>
        <v>1401960.7843137253</v>
      </c>
    </row>
    <row r="18" spans="1:13" x14ac:dyDescent="0.2">
      <c r="A18" s="1"/>
      <c r="B18" s="1" t="s">
        <v>7</v>
      </c>
      <c r="C18" s="1" t="s">
        <v>1118</v>
      </c>
      <c r="D18" s="1">
        <v>6.12</v>
      </c>
      <c r="E18" s="1">
        <v>200</v>
      </c>
      <c r="F18" s="1">
        <v>20</v>
      </c>
      <c r="G18" s="1">
        <f t="shared" si="4"/>
        <v>4000</v>
      </c>
      <c r="H18" s="1">
        <f t="shared" si="0"/>
        <v>653.59477124183002</v>
      </c>
      <c r="I18" s="3">
        <v>2650</v>
      </c>
      <c r="J18" s="37">
        <f t="shared" si="1"/>
        <v>1732026.1437908495</v>
      </c>
      <c r="K18" s="29">
        <v>15000</v>
      </c>
      <c r="L18" s="64">
        <f t="shared" si="2"/>
        <v>3000000</v>
      </c>
      <c r="M18" s="29">
        <f t="shared" si="3"/>
        <v>1267973.8562091505</v>
      </c>
    </row>
    <row r="19" spans="1:13" x14ac:dyDescent="0.2">
      <c r="A19" s="1"/>
      <c r="B19" s="1" t="s">
        <v>253</v>
      </c>
      <c r="C19" s="1" t="s">
        <v>1119</v>
      </c>
      <c r="D19" s="1">
        <v>6.12</v>
      </c>
      <c r="E19" s="1">
        <v>200</v>
      </c>
      <c r="F19" s="1">
        <v>20.5</v>
      </c>
      <c r="G19" s="1">
        <f t="shared" si="4"/>
        <v>4100</v>
      </c>
      <c r="H19" s="1">
        <f t="shared" si="0"/>
        <v>669.93464052287584</v>
      </c>
      <c r="I19" s="3">
        <v>2650</v>
      </c>
      <c r="J19" s="37">
        <f t="shared" si="1"/>
        <v>1775326.7973856211</v>
      </c>
      <c r="K19" s="29">
        <v>15000</v>
      </c>
      <c r="L19" s="64">
        <f t="shared" si="2"/>
        <v>3000000</v>
      </c>
      <c r="M19" s="29">
        <f t="shared" si="3"/>
        <v>1224673.2026143789</v>
      </c>
    </row>
    <row r="20" spans="1:13" x14ac:dyDescent="0.2">
      <c r="A20" s="1"/>
      <c r="B20" s="1" t="s">
        <v>253</v>
      </c>
      <c r="C20" s="1" t="s">
        <v>1120</v>
      </c>
      <c r="D20" s="1">
        <v>6.12</v>
      </c>
      <c r="E20" s="1">
        <v>200</v>
      </c>
      <c r="F20" s="1">
        <v>22.5</v>
      </c>
      <c r="G20" s="1">
        <f t="shared" si="4"/>
        <v>4500</v>
      </c>
      <c r="H20" s="1">
        <f t="shared" si="0"/>
        <v>735.29411764705878</v>
      </c>
      <c r="I20" s="3">
        <v>2650</v>
      </c>
      <c r="J20" s="37">
        <f t="shared" si="1"/>
        <v>1948529.411764706</v>
      </c>
      <c r="K20" s="29">
        <v>15000</v>
      </c>
      <c r="L20" s="64">
        <f t="shared" si="2"/>
        <v>3000000</v>
      </c>
      <c r="M20" s="29">
        <f t="shared" si="3"/>
        <v>1051470.588235294</v>
      </c>
    </row>
    <row r="21" spans="1:13" x14ac:dyDescent="0.2">
      <c r="A21" s="1"/>
      <c r="B21" s="1" t="s">
        <v>253</v>
      </c>
      <c r="C21" s="1" t="s">
        <v>1121</v>
      </c>
      <c r="D21" s="1">
        <v>6.12</v>
      </c>
      <c r="E21" s="1">
        <v>150</v>
      </c>
      <c r="F21" s="1">
        <v>20</v>
      </c>
      <c r="G21" s="1">
        <f>E21*F21</f>
        <v>3000</v>
      </c>
      <c r="H21" s="1">
        <f>G21/D21</f>
        <v>490.19607843137254</v>
      </c>
      <c r="I21" s="3">
        <v>2650</v>
      </c>
      <c r="J21" s="37">
        <f>F21/D21*I21*E21</f>
        <v>1299019.6078431371</v>
      </c>
      <c r="K21" s="29">
        <v>15000</v>
      </c>
      <c r="L21" s="64">
        <f t="shared" si="2"/>
        <v>2250000</v>
      </c>
      <c r="M21" s="29">
        <f>L21-J21</f>
        <v>950980.39215686289</v>
      </c>
    </row>
    <row r="22" spans="1:13" x14ac:dyDescent="0.2">
      <c r="A22" s="1"/>
      <c r="B22" s="1" t="s">
        <v>253</v>
      </c>
      <c r="C22" s="1" t="s">
        <v>1122</v>
      </c>
      <c r="D22" s="1">
        <v>6.12</v>
      </c>
      <c r="E22" s="1">
        <v>150</v>
      </c>
      <c r="F22" s="1">
        <v>20</v>
      </c>
      <c r="G22" s="1">
        <f>E22*F22</f>
        <v>3000</v>
      </c>
      <c r="H22" s="1">
        <f>G22/D22</f>
        <v>490.19607843137254</v>
      </c>
      <c r="I22" s="3">
        <v>2650</v>
      </c>
      <c r="J22" s="37">
        <f>F22/D22*I22*E22</f>
        <v>1299019.6078431371</v>
      </c>
      <c r="K22" s="29">
        <v>15000</v>
      </c>
      <c r="L22" s="64">
        <f t="shared" si="2"/>
        <v>2250000</v>
      </c>
      <c r="M22" s="29">
        <f>L22-J22</f>
        <v>950980.39215686289</v>
      </c>
    </row>
    <row r="23" spans="1:13" x14ac:dyDescent="0.2">
      <c r="A23" s="1"/>
      <c r="B23" s="1"/>
      <c r="C23" s="1" t="s">
        <v>1137</v>
      </c>
      <c r="D23" s="1">
        <v>6.12</v>
      </c>
      <c r="E23" s="1">
        <v>700</v>
      </c>
      <c r="F23" s="1">
        <v>25.5</v>
      </c>
      <c r="G23" s="1">
        <f>E23*F23</f>
        <v>17850</v>
      </c>
      <c r="H23" s="1">
        <f>G23/D23</f>
        <v>2916.6666666666665</v>
      </c>
      <c r="I23" s="3">
        <v>2650</v>
      </c>
      <c r="J23" s="37">
        <f>F23/D23*I23*E23</f>
        <v>7729166.6666666679</v>
      </c>
      <c r="K23" s="29">
        <v>17000</v>
      </c>
      <c r="L23" s="64">
        <f t="shared" si="2"/>
        <v>11900000</v>
      </c>
      <c r="M23" s="29">
        <f>L23-J23</f>
        <v>4170833.3333333321</v>
      </c>
    </row>
    <row r="24" spans="1:13" x14ac:dyDescent="0.2">
      <c r="A24" s="1"/>
      <c r="B24" s="1" t="s">
        <v>7</v>
      </c>
      <c r="C24" s="1" t="s">
        <v>1135</v>
      </c>
      <c r="D24" s="1">
        <v>6.12</v>
      </c>
      <c r="E24" s="1">
        <v>450</v>
      </c>
      <c r="F24" s="1">
        <v>25</v>
      </c>
      <c r="G24" s="1">
        <f t="shared" si="4"/>
        <v>11250</v>
      </c>
      <c r="H24" s="1">
        <f t="shared" si="0"/>
        <v>1838.2352941176471</v>
      </c>
      <c r="I24" s="3">
        <v>2650</v>
      </c>
      <c r="J24" s="37">
        <f t="shared" si="1"/>
        <v>4871323.5294117648</v>
      </c>
      <c r="K24" s="29">
        <v>17000</v>
      </c>
      <c r="L24" s="64">
        <f t="shared" si="2"/>
        <v>7650000</v>
      </c>
      <c r="M24" s="29">
        <f t="shared" si="3"/>
        <v>2778676.4705882352</v>
      </c>
    </row>
    <row r="25" spans="1:13" x14ac:dyDescent="0.2">
      <c r="A25" s="1"/>
      <c r="B25" s="1"/>
      <c r="C25" s="1" t="s">
        <v>253</v>
      </c>
      <c r="D25" s="1">
        <v>6.12</v>
      </c>
      <c r="E25" s="1">
        <v>200</v>
      </c>
      <c r="F25" s="1">
        <v>26</v>
      </c>
      <c r="G25" s="1">
        <f t="shared" si="4"/>
        <v>5200</v>
      </c>
      <c r="H25" s="1">
        <f t="shared" si="0"/>
        <v>849.67320261437908</v>
      </c>
      <c r="I25" s="3">
        <v>2650</v>
      </c>
      <c r="J25" s="37">
        <f t="shared" si="1"/>
        <v>2251633.9869281044</v>
      </c>
      <c r="K25" s="29">
        <v>18000</v>
      </c>
      <c r="L25" s="64">
        <f t="shared" si="2"/>
        <v>3600000</v>
      </c>
      <c r="M25" s="29">
        <f t="shared" si="3"/>
        <v>1348366.0130718956</v>
      </c>
    </row>
    <row r="26" spans="1:13" x14ac:dyDescent="0.2">
      <c r="A26" s="1"/>
      <c r="B26" s="1"/>
      <c r="C26" s="1" t="s">
        <v>253</v>
      </c>
      <c r="D26" s="1">
        <v>6.12</v>
      </c>
      <c r="E26" s="1">
        <v>200</v>
      </c>
      <c r="F26" s="1">
        <v>36</v>
      </c>
      <c r="G26" s="1">
        <f t="shared" si="4"/>
        <v>7200</v>
      </c>
      <c r="H26" s="1">
        <f t="shared" si="0"/>
        <v>1176.4705882352941</v>
      </c>
      <c r="I26" s="3">
        <v>2650</v>
      </c>
      <c r="J26" s="37">
        <f t="shared" si="1"/>
        <v>3117647.0588235292</v>
      </c>
      <c r="K26" s="29">
        <v>25000</v>
      </c>
      <c r="L26" s="64">
        <f t="shared" si="2"/>
        <v>5000000</v>
      </c>
      <c r="M26" s="29">
        <f t="shared" si="3"/>
        <v>1882352.9411764708</v>
      </c>
    </row>
    <row r="27" spans="1:13" x14ac:dyDescent="0.2">
      <c r="A27" s="1"/>
      <c r="B27" s="1" t="s">
        <v>1125</v>
      </c>
      <c r="C27" s="1" t="s">
        <v>1126</v>
      </c>
      <c r="D27" s="1">
        <v>6.12</v>
      </c>
      <c r="E27" s="1">
        <v>300</v>
      </c>
      <c r="F27" s="1">
        <v>37</v>
      </c>
      <c r="G27" s="1">
        <f t="shared" si="4"/>
        <v>11100</v>
      </c>
      <c r="H27" s="1">
        <f t="shared" si="0"/>
        <v>1813.7254901960785</v>
      </c>
      <c r="I27" s="3">
        <v>2650</v>
      </c>
      <c r="J27" s="37">
        <f t="shared" si="1"/>
        <v>4806372.5490196077</v>
      </c>
      <c r="K27" s="29">
        <v>25000</v>
      </c>
      <c r="L27" s="64">
        <f t="shared" si="2"/>
        <v>7500000</v>
      </c>
      <c r="M27" s="29">
        <f t="shared" si="3"/>
        <v>2693627.4509803923</v>
      </c>
    </row>
    <row r="28" spans="1:13" x14ac:dyDescent="0.2">
      <c r="A28" s="1"/>
      <c r="B28" s="1"/>
      <c r="C28" s="1" t="s">
        <v>253</v>
      </c>
      <c r="D28" s="1">
        <v>6.12</v>
      </c>
      <c r="E28" s="1">
        <v>500</v>
      </c>
      <c r="F28" s="1">
        <v>36</v>
      </c>
      <c r="G28" s="1">
        <f t="shared" si="4"/>
        <v>18000</v>
      </c>
      <c r="H28" s="1">
        <f t="shared" si="0"/>
        <v>2941.1764705882351</v>
      </c>
      <c r="I28" s="3">
        <v>2650</v>
      </c>
      <c r="J28" s="37">
        <f t="shared" si="1"/>
        <v>7794117.6470588222</v>
      </c>
      <c r="K28" s="29">
        <v>25000</v>
      </c>
      <c r="L28" s="64">
        <f t="shared" si="2"/>
        <v>12500000</v>
      </c>
      <c r="M28" s="29">
        <f t="shared" si="3"/>
        <v>4705882.3529411778</v>
      </c>
    </row>
    <row r="29" spans="1:13" x14ac:dyDescent="0.2">
      <c r="A29" s="1"/>
      <c r="B29" s="1" t="s">
        <v>7</v>
      </c>
      <c r="C29" s="1" t="s">
        <v>1127</v>
      </c>
      <c r="D29" s="1">
        <v>6.12</v>
      </c>
      <c r="E29" s="1">
        <v>762</v>
      </c>
      <c r="F29" s="1">
        <v>22</v>
      </c>
      <c r="G29" s="1">
        <f t="shared" si="4"/>
        <v>16764</v>
      </c>
      <c r="H29" s="1">
        <f t="shared" si="0"/>
        <v>2739.2156862745096</v>
      </c>
      <c r="I29" s="3">
        <v>2650</v>
      </c>
      <c r="J29" s="37">
        <f t="shared" si="1"/>
        <v>7258921.5686274515</v>
      </c>
      <c r="K29" s="29">
        <v>17000</v>
      </c>
      <c r="L29" s="64">
        <f t="shared" si="2"/>
        <v>12954000</v>
      </c>
      <c r="M29" s="29">
        <f t="shared" si="3"/>
        <v>5695078.4313725485</v>
      </c>
    </row>
    <row r="30" spans="1:13" x14ac:dyDescent="0.2">
      <c r="A30" s="1"/>
      <c r="B30" s="1" t="s">
        <v>7</v>
      </c>
      <c r="C30" s="1" t="s">
        <v>1128</v>
      </c>
      <c r="D30" s="1">
        <v>6.12</v>
      </c>
      <c r="E30" s="1">
        <v>350</v>
      </c>
      <c r="F30" s="1">
        <v>20</v>
      </c>
      <c r="G30" s="1">
        <f t="shared" si="4"/>
        <v>7000</v>
      </c>
      <c r="H30" s="1">
        <f t="shared" si="0"/>
        <v>1143.7908496732025</v>
      </c>
      <c r="I30" s="3">
        <v>2650</v>
      </c>
      <c r="J30" s="37">
        <f t="shared" si="1"/>
        <v>3031045.7516339868</v>
      </c>
      <c r="K30" s="29">
        <v>16000</v>
      </c>
      <c r="L30" s="64">
        <f t="shared" si="2"/>
        <v>5600000</v>
      </c>
      <c r="M30" s="29">
        <f t="shared" si="3"/>
        <v>2568954.2483660132</v>
      </c>
    </row>
    <row r="31" spans="1:13" x14ac:dyDescent="0.2">
      <c r="A31" s="1"/>
      <c r="B31" s="1" t="s">
        <v>253</v>
      </c>
      <c r="C31" s="1" t="s">
        <v>1139</v>
      </c>
      <c r="D31" s="1">
        <v>6.12</v>
      </c>
      <c r="E31" s="1">
        <v>157</v>
      </c>
      <c r="F31" s="1">
        <v>15</v>
      </c>
      <c r="G31" s="1">
        <f t="shared" si="4"/>
        <v>2355</v>
      </c>
      <c r="H31" s="1">
        <f t="shared" si="0"/>
        <v>384.80392156862746</v>
      </c>
      <c r="I31" s="3">
        <v>2650</v>
      </c>
      <c r="J31" s="37">
        <f t="shared" si="1"/>
        <v>1019730.3921568629</v>
      </c>
      <c r="K31" s="29">
        <v>17000</v>
      </c>
      <c r="L31" s="64">
        <f t="shared" si="2"/>
        <v>2669000</v>
      </c>
      <c r="M31" s="29">
        <f t="shared" si="3"/>
        <v>1649269.6078431371</v>
      </c>
    </row>
    <row r="32" spans="1:13" x14ac:dyDescent="0.2">
      <c r="A32" s="1"/>
      <c r="B32" s="1" t="s">
        <v>253</v>
      </c>
      <c r="C32" s="1" t="s">
        <v>1129</v>
      </c>
      <c r="D32" s="1">
        <v>6.12</v>
      </c>
      <c r="E32" s="1">
        <v>300</v>
      </c>
      <c r="F32" s="1">
        <v>25</v>
      </c>
      <c r="G32" s="1">
        <f t="shared" si="4"/>
        <v>7500</v>
      </c>
      <c r="H32" s="1">
        <f t="shared" si="0"/>
        <v>1225.4901960784314</v>
      </c>
      <c r="I32" s="3">
        <v>2650</v>
      </c>
      <c r="J32" s="37">
        <f t="shared" si="1"/>
        <v>3247549.0196078429</v>
      </c>
      <c r="K32" s="29">
        <v>18000</v>
      </c>
      <c r="L32" s="64">
        <f t="shared" si="2"/>
        <v>5400000</v>
      </c>
      <c r="M32" s="29">
        <f t="shared" si="3"/>
        <v>2152450.9803921571</v>
      </c>
    </row>
    <row r="33" spans="1:13" x14ac:dyDescent="0.2">
      <c r="A33" s="1"/>
      <c r="B33" s="1" t="s">
        <v>253</v>
      </c>
      <c r="C33" s="1" t="s">
        <v>1130</v>
      </c>
      <c r="D33" s="1">
        <v>6.12</v>
      </c>
      <c r="E33" s="1">
        <v>710</v>
      </c>
      <c r="F33" s="1">
        <v>11</v>
      </c>
      <c r="G33" s="1">
        <f t="shared" si="4"/>
        <v>7810</v>
      </c>
      <c r="H33" s="1">
        <f t="shared" si="0"/>
        <v>1276.1437908496732</v>
      </c>
      <c r="I33" s="3">
        <v>2650</v>
      </c>
      <c r="J33" s="37">
        <f t="shared" si="1"/>
        <v>3381781.0457516341</v>
      </c>
      <c r="K33" s="29">
        <v>16000</v>
      </c>
      <c r="L33" s="64">
        <f t="shared" si="2"/>
        <v>11360000</v>
      </c>
      <c r="M33" s="29">
        <f t="shared" si="3"/>
        <v>7978218.9542483659</v>
      </c>
    </row>
    <row r="34" spans="1:13" x14ac:dyDescent="0.2">
      <c r="A34" s="1"/>
      <c r="B34" s="1" t="s">
        <v>253</v>
      </c>
      <c r="C34" s="1" t="s">
        <v>1131</v>
      </c>
      <c r="D34" s="1">
        <v>6.12</v>
      </c>
      <c r="E34" s="1">
        <v>343</v>
      </c>
      <c r="F34" s="1">
        <v>15</v>
      </c>
      <c r="G34" s="1">
        <f t="shared" si="4"/>
        <v>5145</v>
      </c>
      <c r="H34" s="1">
        <f t="shared" si="0"/>
        <v>840.68627450980387</v>
      </c>
      <c r="I34" s="3">
        <v>2650</v>
      </c>
      <c r="J34" s="37">
        <f t="shared" si="1"/>
        <v>2227818.6274509807</v>
      </c>
      <c r="K34" s="29">
        <v>17000</v>
      </c>
      <c r="L34" s="64">
        <f t="shared" si="2"/>
        <v>5831000</v>
      </c>
      <c r="M34" s="29">
        <f t="shared" si="3"/>
        <v>3603181.3725490193</v>
      </c>
    </row>
    <row r="35" spans="1:13" x14ac:dyDescent="0.2">
      <c r="A35" s="1"/>
      <c r="B35" s="1" t="s">
        <v>253</v>
      </c>
      <c r="C35" s="1" t="s">
        <v>1132</v>
      </c>
      <c r="D35" s="1">
        <v>6.12</v>
      </c>
      <c r="E35" s="1">
        <v>360</v>
      </c>
      <c r="F35" s="1">
        <v>21</v>
      </c>
      <c r="G35" s="1">
        <f t="shared" si="4"/>
        <v>7560</v>
      </c>
      <c r="H35" s="1">
        <f t="shared" si="0"/>
        <v>1235.2941176470588</v>
      </c>
      <c r="I35" s="3">
        <v>2650</v>
      </c>
      <c r="J35" s="37">
        <f t="shared" si="1"/>
        <v>3273529.4117647056</v>
      </c>
      <c r="K35" s="29">
        <v>18000</v>
      </c>
      <c r="L35" s="64">
        <f t="shared" si="2"/>
        <v>6480000</v>
      </c>
      <c r="M35" s="29">
        <f t="shared" si="3"/>
        <v>3206470.5882352944</v>
      </c>
    </row>
    <row r="36" spans="1:13" x14ac:dyDescent="0.2">
      <c r="A36" s="1"/>
      <c r="B36" s="1" t="s">
        <v>1133</v>
      </c>
      <c r="C36" s="1" t="s">
        <v>1134</v>
      </c>
      <c r="D36" s="1">
        <v>6.12</v>
      </c>
      <c r="E36" s="1">
        <v>200</v>
      </c>
      <c r="F36" s="1">
        <v>12</v>
      </c>
      <c r="G36" s="1">
        <f t="shared" si="4"/>
        <v>2400</v>
      </c>
      <c r="H36" s="1">
        <f t="shared" si="0"/>
        <v>392.15686274509801</v>
      </c>
      <c r="I36" s="3">
        <v>2650</v>
      </c>
      <c r="J36" s="37">
        <f t="shared" si="1"/>
        <v>1039215.6862745098</v>
      </c>
      <c r="K36" s="29">
        <v>15000</v>
      </c>
      <c r="L36" s="64">
        <f t="shared" si="2"/>
        <v>3000000</v>
      </c>
      <c r="M36" s="29">
        <f t="shared" si="3"/>
        <v>1960784.3137254901</v>
      </c>
    </row>
    <row r="37" spans="1:13" x14ac:dyDescent="0.2">
      <c r="A37" s="1"/>
      <c r="B37" s="1" t="s">
        <v>7</v>
      </c>
      <c r="C37" s="1" t="s">
        <v>1138</v>
      </c>
      <c r="D37" s="1">
        <v>6.12</v>
      </c>
      <c r="E37" s="1">
        <v>106</v>
      </c>
      <c r="F37" s="1">
        <v>15</v>
      </c>
      <c r="G37" s="1">
        <f t="shared" si="4"/>
        <v>1590</v>
      </c>
      <c r="H37" s="1">
        <f t="shared" si="0"/>
        <v>259.80392156862746</v>
      </c>
      <c r="I37" s="3">
        <v>2650</v>
      </c>
      <c r="J37" s="37">
        <f t="shared" si="1"/>
        <v>688480.39215686289</v>
      </c>
      <c r="K37" s="29">
        <v>17000</v>
      </c>
      <c r="L37" s="64">
        <f t="shared" si="2"/>
        <v>1802000</v>
      </c>
      <c r="M37" s="29">
        <f t="shared" si="3"/>
        <v>1113519.6078431371</v>
      </c>
    </row>
    <row r="38" spans="1:13" x14ac:dyDescent="0.2">
      <c r="A38" s="1"/>
      <c r="B38" s="1" t="s">
        <v>7</v>
      </c>
      <c r="C38" s="1" t="s">
        <v>1136</v>
      </c>
      <c r="D38" s="1">
        <v>6.12</v>
      </c>
      <c r="E38" s="1">
        <v>106</v>
      </c>
      <c r="F38" s="1">
        <v>12</v>
      </c>
      <c r="G38" s="1">
        <f t="shared" si="4"/>
        <v>1272</v>
      </c>
      <c r="H38" s="1">
        <f t="shared" si="0"/>
        <v>207.84313725490196</v>
      </c>
      <c r="I38" s="3">
        <v>2650</v>
      </c>
      <c r="J38" s="37">
        <f t="shared" si="1"/>
        <v>550784.31372549024</v>
      </c>
      <c r="K38" s="29">
        <v>17000</v>
      </c>
      <c r="L38" s="64">
        <f t="shared" si="2"/>
        <v>1802000</v>
      </c>
      <c r="M38" s="29">
        <f t="shared" si="3"/>
        <v>1251215.6862745099</v>
      </c>
    </row>
    <row r="39" spans="1:13" x14ac:dyDescent="0.2">
      <c r="A39" s="1"/>
      <c r="B39" s="1" t="s">
        <v>7</v>
      </c>
      <c r="C39" s="1" t="s">
        <v>1141</v>
      </c>
      <c r="D39" s="1">
        <v>6.12</v>
      </c>
      <c r="E39" s="1">
        <v>79</v>
      </c>
      <c r="F39" s="1">
        <v>10</v>
      </c>
      <c r="G39" s="1">
        <f t="shared" si="4"/>
        <v>790</v>
      </c>
      <c r="H39" s="1">
        <f t="shared" si="0"/>
        <v>129.08496732026143</v>
      </c>
      <c r="I39" s="3">
        <v>2650</v>
      </c>
      <c r="J39" s="37">
        <f t="shared" si="1"/>
        <v>342075.16339869279</v>
      </c>
      <c r="K39" s="29">
        <v>18000</v>
      </c>
      <c r="L39" s="64">
        <f t="shared" si="2"/>
        <v>1422000</v>
      </c>
      <c r="M39" s="29">
        <f t="shared" si="3"/>
        <v>1079924.8366013071</v>
      </c>
    </row>
    <row r="40" spans="1:13" x14ac:dyDescent="0.2">
      <c r="A40" s="1"/>
      <c r="B40" s="1" t="s">
        <v>253</v>
      </c>
      <c r="C40" s="1" t="s">
        <v>1040</v>
      </c>
      <c r="D40" s="1">
        <v>6.12</v>
      </c>
      <c r="E40" s="1">
        <v>130</v>
      </c>
      <c r="F40" s="1">
        <v>16</v>
      </c>
      <c r="G40" s="1">
        <f t="shared" si="4"/>
        <v>2080</v>
      </c>
      <c r="H40" s="1">
        <f t="shared" si="0"/>
        <v>339.86928104575162</v>
      </c>
      <c r="I40" s="3">
        <v>2650</v>
      </c>
      <c r="J40" s="37">
        <f t="shared" si="1"/>
        <v>900653.59477124189</v>
      </c>
      <c r="K40" s="29">
        <v>17000</v>
      </c>
      <c r="L40" s="64">
        <f t="shared" si="2"/>
        <v>2210000</v>
      </c>
      <c r="M40" s="29">
        <f t="shared" si="3"/>
        <v>1309346.4052287582</v>
      </c>
    </row>
    <row r="41" spans="1:13" x14ac:dyDescent="0.2">
      <c r="A41" s="1"/>
      <c r="B41" s="1" t="s">
        <v>253</v>
      </c>
      <c r="C41" s="1" t="s">
        <v>1142</v>
      </c>
      <c r="D41" s="1">
        <v>6.12</v>
      </c>
      <c r="E41" s="1">
        <v>216</v>
      </c>
      <c r="F41" s="1">
        <v>15</v>
      </c>
      <c r="G41" s="1">
        <f t="shared" si="4"/>
        <v>3240</v>
      </c>
      <c r="H41" s="1">
        <f t="shared" si="0"/>
        <v>529.41176470588232</v>
      </c>
      <c r="I41" s="3">
        <v>2650</v>
      </c>
      <c r="J41" s="37">
        <f t="shared" si="1"/>
        <v>1402941.1764705884</v>
      </c>
      <c r="K41" s="29">
        <v>17000</v>
      </c>
      <c r="L41" s="64">
        <f t="shared" si="2"/>
        <v>3672000</v>
      </c>
      <c r="M41" s="29">
        <f t="shared" si="3"/>
        <v>2269058.8235294116</v>
      </c>
    </row>
    <row r="42" spans="1:13" x14ac:dyDescent="0.2">
      <c r="A42" s="1"/>
      <c r="B42" s="1"/>
      <c r="C42" s="1"/>
      <c r="D42" s="1"/>
      <c r="E42" s="92">
        <f>SUM(E3:E41)</f>
        <v>13166</v>
      </c>
      <c r="F42" s="1"/>
      <c r="G42" s="1"/>
      <c r="H42" s="131">
        <f>SUM(H3:H41)</f>
        <v>53957.27124183008</v>
      </c>
      <c r="I42" s="3"/>
      <c r="J42" s="132">
        <f>SUM(J3:J41)</f>
        <v>142986768.79084966</v>
      </c>
      <c r="K42" s="1"/>
      <c r="L42" s="70">
        <f>SUM(L3:L41)</f>
        <v>242773000</v>
      </c>
      <c r="M42" s="20">
        <f>SUM(M3:M41)</f>
        <v>99786231.209150299</v>
      </c>
    </row>
    <row r="47" spans="1:13" x14ac:dyDescent="0.2">
      <c r="I47" s="3" t="s">
        <v>25</v>
      </c>
      <c r="J47" s="15">
        <v>142986768</v>
      </c>
      <c r="L47" s="130"/>
    </row>
    <row r="48" spans="1:13" x14ac:dyDescent="0.2">
      <c r="I48" s="3" t="s">
        <v>27</v>
      </c>
      <c r="J48" s="9">
        <v>6715540</v>
      </c>
    </row>
    <row r="49" spans="2:13" x14ac:dyDescent="0.2">
      <c r="I49" s="3" t="s">
        <v>26</v>
      </c>
      <c r="J49" s="3">
        <v>3649400</v>
      </c>
    </row>
    <row r="50" spans="2:13" x14ac:dyDescent="0.2">
      <c r="I50" s="3" t="s">
        <v>33</v>
      </c>
      <c r="J50" s="3">
        <v>4000000</v>
      </c>
    </row>
    <row r="51" spans="2:13" x14ac:dyDescent="0.2">
      <c r="I51" s="3" t="s">
        <v>31</v>
      </c>
      <c r="J51" s="3">
        <v>6350000</v>
      </c>
    </row>
    <row r="52" spans="2:13" x14ac:dyDescent="0.2">
      <c r="I52" s="3" t="s">
        <v>36</v>
      </c>
      <c r="J52" s="3">
        <v>3410000</v>
      </c>
    </row>
    <row r="53" spans="2:13" x14ac:dyDescent="0.2">
      <c r="I53" s="3" t="s">
        <v>29</v>
      </c>
      <c r="J53" s="23">
        <v>11000000</v>
      </c>
    </row>
    <row r="54" spans="2:13" x14ac:dyDescent="0.2">
      <c r="I54" s="3" t="s">
        <v>34</v>
      </c>
      <c r="J54" s="26">
        <f>SUM(J47:J53)</f>
        <v>178111708</v>
      </c>
    </row>
    <row r="55" spans="2:13" x14ac:dyDescent="0.2">
      <c r="I55" s="3" t="s">
        <v>6</v>
      </c>
      <c r="J55" s="116">
        <v>242773000</v>
      </c>
    </row>
    <row r="56" spans="2:13" ht="18" x14ac:dyDescent="0.35">
      <c r="I56" s="3" t="s">
        <v>35</v>
      </c>
      <c r="J56" s="21">
        <f>J55-J54</f>
        <v>64661292</v>
      </c>
    </row>
    <row r="60" spans="2:13" x14ac:dyDescent="0.2">
      <c r="B60" s="78" t="s">
        <v>7</v>
      </c>
      <c r="C60" s="78" t="s">
        <v>1123</v>
      </c>
      <c r="D60" s="1">
        <v>6.12</v>
      </c>
      <c r="E60" s="78">
        <v>300</v>
      </c>
      <c r="F60" s="78">
        <v>25</v>
      </c>
      <c r="G60" s="78">
        <f t="shared" ref="G60:G66" si="5">E60*F60</f>
        <v>7500</v>
      </c>
      <c r="H60" s="78">
        <f t="shared" ref="H60:H66" si="6">G60/D60</f>
        <v>1225.4901960784314</v>
      </c>
      <c r="I60" s="3">
        <v>2707</v>
      </c>
      <c r="J60" s="111">
        <f t="shared" ref="J60:J66" si="7">F60/D60*I60*E60</f>
        <v>3317401.9607843137</v>
      </c>
      <c r="K60" s="112">
        <v>17000</v>
      </c>
      <c r="L60" s="113">
        <f t="shared" ref="L60:L66" si="8">K60*E60</f>
        <v>5100000</v>
      </c>
      <c r="M60" s="112">
        <f t="shared" ref="M60:M66" si="9">L60-J60</f>
        <v>1782598.0392156863</v>
      </c>
    </row>
    <row r="61" spans="2:13" x14ac:dyDescent="0.2">
      <c r="B61" s="78" t="s">
        <v>253</v>
      </c>
      <c r="C61" s="78" t="s">
        <v>1124</v>
      </c>
      <c r="D61" s="1">
        <v>6.12</v>
      </c>
      <c r="E61" s="78">
        <v>302</v>
      </c>
      <c r="F61" s="78">
        <v>25</v>
      </c>
      <c r="G61" s="78">
        <f t="shared" si="5"/>
        <v>7550</v>
      </c>
      <c r="H61" s="78">
        <f t="shared" si="6"/>
        <v>1233.6601307189542</v>
      </c>
      <c r="I61" s="3">
        <v>2707</v>
      </c>
      <c r="J61" s="111">
        <f t="shared" si="7"/>
        <v>3339517.9738562088</v>
      </c>
      <c r="K61" s="112">
        <v>17000</v>
      </c>
      <c r="L61" s="113">
        <f t="shared" si="8"/>
        <v>5134000</v>
      </c>
      <c r="M61" s="112">
        <f t="shared" si="9"/>
        <v>1794482.0261437912</v>
      </c>
    </row>
    <row r="62" spans="2:13" x14ac:dyDescent="0.2">
      <c r="B62" s="78" t="s">
        <v>253</v>
      </c>
      <c r="C62" s="78" t="s">
        <v>995</v>
      </c>
      <c r="D62" s="1">
        <v>6.12</v>
      </c>
      <c r="E62" s="78">
        <v>404</v>
      </c>
      <c r="F62" s="78">
        <v>28</v>
      </c>
      <c r="G62" s="78">
        <f t="shared" si="5"/>
        <v>11312</v>
      </c>
      <c r="H62" s="78">
        <f t="shared" si="6"/>
        <v>1848.3660130718954</v>
      </c>
      <c r="I62" s="3">
        <v>2707</v>
      </c>
      <c r="J62" s="111">
        <f t="shared" si="7"/>
        <v>5003526.7973856209</v>
      </c>
      <c r="K62" s="112">
        <v>20000</v>
      </c>
      <c r="L62" s="113">
        <f t="shared" si="8"/>
        <v>8080000</v>
      </c>
      <c r="M62" s="112">
        <f t="shared" si="9"/>
        <v>3076473.2026143791</v>
      </c>
    </row>
    <row r="63" spans="2:13" x14ac:dyDescent="0.2">
      <c r="B63" s="78" t="s">
        <v>253</v>
      </c>
      <c r="C63" s="78" t="s">
        <v>995</v>
      </c>
      <c r="D63" s="1">
        <v>6.12</v>
      </c>
      <c r="E63" s="78">
        <v>407</v>
      </c>
      <c r="F63" s="78">
        <v>28</v>
      </c>
      <c r="G63" s="78">
        <f t="shared" si="5"/>
        <v>11396</v>
      </c>
      <c r="H63" s="78">
        <f t="shared" si="6"/>
        <v>1862.0915032679738</v>
      </c>
      <c r="I63" s="3">
        <v>2707</v>
      </c>
      <c r="J63" s="111">
        <f t="shared" si="7"/>
        <v>5040681.6993464055</v>
      </c>
      <c r="K63" s="112">
        <v>20000</v>
      </c>
      <c r="L63" s="113">
        <f t="shared" si="8"/>
        <v>8140000</v>
      </c>
      <c r="M63" s="112">
        <f t="shared" si="9"/>
        <v>3099318.3006535945</v>
      </c>
    </row>
    <row r="64" spans="2:13" x14ac:dyDescent="0.2">
      <c r="D64" s="1">
        <v>6.12</v>
      </c>
      <c r="E64">
        <v>307</v>
      </c>
      <c r="F64">
        <v>26.5</v>
      </c>
      <c r="G64">
        <f t="shared" si="5"/>
        <v>8135.5</v>
      </c>
      <c r="H64" t="s">
        <v>1076</v>
      </c>
      <c r="I64" s="3">
        <v>2707</v>
      </c>
      <c r="J64" s="122">
        <f t="shared" si="7"/>
        <v>3598496.4869281044</v>
      </c>
      <c r="K64" s="105">
        <v>17000</v>
      </c>
      <c r="L64" s="129">
        <f t="shared" si="8"/>
        <v>5219000</v>
      </c>
      <c r="M64" s="105">
        <f t="shared" si="9"/>
        <v>1620503.5130718956</v>
      </c>
    </row>
    <row r="65" spans="1:13" x14ac:dyDescent="0.2">
      <c r="D65" s="1">
        <v>6.12</v>
      </c>
      <c r="E65">
        <v>404</v>
      </c>
      <c r="F65">
        <v>25</v>
      </c>
      <c r="G65">
        <f t="shared" si="5"/>
        <v>10100</v>
      </c>
      <c r="H65" t="s">
        <v>1076</v>
      </c>
      <c r="I65" s="3">
        <v>2707</v>
      </c>
      <c r="J65" s="122">
        <f t="shared" si="7"/>
        <v>4467434.6405228758</v>
      </c>
      <c r="K65" s="105">
        <v>17000</v>
      </c>
      <c r="L65" s="129">
        <f t="shared" si="8"/>
        <v>6868000</v>
      </c>
      <c r="M65" s="105">
        <f t="shared" si="9"/>
        <v>2400565.3594771242</v>
      </c>
    </row>
    <row r="66" spans="1:13" x14ac:dyDescent="0.2">
      <c r="C66" t="s">
        <v>253</v>
      </c>
      <c r="D66" s="1">
        <v>6.12</v>
      </c>
      <c r="E66">
        <v>1500</v>
      </c>
      <c r="F66">
        <v>22.5</v>
      </c>
      <c r="G66">
        <f t="shared" si="5"/>
        <v>33750</v>
      </c>
      <c r="H66">
        <f t="shared" si="6"/>
        <v>5514.7058823529414</v>
      </c>
      <c r="I66" s="3">
        <v>2707</v>
      </c>
      <c r="J66" s="122">
        <f t="shared" si="7"/>
        <v>14928308.823529411</v>
      </c>
      <c r="K66" s="105">
        <v>15000</v>
      </c>
      <c r="L66" s="129">
        <f t="shared" si="8"/>
        <v>22500000</v>
      </c>
      <c r="M66" s="105">
        <f t="shared" si="9"/>
        <v>7571691.1764705889</v>
      </c>
    </row>
    <row r="67" spans="1:13" x14ac:dyDescent="0.2">
      <c r="E67" s="7">
        <f>SUM(E60:E66)</f>
        <v>3624</v>
      </c>
      <c r="H67" s="136">
        <f>SUM(H60:H66)</f>
        <v>11684.313725490196</v>
      </c>
      <c r="J67" s="135">
        <f>SUM(J60:J66)</f>
        <v>39695368.382352941</v>
      </c>
      <c r="L67" s="70">
        <f>SUM(L60:L66)</f>
        <v>61041000</v>
      </c>
      <c r="M67" s="48">
        <f>SUM(M60:M66)</f>
        <v>21345631.617647059</v>
      </c>
    </row>
    <row r="72" spans="1:13" ht="31" x14ac:dyDescent="0.35">
      <c r="A72" s="56" t="s">
        <v>1143</v>
      </c>
      <c r="B72" s="56"/>
      <c r="C72" s="56"/>
      <c r="D72" s="56"/>
      <c r="E72" s="56"/>
      <c r="F72" s="57"/>
      <c r="G72" s="57"/>
      <c r="H72" s="57"/>
      <c r="I72" s="57"/>
      <c r="J72" s="57"/>
      <c r="K72" s="57"/>
      <c r="L72" s="57"/>
      <c r="M72" s="57"/>
    </row>
    <row r="73" spans="1:13" x14ac:dyDescent="0.2">
      <c r="A73" s="58" t="s">
        <v>0</v>
      </c>
      <c r="B73" s="58" t="s">
        <v>1</v>
      </c>
      <c r="C73" s="58" t="s">
        <v>263</v>
      </c>
      <c r="D73" s="58" t="s">
        <v>2</v>
      </c>
      <c r="E73" s="58" t="s">
        <v>3</v>
      </c>
      <c r="F73" s="58" t="s">
        <v>11</v>
      </c>
      <c r="G73" s="59" t="s">
        <v>8</v>
      </c>
      <c r="H73" s="58" t="s">
        <v>77</v>
      </c>
      <c r="I73" s="59" t="s">
        <v>41</v>
      </c>
      <c r="J73" s="59" t="s">
        <v>9</v>
      </c>
      <c r="K73" s="59" t="s">
        <v>10</v>
      </c>
      <c r="L73" s="59" t="s">
        <v>6</v>
      </c>
      <c r="M73" s="59" t="s">
        <v>12</v>
      </c>
    </row>
    <row r="74" spans="1:13" x14ac:dyDescent="0.2">
      <c r="A74" s="2" t="s">
        <v>1144</v>
      </c>
      <c r="B74" s="1" t="s">
        <v>23</v>
      </c>
      <c r="C74" s="1" t="s">
        <v>994</v>
      </c>
      <c r="D74" s="1">
        <v>32.35</v>
      </c>
      <c r="E74" s="1">
        <v>300</v>
      </c>
      <c r="F74" s="1">
        <v>90</v>
      </c>
      <c r="G74" s="44">
        <f t="shared" ref="G74:G93" si="10">E74*F74</f>
        <v>27000</v>
      </c>
      <c r="H74" s="5">
        <f t="shared" ref="H74" si="11">G74/D74</f>
        <v>834.62132921174646</v>
      </c>
      <c r="I74" s="3">
        <v>2663</v>
      </c>
      <c r="J74" s="3">
        <f t="shared" ref="J74:J93" si="12">F74/D74*I74*E74</f>
        <v>2222596.5996908811</v>
      </c>
      <c r="K74" s="3">
        <v>12000</v>
      </c>
      <c r="L74" s="44">
        <f t="shared" ref="L74:L93" si="13">K74*E74</f>
        <v>3600000</v>
      </c>
      <c r="M74" s="3">
        <f t="shared" ref="M74:M93" si="14">L74-J74</f>
        <v>1377403.4003091189</v>
      </c>
    </row>
    <row r="75" spans="1:13" x14ac:dyDescent="0.2">
      <c r="A75" s="2"/>
      <c r="B75" s="1" t="s">
        <v>253</v>
      </c>
      <c r="C75" s="1" t="s">
        <v>995</v>
      </c>
      <c r="D75" s="1">
        <v>32.35</v>
      </c>
      <c r="E75" s="1">
        <v>300</v>
      </c>
      <c r="F75" s="1">
        <v>100</v>
      </c>
      <c r="G75" s="44">
        <f t="shared" si="10"/>
        <v>30000</v>
      </c>
      <c r="H75" s="5">
        <f>G75/D75</f>
        <v>927.35703245749608</v>
      </c>
      <c r="I75" s="3">
        <v>2663</v>
      </c>
      <c r="J75" s="3">
        <f t="shared" si="12"/>
        <v>2469551.7774343118</v>
      </c>
      <c r="K75" s="3">
        <v>13000</v>
      </c>
      <c r="L75" s="44">
        <f t="shared" si="13"/>
        <v>3900000</v>
      </c>
      <c r="M75" s="3">
        <f t="shared" si="14"/>
        <v>1430448.2225656882</v>
      </c>
    </row>
    <row r="76" spans="1:13" x14ac:dyDescent="0.2">
      <c r="A76" s="2"/>
      <c r="B76" s="1" t="s">
        <v>253</v>
      </c>
      <c r="C76" s="1" t="s">
        <v>996</v>
      </c>
      <c r="D76" s="1">
        <v>32.35</v>
      </c>
      <c r="E76" s="1">
        <v>300</v>
      </c>
      <c r="F76" s="1">
        <v>90</v>
      </c>
      <c r="G76" s="44">
        <f t="shared" si="10"/>
        <v>27000</v>
      </c>
      <c r="H76" s="5">
        <f>G76/D76</f>
        <v>834.62132921174646</v>
      </c>
      <c r="I76" s="3">
        <v>2663</v>
      </c>
      <c r="J76" s="3">
        <f t="shared" si="12"/>
        <v>2222596.5996908811</v>
      </c>
      <c r="K76" s="3">
        <v>12000</v>
      </c>
      <c r="L76" s="44">
        <f t="shared" si="13"/>
        <v>3600000</v>
      </c>
      <c r="M76" s="3">
        <f t="shared" si="14"/>
        <v>1377403.4003091189</v>
      </c>
    </row>
    <row r="77" spans="1:13" x14ac:dyDescent="0.2">
      <c r="A77" s="2"/>
      <c r="B77" s="1" t="s">
        <v>253</v>
      </c>
      <c r="C77" s="1" t="s">
        <v>995</v>
      </c>
      <c r="D77" s="1">
        <v>32.35</v>
      </c>
      <c r="E77" s="1">
        <v>300</v>
      </c>
      <c r="F77" s="1">
        <v>100</v>
      </c>
      <c r="G77" s="1">
        <f t="shared" si="10"/>
        <v>30000</v>
      </c>
      <c r="H77" s="1">
        <f t="shared" ref="H77:H93" si="15">G77/D77</f>
        <v>927.35703245749608</v>
      </c>
      <c r="I77" s="3">
        <v>2663</v>
      </c>
      <c r="J77" s="37">
        <f t="shared" si="12"/>
        <v>2469551.7774343118</v>
      </c>
      <c r="K77" s="3">
        <v>13000</v>
      </c>
      <c r="L77" s="44">
        <f t="shared" si="13"/>
        <v>3900000</v>
      </c>
      <c r="M77" s="3">
        <f t="shared" si="14"/>
        <v>1430448.2225656882</v>
      </c>
    </row>
    <row r="78" spans="1:13" x14ac:dyDescent="0.2">
      <c r="A78" s="2"/>
      <c r="B78" s="1" t="s">
        <v>1145</v>
      </c>
      <c r="C78" s="1" t="s">
        <v>1146</v>
      </c>
      <c r="D78" s="1">
        <v>32.35</v>
      </c>
      <c r="E78" s="1">
        <v>600</v>
      </c>
      <c r="F78" s="1">
        <v>140</v>
      </c>
      <c r="G78" s="1">
        <f t="shared" si="10"/>
        <v>84000</v>
      </c>
      <c r="H78" s="1">
        <f t="shared" si="15"/>
        <v>2596.5996908809889</v>
      </c>
      <c r="I78" s="3">
        <v>2663</v>
      </c>
      <c r="J78" s="37">
        <f t="shared" si="12"/>
        <v>6914744.976816074</v>
      </c>
      <c r="K78" s="3">
        <v>17000</v>
      </c>
      <c r="L78" s="44">
        <f t="shared" si="13"/>
        <v>10200000</v>
      </c>
      <c r="M78" s="3">
        <f t="shared" si="14"/>
        <v>3285255.023183926</v>
      </c>
    </row>
    <row r="79" spans="1:13" x14ac:dyDescent="0.2">
      <c r="A79" s="2"/>
      <c r="B79" s="1" t="s">
        <v>23</v>
      </c>
      <c r="C79" s="1" t="s">
        <v>1147</v>
      </c>
      <c r="D79" s="1">
        <v>32.35</v>
      </c>
      <c r="E79" s="1">
        <v>120</v>
      </c>
      <c r="F79" s="1">
        <v>85</v>
      </c>
      <c r="G79" s="1">
        <f t="shared" si="10"/>
        <v>10200</v>
      </c>
      <c r="H79" s="1">
        <f t="shared" si="15"/>
        <v>315.30139103554865</v>
      </c>
      <c r="I79" s="3">
        <v>2663</v>
      </c>
      <c r="J79" s="37">
        <f t="shared" si="12"/>
        <v>839647.60432766611</v>
      </c>
      <c r="K79" s="29">
        <v>13000</v>
      </c>
      <c r="L79" s="64">
        <f t="shared" si="13"/>
        <v>1560000</v>
      </c>
      <c r="M79" s="29">
        <f t="shared" si="14"/>
        <v>720352.39567233389</v>
      </c>
    </row>
    <row r="80" spans="1:13" x14ac:dyDescent="0.2">
      <c r="A80" s="2"/>
      <c r="B80" s="1" t="s">
        <v>23</v>
      </c>
      <c r="C80" s="1" t="s">
        <v>1003</v>
      </c>
      <c r="D80" s="1">
        <v>32.35</v>
      </c>
      <c r="E80" s="1">
        <v>300</v>
      </c>
      <c r="F80" s="1">
        <v>95</v>
      </c>
      <c r="G80" s="1">
        <f t="shared" si="10"/>
        <v>28500</v>
      </c>
      <c r="H80" s="1">
        <f t="shared" si="15"/>
        <v>880.98918083462127</v>
      </c>
      <c r="I80" s="3">
        <v>2663</v>
      </c>
      <c r="J80" s="37">
        <f t="shared" si="12"/>
        <v>2346074.1885625967</v>
      </c>
      <c r="K80" s="29">
        <v>13000</v>
      </c>
      <c r="L80" s="64">
        <f t="shared" si="13"/>
        <v>3900000</v>
      </c>
      <c r="M80" s="29">
        <f t="shared" si="14"/>
        <v>1553925.8114374033</v>
      </c>
    </row>
    <row r="81" spans="1:13" x14ac:dyDescent="0.2">
      <c r="A81" s="2"/>
      <c r="B81" s="1" t="s">
        <v>253</v>
      </c>
      <c r="C81" s="1" t="s">
        <v>1148</v>
      </c>
      <c r="D81" s="1">
        <v>32.35</v>
      </c>
      <c r="E81" s="1">
        <v>200</v>
      </c>
      <c r="F81" s="1">
        <v>115</v>
      </c>
      <c r="G81" s="1">
        <f t="shared" si="10"/>
        <v>23000</v>
      </c>
      <c r="H81" s="1">
        <f t="shared" si="15"/>
        <v>710.9737248840803</v>
      </c>
      <c r="I81" s="3">
        <v>2663</v>
      </c>
      <c r="J81" s="37">
        <f t="shared" si="12"/>
        <v>1893323.0293663058</v>
      </c>
      <c r="K81" s="29">
        <v>15000</v>
      </c>
      <c r="L81" s="64">
        <f t="shared" si="13"/>
        <v>3000000</v>
      </c>
      <c r="M81" s="29">
        <f t="shared" si="14"/>
        <v>1106676.9706336942</v>
      </c>
    </row>
    <row r="82" spans="1:13" x14ac:dyDescent="0.2">
      <c r="A82" s="2"/>
      <c r="B82" s="1" t="s">
        <v>253</v>
      </c>
      <c r="C82" s="1" t="s">
        <v>1149</v>
      </c>
      <c r="D82" s="1">
        <v>32.35</v>
      </c>
      <c r="E82" s="1">
        <v>100</v>
      </c>
      <c r="F82" s="1">
        <v>95</v>
      </c>
      <c r="G82" s="1">
        <f t="shared" si="10"/>
        <v>9500</v>
      </c>
      <c r="H82" s="1">
        <f t="shared" si="15"/>
        <v>293.66306027820707</v>
      </c>
      <c r="I82" s="3">
        <v>2663</v>
      </c>
      <c r="J82" s="37">
        <f t="shared" si="12"/>
        <v>782024.7295208656</v>
      </c>
      <c r="K82" s="29">
        <v>13000</v>
      </c>
      <c r="L82" s="64">
        <f t="shared" si="13"/>
        <v>1300000</v>
      </c>
      <c r="M82" s="29">
        <f t="shared" si="14"/>
        <v>517975.2704791344</v>
      </c>
    </row>
    <row r="83" spans="1:13" x14ac:dyDescent="0.2">
      <c r="A83" s="2"/>
      <c r="B83" s="1" t="s">
        <v>253</v>
      </c>
      <c r="C83" s="1" t="s">
        <v>1150</v>
      </c>
      <c r="D83" s="1">
        <v>32.35</v>
      </c>
      <c r="E83" s="1">
        <v>200</v>
      </c>
      <c r="F83" s="1">
        <v>95</v>
      </c>
      <c r="G83" s="1">
        <f t="shared" si="10"/>
        <v>19000</v>
      </c>
      <c r="H83" s="1">
        <f t="shared" si="15"/>
        <v>587.32612055641414</v>
      </c>
      <c r="I83" s="3">
        <v>2663</v>
      </c>
      <c r="J83" s="37">
        <f t="shared" si="12"/>
        <v>1564049.4590417312</v>
      </c>
      <c r="K83" s="29">
        <v>13000</v>
      </c>
      <c r="L83" s="64">
        <f t="shared" si="13"/>
        <v>2600000</v>
      </c>
      <c r="M83" s="29">
        <f t="shared" si="14"/>
        <v>1035950.5409582688</v>
      </c>
    </row>
    <row r="84" spans="1:13" x14ac:dyDescent="0.2">
      <c r="A84" s="1"/>
      <c r="B84" s="1" t="s">
        <v>253</v>
      </c>
      <c r="C84" s="1" t="s">
        <v>1151</v>
      </c>
      <c r="D84" s="1">
        <v>32.35</v>
      </c>
      <c r="E84" s="1">
        <v>200</v>
      </c>
      <c r="F84" s="1">
        <v>140</v>
      </c>
      <c r="G84" s="1">
        <f t="shared" si="10"/>
        <v>28000</v>
      </c>
      <c r="H84" s="1">
        <f t="shared" si="15"/>
        <v>865.533230293663</v>
      </c>
      <c r="I84" s="3">
        <v>2663</v>
      </c>
      <c r="J84" s="37">
        <f t="shared" si="12"/>
        <v>2304914.992272025</v>
      </c>
      <c r="K84" s="29">
        <v>20000</v>
      </c>
      <c r="L84" s="64">
        <f t="shared" si="13"/>
        <v>4000000</v>
      </c>
      <c r="M84" s="29">
        <f t="shared" si="14"/>
        <v>1695085.007727975</v>
      </c>
    </row>
    <row r="85" spans="1:13" x14ac:dyDescent="0.2">
      <c r="A85" s="1"/>
      <c r="B85" s="1" t="s">
        <v>253</v>
      </c>
      <c r="C85" s="1" t="s">
        <v>1152</v>
      </c>
      <c r="D85" s="1">
        <v>32.35</v>
      </c>
      <c r="E85" s="1">
        <v>200</v>
      </c>
      <c r="F85" s="1">
        <v>140</v>
      </c>
      <c r="G85" s="1">
        <f t="shared" si="10"/>
        <v>28000</v>
      </c>
      <c r="H85" s="1">
        <f t="shared" si="15"/>
        <v>865.533230293663</v>
      </c>
      <c r="I85" s="3">
        <v>2663</v>
      </c>
      <c r="J85" s="37">
        <f t="shared" si="12"/>
        <v>2304914.992272025</v>
      </c>
      <c r="K85" s="29">
        <v>20000</v>
      </c>
      <c r="L85" s="64">
        <f t="shared" si="13"/>
        <v>4000000</v>
      </c>
      <c r="M85" s="29">
        <f t="shared" si="14"/>
        <v>1695085.007727975</v>
      </c>
    </row>
    <row r="86" spans="1:13" x14ac:dyDescent="0.2">
      <c r="A86" s="1"/>
      <c r="B86" s="1" t="s">
        <v>23</v>
      </c>
      <c r="C86" s="1" t="s">
        <v>1154</v>
      </c>
      <c r="D86" s="1">
        <v>32.35</v>
      </c>
      <c r="E86" s="1">
        <v>100</v>
      </c>
      <c r="F86" s="1">
        <v>100</v>
      </c>
      <c r="G86" s="1">
        <f t="shared" si="10"/>
        <v>10000</v>
      </c>
      <c r="H86" s="1">
        <f t="shared" si="15"/>
        <v>309.11901081916534</v>
      </c>
      <c r="I86" s="3">
        <v>2663</v>
      </c>
      <c r="J86" s="37">
        <f t="shared" si="12"/>
        <v>823183.92581143731</v>
      </c>
      <c r="K86" s="29">
        <v>15000</v>
      </c>
      <c r="L86" s="64">
        <f t="shared" si="13"/>
        <v>1500000</v>
      </c>
      <c r="M86" s="29">
        <f t="shared" si="14"/>
        <v>676816.07418856269</v>
      </c>
    </row>
    <row r="87" spans="1:13" x14ac:dyDescent="0.2">
      <c r="A87" s="1"/>
      <c r="B87" s="1" t="s">
        <v>1155</v>
      </c>
      <c r="C87" s="1" t="s">
        <v>1162</v>
      </c>
      <c r="D87" s="1">
        <v>32.35</v>
      </c>
      <c r="E87" s="1">
        <v>200</v>
      </c>
      <c r="F87" s="1">
        <v>120</v>
      </c>
      <c r="G87" s="1">
        <f t="shared" si="10"/>
        <v>24000</v>
      </c>
      <c r="H87" s="1">
        <f t="shared" si="15"/>
        <v>741.88562596599684</v>
      </c>
      <c r="I87" s="3">
        <v>2663</v>
      </c>
      <c r="J87" s="37">
        <f t="shared" si="12"/>
        <v>1975641.4219474497</v>
      </c>
      <c r="K87" s="29">
        <v>20000</v>
      </c>
      <c r="L87" s="64">
        <f t="shared" si="13"/>
        <v>4000000</v>
      </c>
      <c r="M87" s="29">
        <f t="shared" si="14"/>
        <v>2024358.5780525503</v>
      </c>
    </row>
    <row r="88" spans="1:13" x14ac:dyDescent="0.2">
      <c r="A88" s="1"/>
      <c r="B88" s="1" t="s">
        <v>253</v>
      </c>
      <c r="C88" s="1" t="s">
        <v>1161</v>
      </c>
      <c r="D88" s="1">
        <v>32.35</v>
      </c>
      <c r="E88" s="1">
        <v>200</v>
      </c>
      <c r="F88" s="1">
        <v>100</v>
      </c>
      <c r="G88" s="1">
        <f t="shared" si="10"/>
        <v>20000</v>
      </c>
      <c r="H88" s="1">
        <f t="shared" si="15"/>
        <v>618.23802163833068</v>
      </c>
      <c r="I88" s="3">
        <v>2663</v>
      </c>
      <c r="J88" s="37">
        <f t="shared" si="12"/>
        <v>1646367.8516228746</v>
      </c>
      <c r="K88" s="29">
        <v>20000</v>
      </c>
      <c r="L88" s="64">
        <f t="shared" si="13"/>
        <v>4000000</v>
      </c>
      <c r="M88" s="29">
        <f t="shared" si="14"/>
        <v>2353632.1483771252</v>
      </c>
    </row>
    <row r="89" spans="1:13" x14ac:dyDescent="0.2">
      <c r="A89" s="1"/>
      <c r="B89" s="1"/>
      <c r="C89" s="1" t="s">
        <v>1168</v>
      </c>
      <c r="D89" s="1">
        <v>32.35</v>
      </c>
      <c r="E89" s="1">
        <v>3000</v>
      </c>
      <c r="F89" s="1">
        <v>60</v>
      </c>
      <c r="G89" s="1">
        <f t="shared" si="10"/>
        <v>180000</v>
      </c>
      <c r="H89" s="1">
        <f t="shared" si="15"/>
        <v>5564.1421947449762</v>
      </c>
      <c r="I89" s="3">
        <v>2663</v>
      </c>
      <c r="J89" s="37">
        <f t="shared" si="12"/>
        <v>14817310.664605873</v>
      </c>
      <c r="K89" s="29">
        <v>10000</v>
      </c>
      <c r="L89" s="64">
        <f t="shared" si="13"/>
        <v>30000000</v>
      </c>
      <c r="M89" s="29">
        <f t="shared" si="14"/>
        <v>15182689.335394127</v>
      </c>
    </row>
    <row r="90" spans="1:13" x14ac:dyDescent="0.2">
      <c r="A90" s="1"/>
      <c r="B90" s="1" t="s">
        <v>1156</v>
      </c>
      <c r="C90" s="1" t="s">
        <v>1157</v>
      </c>
      <c r="D90" s="1">
        <v>32.35</v>
      </c>
      <c r="E90" s="1">
        <v>211</v>
      </c>
      <c r="F90" s="1">
        <v>55</v>
      </c>
      <c r="G90" s="1">
        <f t="shared" si="10"/>
        <v>11605</v>
      </c>
      <c r="H90" s="1">
        <f t="shared" si="15"/>
        <v>358.73261205564143</v>
      </c>
      <c r="I90" s="3">
        <v>2663</v>
      </c>
      <c r="J90" s="37">
        <f t="shared" si="12"/>
        <v>955304.94590417296</v>
      </c>
      <c r="K90" s="29">
        <v>10000</v>
      </c>
      <c r="L90" s="64">
        <f t="shared" si="13"/>
        <v>2110000</v>
      </c>
      <c r="M90" s="29">
        <f t="shared" si="14"/>
        <v>1154695.054095827</v>
      </c>
    </row>
    <row r="91" spans="1:13" x14ac:dyDescent="0.2">
      <c r="A91" s="1"/>
      <c r="B91" s="1" t="s">
        <v>1032</v>
      </c>
      <c r="C91" s="1" t="s">
        <v>1158</v>
      </c>
      <c r="D91" s="1">
        <v>32.35</v>
      </c>
      <c r="E91" s="1">
        <v>200</v>
      </c>
      <c r="F91" s="1">
        <v>170</v>
      </c>
      <c r="G91" s="1">
        <f t="shared" si="10"/>
        <v>34000</v>
      </c>
      <c r="H91" s="1">
        <f t="shared" si="15"/>
        <v>1051.0046367851623</v>
      </c>
      <c r="I91" s="3">
        <v>2663</v>
      </c>
      <c r="J91" s="37">
        <f t="shared" si="12"/>
        <v>2798825.3477588869</v>
      </c>
      <c r="K91" s="29">
        <v>25000</v>
      </c>
      <c r="L91" s="64">
        <f t="shared" si="13"/>
        <v>5000000</v>
      </c>
      <c r="M91" s="29">
        <f t="shared" si="14"/>
        <v>2201174.6522411131</v>
      </c>
    </row>
    <row r="92" spans="1:13" x14ac:dyDescent="0.2">
      <c r="A92" s="1"/>
      <c r="B92" s="1" t="s">
        <v>1159</v>
      </c>
      <c r="C92" s="1" t="s">
        <v>1160</v>
      </c>
      <c r="D92" s="1">
        <v>32.35</v>
      </c>
      <c r="E92" s="1">
        <v>700</v>
      </c>
      <c r="F92" s="1">
        <v>60</v>
      </c>
      <c r="G92" s="1">
        <f t="shared" si="10"/>
        <v>42000</v>
      </c>
      <c r="H92" s="1">
        <f t="shared" si="15"/>
        <v>1298.2998454404944</v>
      </c>
      <c r="I92" s="3">
        <v>2663</v>
      </c>
      <c r="J92" s="37">
        <f t="shared" si="12"/>
        <v>3457372.488408037</v>
      </c>
      <c r="K92" s="29">
        <v>12000</v>
      </c>
      <c r="L92" s="64">
        <f t="shared" si="13"/>
        <v>8400000</v>
      </c>
      <c r="M92" s="29">
        <f t="shared" si="14"/>
        <v>4942627.5115919635</v>
      </c>
    </row>
    <row r="93" spans="1:13" x14ac:dyDescent="0.2">
      <c r="A93" s="1"/>
      <c r="B93" s="1" t="s">
        <v>253</v>
      </c>
      <c r="C93" s="1" t="s">
        <v>1161</v>
      </c>
      <c r="D93" s="1">
        <v>32.35</v>
      </c>
      <c r="E93" s="1">
        <v>331</v>
      </c>
      <c r="F93" s="1">
        <v>55</v>
      </c>
      <c r="G93" s="1">
        <f t="shared" si="10"/>
        <v>18205</v>
      </c>
      <c r="H93" s="1">
        <f t="shared" si="15"/>
        <v>562.75115919629059</v>
      </c>
      <c r="I93" s="3">
        <v>2663</v>
      </c>
      <c r="J93" s="37">
        <f t="shared" si="12"/>
        <v>1498606.3369397216</v>
      </c>
      <c r="K93" s="29">
        <v>10000</v>
      </c>
      <c r="L93" s="64">
        <f t="shared" si="13"/>
        <v>3310000</v>
      </c>
      <c r="M93" s="29">
        <f t="shared" si="14"/>
        <v>1811393.6630602784</v>
      </c>
    </row>
    <row r="94" spans="1:13" x14ac:dyDescent="0.2">
      <c r="A94" s="1"/>
      <c r="B94" s="1"/>
      <c r="C94" s="1"/>
      <c r="D94" s="1"/>
      <c r="E94" s="92">
        <f>SUM(E74:E93)</f>
        <v>8062</v>
      </c>
      <c r="F94" s="1"/>
      <c r="G94" s="1"/>
      <c r="H94" s="134">
        <f>SUM(H74:H93)</f>
        <v>21144.049459041726</v>
      </c>
      <c r="I94" s="1"/>
      <c r="J94" s="86">
        <f>SUM(J74:J93)</f>
        <v>56306603.709428132</v>
      </c>
      <c r="K94" s="1"/>
      <c r="L94" s="133">
        <f>SUM(L74:L93)</f>
        <v>103880000</v>
      </c>
      <c r="M94" s="20">
        <f>SUM(M74:M93)</f>
        <v>47573396.290571876</v>
      </c>
    </row>
    <row r="97" spans="1:13" x14ac:dyDescent="0.2">
      <c r="I97" s="3" t="s">
        <v>25</v>
      </c>
      <c r="J97" s="15">
        <v>58776155</v>
      </c>
    </row>
    <row r="98" spans="1:13" x14ac:dyDescent="0.2">
      <c r="I98" s="3" t="s">
        <v>27</v>
      </c>
      <c r="J98" s="9">
        <v>1200000</v>
      </c>
      <c r="K98" t="s">
        <v>1170</v>
      </c>
    </row>
    <row r="99" spans="1:13" x14ac:dyDescent="0.2">
      <c r="I99" s="3" t="s">
        <v>26</v>
      </c>
      <c r="J99" s="3"/>
      <c r="K99" t="s">
        <v>1171</v>
      </c>
    </row>
    <row r="100" spans="1:13" x14ac:dyDescent="0.2">
      <c r="I100" s="3" t="s">
        <v>33</v>
      </c>
      <c r="J100" s="3">
        <v>1000000</v>
      </c>
    </row>
    <row r="101" spans="1:13" x14ac:dyDescent="0.2">
      <c r="I101" s="3" t="s">
        <v>31</v>
      </c>
      <c r="J101" s="3">
        <v>1000000</v>
      </c>
    </row>
    <row r="102" spans="1:13" x14ac:dyDescent="0.2">
      <c r="I102" s="3" t="s">
        <v>36</v>
      </c>
      <c r="J102" s="3">
        <v>1000000</v>
      </c>
    </row>
    <row r="103" spans="1:13" x14ac:dyDescent="0.2">
      <c r="I103" s="3" t="s">
        <v>29</v>
      </c>
      <c r="J103" s="23">
        <v>3770000</v>
      </c>
      <c r="K103" t="s">
        <v>1169</v>
      </c>
    </row>
    <row r="104" spans="1:13" x14ac:dyDescent="0.2">
      <c r="I104" s="3" t="s">
        <v>34</v>
      </c>
      <c r="J104" s="26">
        <f>SUM(J97:J103)</f>
        <v>66746155</v>
      </c>
      <c r="K104" t="s">
        <v>1172</v>
      </c>
    </row>
    <row r="105" spans="1:13" x14ac:dyDescent="0.2">
      <c r="I105" s="3" t="s">
        <v>6</v>
      </c>
      <c r="J105" s="55">
        <v>108380000</v>
      </c>
    </row>
    <row r="106" spans="1:13" ht="18" x14ac:dyDescent="0.35">
      <c r="I106" s="3" t="s">
        <v>35</v>
      </c>
      <c r="J106" s="21">
        <f>J105-J104</f>
        <v>41633845</v>
      </c>
    </row>
    <row r="110" spans="1:13" x14ac:dyDescent="0.2">
      <c r="A110" s="1"/>
      <c r="B110" s="1" t="s">
        <v>23</v>
      </c>
      <c r="C110" s="1" t="s">
        <v>1153</v>
      </c>
      <c r="D110" s="1">
        <v>32.35</v>
      </c>
      <c r="E110" s="1">
        <v>300</v>
      </c>
      <c r="F110" s="1">
        <v>100</v>
      </c>
      <c r="G110" s="1">
        <f>E110*F110</f>
        <v>30000</v>
      </c>
      <c r="H110" s="1">
        <f>G110/D110</f>
        <v>927.35703245749608</v>
      </c>
      <c r="I110" s="3">
        <v>2663</v>
      </c>
      <c r="J110" s="37">
        <f>F110/D110*I110*E110</f>
        <v>2469551.7774343118</v>
      </c>
      <c r="K110" s="29">
        <v>15000</v>
      </c>
      <c r="L110" s="64">
        <f>K110*E110</f>
        <v>4500000</v>
      </c>
      <c r="M110" s="29">
        <f>L110-J110</f>
        <v>2030448.2225656882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70"/>
  <sheetViews>
    <sheetView topLeftCell="A18" workbookViewId="0"/>
  </sheetViews>
  <sheetFormatPr baseColWidth="10" defaultRowHeight="15" x14ac:dyDescent="0.2"/>
  <cols>
    <col min="10" max="10" width="15.33203125" customWidth="1"/>
    <col min="12" max="12" width="14.6640625" customWidth="1"/>
    <col min="13" max="13" width="12" customWidth="1"/>
  </cols>
  <sheetData>
    <row r="1" spans="1:13" ht="31" x14ac:dyDescent="0.35">
      <c r="A1" s="56" t="s">
        <v>1217</v>
      </c>
      <c r="B1" s="56"/>
      <c r="C1" s="56" t="s">
        <v>1076</v>
      </c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2" t="s">
        <v>1173</v>
      </c>
      <c r="B3" s="1" t="s">
        <v>7</v>
      </c>
      <c r="C3" s="1" t="s">
        <v>1174</v>
      </c>
      <c r="D3" s="1">
        <v>6.15</v>
      </c>
      <c r="E3" s="1">
        <v>300</v>
      </c>
      <c r="F3" s="1">
        <v>25</v>
      </c>
      <c r="G3" s="1">
        <f>E3*F3</f>
        <v>7500</v>
      </c>
      <c r="H3" s="1">
        <f t="shared" ref="H3:H49" si="0">G3/D3</f>
        <v>1219.5121951219512</v>
      </c>
      <c r="I3" s="3">
        <v>2781</v>
      </c>
      <c r="J3" s="37">
        <f t="shared" ref="J3:J49" si="1">F3/D3*I3*E3</f>
        <v>3391463.4146341463</v>
      </c>
      <c r="K3" s="3">
        <v>17000</v>
      </c>
      <c r="L3" s="44">
        <f t="shared" ref="L3:L49" si="2">K3*E3</f>
        <v>5100000</v>
      </c>
      <c r="M3" s="3">
        <f t="shared" ref="M3:M49" si="3">L3-J3</f>
        <v>1708536.5853658537</v>
      </c>
    </row>
    <row r="4" spans="1:13" x14ac:dyDescent="0.2">
      <c r="A4" s="2"/>
      <c r="B4" s="1" t="s">
        <v>253</v>
      </c>
      <c r="C4" s="1" t="s">
        <v>380</v>
      </c>
      <c r="D4" s="1">
        <v>6.15</v>
      </c>
      <c r="E4" s="1">
        <v>300</v>
      </c>
      <c r="F4" s="1">
        <v>30</v>
      </c>
      <c r="G4" s="1">
        <f t="shared" ref="G4:G49" si="4">E4*F4</f>
        <v>9000</v>
      </c>
      <c r="H4" s="1">
        <f t="shared" si="0"/>
        <v>1463.4146341463413</v>
      </c>
      <c r="I4" s="3">
        <v>2781</v>
      </c>
      <c r="J4" s="37">
        <f t="shared" si="1"/>
        <v>4069756.0975609757</v>
      </c>
      <c r="K4" s="3">
        <v>20000</v>
      </c>
      <c r="L4" s="44">
        <f t="shared" si="2"/>
        <v>6000000</v>
      </c>
      <c r="M4" s="3">
        <f t="shared" si="3"/>
        <v>1930243.9024390243</v>
      </c>
    </row>
    <row r="5" spans="1:13" x14ac:dyDescent="0.2">
      <c r="A5" s="2"/>
      <c r="B5" s="1" t="s">
        <v>253</v>
      </c>
      <c r="C5" s="1" t="s">
        <v>380</v>
      </c>
      <c r="D5" s="1">
        <v>6.15</v>
      </c>
      <c r="E5" s="1">
        <v>200</v>
      </c>
      <c r="F5" s="1">
        <v>30</v>
      </c>
      <c r="G5" s="1">
        <f t="shared" si="4"/>
        <v>6000</v>
      </c>
      <c r="H5" s="1">
        <f t="shared" si="0"/>
        <v>975.60975609756088</v>
      </c>
      <c r="I5" s="3">
        <v>2781</v>
      </c>
      <c r="J5" s="37">
        <f t="shared" si="1"/>
        <v>2713170.7317073173</v>
      </c>
      <c r="K5" s="29">
        <v>20000</v>
      </c>
      <c r="L5" s="64">
        <f t="shared" si="2"/>
        <v>4000000</v>
      </c>
      <c r="M5" s="29">
        <f t="shared" si="3"/>
        <v>1286829.2682926827</v>
      </c>
    </row>
    <row r="6" spans="1:13" x14ac:dyDescent="0.2">
      <c r="A6" s="2"/>
      <c r="B6" s="1" t="s">
        <v>253</v>
      </c>
      <c r="C6" s="1" t="s">
        <v>380</v>
      </c>
      <c r="D6" s="1">
        <v>6.15</v>
      </c>
      <c r="E6" s="1">
        <v>200</v>
      </c>
      <c r="F6" s="1">
        <v>25</v>
      </c>
      <c r="G6" s="1">
        <f>F6*E6</f>
        <v>5000</v>
      </c>
      <c r="H6" s="1">
        <f>G6/D6</f>
        <v>813.00813008130081</v>
      </c>
      <c r="I6" s="3">
        <v>2781</v>
      </c>
      <c r="J6" s="37">
        <f>F6/D6*E6*I6</f>
        <v>2260975.6097560972</v>
      </c>
      <c r="K6" s="29">
        <v>17000</v>
      </c>
      <c r="L6" s="64">
        <f t="shared" si="2"/>
        <v>3400000</v>
      </c>
      <c r="M6" s="29">
        <f>L6-J6</f>
        <v>1139024.3902439028</v>
      </c>
    </row>
    <row r="7" spans="1:13" x14ac:dyDescent="0.2">
      <c r="A7" s="1"/>
      <c r="B7" s="1" t="s">
        <v>7</v>
      </c>
      <c r="C7" s="1" t="s">
        <v>1175</v>
      </c>
      <c r="D7" s="1">
        <v>6.15</v>
      </c>
      <c r="E7" s="1">
        <v>270</v>
      </c>
      <c r="F7" s="1">
        <v>31.5</v>
      </c>
      <c r="G7" s="1">
        <f t="shared" si="4"/>
        <v>8505</v>
      </c>
      <c r="H7" s="1">
        <f t="shared" si="0"/>
        <v>1382.9268292682925</v>
      </c>
      <c r="I7" s="3">
        <v>2781</v>
      </c>
      <c r="J7" s="37">
        <f t="shared" si="1"/>
        <v>3845919.512195122</v>
      </c>
      <c r="K7" s="29">
        <v>20000</v>
      </c>
      <c r="L7" s="64">
        <f t="shared" si="2"/>
        <v>5400000</v>
      </c>
      <c r="M7" s="29">
        <f t="shared" si="3"/>
        <v>1554080.487804878</v>
      </c>
    </row>
    <row r="8" spans="1:13" x14ac:dyDescent="0.2">
      <c r="A8" s="1"/>
      <c r="B8" s="1" t="s">
        <v>253</v>
      </c>
      <c r="C8" s="1" t="s">
        <v>1176</v>
      </c>
      <c r="D8" s="1">
        <v>6.15</v>
      </c>
      <c r="E8" s="1">
        <v>270</v>
      </c>
      <c r="F8" s="1">
        <v>31.5</v>
      </c>
      <c r="G8" s="1">
        <f t="shared" si="4"/>
        <v>8505</v>
      </c>
      <c r="H8" s="1">
        <f t="shared" si="0"/>
        <v>1382.9268292682925</v>
      </c>
      <c r="I8" s="3">
        <v>2781</v>
      </c>
      <c r="J8" s="37">
        <f t="shared" si="1"/>
        <v>3845919.512195122</v>
      </c>
      <c r="K8" s="29">
        <v>20000</v>
      </c>
      <c r="L8" s="64">
        <f t="shared" si="2"/>
        <v>5400000</v>
      </c>
      <c r="M8" s="29">
        <f t="shared" si="3"/>
        <v>1554080.487804878</v>
      </c>
    </row>
    <row r="9" spans="1:13" x14ac:dyDescent="0.2">
      <c r="A9" s="1"/>
      <c r="B9" s="1" t="s">
        <v>253</v>
      </c>
      <c r="C9" s="1" t="s">
        <v>1177</v>
      </c>
      <c r="D9" s="1">
        <v>6.15</v>
      </c>
      <c r="E9" s="1">
        <v>269</v>
      </c>
      <c r="F9" s="1">
        <v>26</v>
      </c>
      <c r="G9" s="1">
        <f t="shared" si="4"/>
        <v>6994</v>
      </c>
      <c r="H9" s="1">
        <f t="shared" si="0"/>
        <v>1137.2357723577236</v>
      </c>
      <c r="I9" s="3">
        <v>2781</v>
      </c>
      <c r="J9" s="37">
        <f t="shared" si="1"/>
        <v>3162652.682926829</v>
      </c>
      <c r="K9" s="29">
        <v>17000</v>
      </c>
      <c r="L9" s="64">
        <f t="shared" si="2"/>
        <v>4573000</v>
      </c>
      <c r="M9" s="29">
        <f t="shared" si="3"/>
        <v>1410347.317073171</v>
      </c>
    </row>
    <row r="10" spans="1:13" x14ac:dyDescent="0.2">
      <c r="A10" s="1"/>
      <c r="B10" s="1" t="s">
        <v>253</v>
      </c>
      <c r="C10" s="1" t="s">
        <v>1178</v>
      </c>
      <c r="D10" s="1">
        <v>6.15</v>
      </c>
      <c r="E10" s="1">
        <v>200</v>
      </c>
      <c r="F10" s="1">
        <v>27</v>
      </c>
      <c r="G10" s="1">
        <f t="shared" si="4"/>
        <v>5400</v>
      </c>
      <c r="H10" s="1">
        <f t="shared" si="0"/>
        <v>878.04878048780483</v>
      </c>
      <c r="I10" s="3">
        <v>2781</v>
      </c>
      <c r="J10" s="37">
        <f t="shared" si="1"/>
        <v>2441853.658536585</v>
      </c>
      <c r="K10" s="29">
        <v>18000</v>
      </c>
      <c r="L10" s="64">
        <f t="shared" si="2"/>
        <v>3600000</v>
      </c>
      <c r="M10" s="29">
        <f t="shared" si="3"/>
        <v>1158146.341463415</v>
      </c>
    </row>
    <row r="11" spans="1:13" x14ac:dyDescent="0.2">
      <c r="A11" s="1"/>
      <c r="B11" s="1" t="s">
        <v>253</v>
      </c>
      <c r="C11" s="1" t="s">
        <v>1179</v>
      </c>
      <c r="D11" s="1">
        <v>6.15</v>
      </c>
      <c r="E11" s="1">
        <v>270</v>
      </c>
      <c r="F11" s="1">
        <v>25</v>
      </c>
      <c r="G11" s="1">
        <f t="shared" si="4"/>
        <v>6750</v>
      </c>
      <c r="H11" s="1">
        <f t="shared" si="0"/>
        <v>1097.560975609756</v>
      </c>
      <c r="I11" s="3">
        <v>2781</v>
      </c>
      <c r="J11" s="37">
        <f t="shared" si="1"/>
        <v>3052317.0731707313</v>
      </c>
      <c r="K11" s="29">
        <v>17000</v>
      </c>
      <c r="L11" s="64">
        <f t="shared" si="2"/>
        <v>4590000</v>
      </c>
      <c r="M11" s="29">
        <f t="shared" si="3"/>
        <v>1537682.9268292687</v>
      </c>
    </row>
    <row r="12" spans="1:13" x14ac:dyDescent="0.2">
      <c r="A12" s="1"/>
      <c r="B12" s="1" t="s">
        <v>253</v>
      </c>
      <c r="C12" s="1" t="s">
        <v>1224</v>
      </c>
      <c r="D12" s="1">
        <v>6.15</v>
      </c>
      <c r="E12" s="1">
        <v>200</v>
      </c>
      <c r="F12" s="1">
        <v>26</v>
      </c>
      <c r="G12" s="1">
        <f t="shared" si="4"/>
        <v>5200</v>
      </c>
      <c r="H12" s="1">
        <f t="shared" si="0"/>
        <v>845.52845528455282</v>
      </c>
      <c r="I12" s="3">
        <v>2781</v>
      </c>
      <c r="J12" s="37">
        <f t="shared" si="1"/>
        <v>2351414.6341463411</v>
      </c>
      <c r="K12" s="29">
        <v>17000</v>
      </c>
      <c r="L12" s="64">
        <f t="shared" si="2"/>
        <v>3400000</v>
      </c>
      <c r="M12" s="29">
        <f t="shared" si="3"/>
        <v>1048585.3658536589</v>
      </c>
    </row>
    <row r="13" spans="1:13" x14ac:dyDescent="0.2">
      <c r="A13" s="1"/>
      <c r="B13" s="1" t="s">
        <v>253</v>
      </c>
      <c r="C13" s="1" t="s">
        <v>1225</v>
      </c>
      <c r="D13" s="1">
        <v>6.15</v>
      </c>
      <c r="E13" s="1">
        <v>200</v>
      </c>
      <c r="F13" s="1">
        <v>26</v>
      </c>
      <c r="G13" s="1">
        <f t="shared" si="4"/>
        <v>5200</v>
      </c>
      <c r="H13" s="1">
        <f t="shared" si="0"/>
        <v>845.52845528455282</v>
      </c>
      <c r="I13" s="3">
        <v>2781</v>
      </c>
      <c r="J13" s="37">
        <f t="shared" si="1"/>
        <v>2351414.6341463411</v>
      </c>
      <c r="K13" s="29">
        <v>17000</v>
      </c>
      <c r="L13" s="64">
        <f t="shared" si="2"/>
        <v>3400000</v>
      </c>
      <c r="M13" s="29">
        <f t="shared" si="3"/>
        <v>1048585.3658536589</v>
      </c>
    </row>
    <row r="14" spans="1:13" x14ac:dyDescent="0.2">
      <c r="A14" s="1"/>
      <c r="B14" s="1" t="s">
        <v>7</v>
      </c>
      <c r="C14" s="1" t="s">
        <v>1181</v>
      </c>
      <c r="D14" s="1">
        <v>6.15</v>
      </c>
      <c r="E14" s="1">
        <v>200</v>
      </c>
      <c r="F14" s="1">
        <v>23</v>
      </c>
      <c r="G14" s="1">
        <f t="shared" si="4"/>
        <v>4600</v>
      </c>
      <c r="H14" s="1">
        <f t="shared" si="0"/>
        <v>747.96747967479666</v>
      </c>
      <c r="I14" s="3">
        <v>2781</v>
      </c>
      <c r="J14" s="37">
        <f t="shared" si="1"/>
        <v>2080097.5609756096</v>
      </c>
      <c r="K14" s="29">
        <v>16000</v>
      </c>
      <c r="L14" s="64">
        <f t="shared" si="2"/>
        <v>3200000</v>
      </c>
      <c r="M14" s="29">
        <f t="shared" si="3"/>
        <v>1119902.4390243904</v>
      </c>
    </row>
    <row r="15" spans="1:13" x14ac:dyDescent="0.2">
      <c r="A15" s="1"/>
      <c r="B15" s="1" t="s">
        <v>253</v>
      </c>
      <c r="C15" s="1" t="s">
        <v>1180</v>
      </c>
      <c r="D15" s="1">
        <v>6.15</v>
      </c>
      <c r="E15" s="1">
        <v>200</v>
      </c>
      <c r="F15" s="1">
        <v>23</v>
      </c>
      <c r="G15" s="1">
        <f t="shared" si="4"/>
        <v>4600</v>
      </c>
      <c r="H15" s="1">
        <f t="shared" si="0"/>
        <v>747.96747967479666</v>
      </c>
      <c r="I15" s="3">
        <v>2781</v>
      </c>
      <c r="J15" s="37">
        <f t="shared" si="1"/>
        <v>2080097.5609756096</v>
      </c>
      <c r="K15" s="29">
        <v>16000</v>
      </c>
      <c r="L15" s="64">
        <f t="shared" si="2"/>
        <v>3200000</v>
      </c>
      <c r="M15" s="29">
        <f t="shared" si="3"/>
        <v>1119902.4390243904</v>
      </c>
    </row>
    <row r="16" spans="1:13" x14ac:dyDescent="0.2">
      <c r="A16" s="1"/>
      <c r="B16" s="1" t="s">
        <v>253</v>
      </c>
      <c r="C16" s="1" t="s">
        <v>1182</v>
      </c>
      <c r="D16" s="1">
        <v>6.15</v>
      </c>
      <c r="E16" s="1">
        <v>200</v>
      </c>
      <c r="F16" s="1">
        <v>21</v>
      </c>
      <c r="G16" s="1">
        <f t="shared" si="4"/>
        <v>4200</v>
      </c>
      <c r="H16" s="1">
        <f t="shared" si="0"/>
        <v>682.92682926829264</v>
      </c>
      <c r="I16" s="3">
        <v>2781</v>
      </c>
      <c r="J16" s="37">
        <f t="shared" si="1"/>
        <v>1899219.512195122</v>
      </c>
      <c r="K16" s="29">
        <v>15000</v>
      </c>
      <c r="L16" s="64">
        <f t="shared" si="2"/>
        <v>3000000</v>
      </c>
      <c r="M16" s="29">
        <f t="shared" si="3"/>
        <v>1100780.487804878</v>
      </c>
    </row>
    <row r="17" spans="1:13" x14ac:dyDescent="0.2">
      <c r="A17" s="1"/>
      <c r="B17" s="1" t="s">
        <v>7</v>
      </c>
      <c r="C17" s="1" t="s">
        <v>1183</v>
      </c>
      <c r="D17" s="1">
        <v>6.15</v>
      </c>
      <c r="E17" s="1">
        <v>200</v>
      </c>
      <c r="F17" s="1">
        <v>15</v>
      </c>
      <c r="G17" s="1">
        <f t="shared" si="4"/>
        <v>3000</v>
      </c>
      <c r="H17" s="1">
        <f t="shared" si="0"/>
        <v>487.80487804878044</v>
      </c>
      <c r="I17" s="3">
        <v>2781</v>
      </c>
      <c r="J17" s="37">
        <f t="shared" si="1"/>
        <v>1356585.3658536586</v>
      </c>
      <c r="K17" s="29">
        <v>17000</v>
      </c>
      <c r="L17" s="64">
        <f t="shared" si="2"/>
        <v>3400000</v>
      </c>
      <c r="M17" s="29">
        <f t="shared" si="3"/>
        <v>2043414.6341463414</v>
      </c>
    </row>
    <row r="18" spans="1:13" x14ac:dyDescent="0.2">
      <c r="A18" s="1"/>
      <c r="B18" s="1" t="s">
        <v>7</v>
      </c>
      <c r="C18" s="1" t="s">
        <v>1184</v>
      </c>
      <c r="D18" s="1">
        <v>6.15</v>
      </c>
      <c r="E18" s="1">
        <v>390</v>
      </c>
      <c r="F18" s="1">
        <v>29</v>
      </c>
      <c r="G18" s="1">
        <f t="shared" si="4"/>
        <v>11310</v>
      </c>
      <c r="H18" s="1">
        <f t="shared" si="0"/>
        <v>1839.0243902439024</v>
      </c>
      <c r="I18" s="3">
        <v>2781</v>
      </c>
      <c r="J18" s="37">
        <f t="shared" si="1"/>
        <v>5114326.8292682925</v>
      </c>
      <c r="K18" s="29">
        <v>20000</v>
      </c>
      <c r="L18" s="64">
        <f t="shared" si="2"/>
        <v>7800000</v>
      </c>
      <c r="M18" s="29">
        <f t="shared" si="3"/>
        <v>2685673.1707317075</v>
      </c>
    </row>
    <row r="19" spans="1:13" x14ac:dyDescent="0.2">
      <c r="A19" s="1"/>
      <c r="B19" s="1" t="s">
        <v>253</v>
      </c>
      <c r="C19" s="1" t="s">
        <v>1053</v>
      </c>
      <c r="D19" s="1">
        <v>6.15</v>
      </c>
      <c r="E19" s="1">
        <v>500</v>
      </c>
      <c r="F19" s="1">
        <v>25</v>
      </c>
      <c r="G19" s="1">
        <f t="shared" si="4"/>
        <v>12500</v>
      </c>
      <c r="H19" s="1">
        <f t="shared" si="0"/>
        <v>2032.520325203252</v>
      </c>
      <c r="I19" s="3">
        <v>2781</v>
      </c>
      <c r="J19" s="37">
        <f t="shared" si="1"/>
        <v>5652439.0243902439</v>
      </c>
      <c r="K19" s="29">
        <v>17000</v>
      </c>
      <c r="L19" s="64">
        <f t="shared" si="2"/>
        <v>8500000</v>
      </c>
      <c r="M19" s="29">
        <f t="shared" si="3"/>
        <v>2847560.9756097561</v>
      </c>
    </row>
    <row r="20" spans="1:13" x14ac:dyDescent="0.2">
      <c r="A20" s="1"/>
      <c r="B20" s="1" t="s">
        <v>253</v>
      </c>
      <c r="C20" s="1" t="s">
        <v>1185</v>
      </c>
      <c r="D20" s="1">
        <v>6.15</v>
      </c>
      <c r="E20" s="1">
        <v>180</v>
      </c>
      <c r="F20" s="1">
        <v>26</v>
      </c>
      <c r="G20" s="1">
        <f t="shared" si="4"/>
        <v>4680</v>
      </c>
      <c r="H20" s="1">
        <f t="shared" si="0"/>
        <v>760.97560975609747</v>
      </c>
      <c r="I20" s="3">
        <v>2781</v>
      </c>
      <c r="J20" s="37">
        <f t="shared" si="1"/>
        <v>2116273.170731707</v>
      </c>
      <c r="K20" s="29">
        <v>17000</v>
      </c>
      <c r="L20" s="64">
        <f t="shared" si="2"/>
        <v>3060000</v>
      </c>
      <c r="M20" s="29">
        <f t="shared" si="3"/>
        <v>943726.82926829299</v>
      </c>
    </row>
    <row r="21" spans="1:13" x14ac:dyDescent="0.2">
      <c r="A21" s="1"/>
      <c r="B21" s="1" t="s">
        <v>253</v>
      </c>
      <c r="C21" s="1" t="s">
        <v>1186</v>
      </c>
      <c r="D21" s="1">
        <v>6.15</v>
      </c>
      <c r="E21" s="1">
        <v>190</v>
      </c>
      <c r="F21" s="1">
        <v>27</v>
      </c>
      <c r="G21" s="1">
        <f t="shared" si="4"/>
        <v>5130</v>
      </c>
      <c r="H21" s="1">
        <f t="shared" si="0"/>
        <v>834.14634146341461</v>
      </c>
      <c r="I21" s="3">
        <v>2781</v>
      </c>
      <c r="J21" s="37">
        <f t="shared" si="1"/>
        <v>2319760.9756097561</v>
      </c>
      <c r="K21" s="29">
        <v>18000</v>
      </c>
      <c r="L21" s="64">
        <f t="shared" si="2"/>
        <v>3420000</v>
      </c>
      <c r="M21" s="29">
        <f t="shared" si="3"/>
        <v>1100239.0243902439</v>
      </c>
    </row>
    <row r="22" spans="1:13" x14ac:dyDescent="0.2">
      <c r="A22" s="1"/>
      <c r="B22" s="1" t="s">
        <v>7</v>
      </c>
      <c r="C22" s="1" t="s">
        <v>1187</v>
      </c>
      <c r="D22" s="1">
        <v>6.15</v>
      </c>
      <c r="E22" s="1">
        <v>210</v>
      </c>
      <c r="F22" s="1">
        <v>15</v>
      </c>
      <c r="G22" s="1">
        <f t="shared" si="4"/>
        <v>3150</v>
      </c>
      <c r="H22" s="1">
        <f t="shared" si="0"/>
        <v>512.19512195121945</v>
      </c>
      <c r="I22" s="3">
        <v>2781</v>
      </c>
      <c r="J22" s="37">
        <f t="shared" si="1"/>
        <v>1424414.6341463416</v>
      </c>
      <c r="K22" s="29">
        <v>17000</v>
      </c>
      <c r="L22" s="64">
        <f t="shared" si="2"/>
        <v>3570000</v>
      </c>
      <c r="M22" s="29">
        <f t="shared" si="3"/>
        <v>2145585.3658536584</v>
      </c>
    </row>
    <row r="23" spans="1:13" x14ac:dyDescent="0.2">
      <c r="A23" s="1"/>
      <c r="B23" s="1" t="s">
        <v>253</v>
      </c>
      <c r="C23" s="1" t="s">
        <v>1188</v>
      </c>
      <c r="D23" s="1">
        <v>6.15</v>
      </c>
      <c r="E23" s="1">
        <v>500</v>
      </c>
      <c r="F23" s="1">
        <v>14</v>
      </c>
      <c r="G23" s="1">
        <f t="shared" si="4"/>
        <v>7000</v>
      </c>
      <c r="H23" s="1">
        <f t="shared" si="0"/>
        <v>1138.2113821138212</v>
      </c>
      <c r="I23" s="3">
        <v>2781</v>
      </c>
      <c r="J23" s="37">
        <f t="shared" si="1"/>
        <v>3165365.8536585369</v>
      </c>
      <c r="K23" s="29">
        <v>16000</v>
      </c>
      <c r="L23" s="64">
        <f t="shared" si="2"/>
        <v>8000000</v>
      </c>
      <c r="M23" s="29">
        <f t="shared" si="3"/>
        <v>4834634.1463414636</v>
      </c>
    </row>
    <row r="24" spans="1:13" x14ac:dyDescent="0.2">
      <c r="A24" s="1"/>
      <c r="B24" s="1" t="s">
        <v>253</v>
      </c>
      <c r="C24" s="1" t="s">
        <v>1189</v>
      </c>
      <c r="D24" s="1">
        <v>6.15</v>
      </c>
      <c r="E24" s="1">
        <v>401</v>
      </c>
      <c r="F24" s="1">
        <v>18</v>
      </c>
      <c r="G24" s="1">
        <f t="shared" si="4"/>
        <v>7218</v>
      </c>
      <c r="H24" s="1">
        <f t="shared" si="0"/>
        <v>1173.6585365853657</v>
      </c>
      <c r="I24" s="3">
        <v>2781</v>
      </c>
      <c r="J24" s="37">
        <f t="shared" si="1"/>
        <v>3263944.3902439023</v>
      </c>
      <c r="K24" s="29">
        <v>20000</v>
      </c>
      <c r="L24" s="64">
        <f t="shared" si="2"/>
        <v>8020000</v>
      </c>
      <c r="M24" s="29">
        <f t="shared" si="3"/>
        <v>4756055.6097560972</v>
      </c>
    </row>
    <row r="25" spans="1:13" x14ac:dyDescent="0.2">
      <c r="A25" s="1"/>
      <c r="B25" s="1" t="s">
        <v>253</v>
      </c>
      <c r="C25" s="1" t="s">
        <v>1190</v>
      </c>
      <c r="D25" s="1">
        <v>6.15</v>
      </c>
      <c r="E25" s="1">
        <v>564</v>
      </c>
      <c r="F25" s="1">
        <v>14</v>
      </c>
      <c r="G25" s="1">
        <f t="shared" si="4"/>
        <v>7896</v>
      </c>
      <c r="H25" s="1">
        <f t="shared" si="0"/>
        <v>1283.9024390243901</v>
      </c>
      <c r="I25" s="3">
        <v>2781</v>
      </c>
      <c r="J25" s="37">
        <f t="shared" si="1"/>
        <v>3570532.6829268294</v>
      </c>
      <c r="K25" s="29">
        <v>16000</v>
      </c>
      <c r="L25" s="64">
        <f t="shared" si="2"/>
        <v>9024000</v>
      </c>
      <c r="M25" s="29">
        <f t="shared" si="3"/>
        <v>5453467.3170731701</v>
      </c>
    </row>
    <row r="26" spans="1:13" x14ac:dyDescent="0.2">
      <c r="A26" s="1"/>
      <c r="B26" s="1" t="s">
        <v>253</v>
      </c>
      <c r="C26" s="1" t="s">
        <v>1050</v>
      </c>
      <c r="D26" s="1">
        <v>6.15</v>
      </c>
      <c r="E26" s="1">
        <v>361</v>
      </c>
      <c r="F26" s="1">
        <v>16</v>
      </c>
      <c r="G26" s="1">
        <f t="shared" si="4"/>
        <v>5776</v>
      </c>
      <c r="H26" s="1">
        <f t="shared" si="0"/>
        <v>939.18699186991864</v>
      </c>
      <c r="I26" s="3">
        <v>2781</v>
      </c>
      <c r="J26" s="37">
        <f t="shared" si="1"/>
        <v>2611879.0243902439</v>
      </c>
      <c r="K26" s="29">
        <v>17000</v>
      </c>
      <c r="L26" s="64">
        <f t="shared" si="2"/>
        <v>6137000</v>
      </c>
      <c r="M26" s="29">
        <f t="shared" si="3"/>
        <v>3525120.9756097561</v>
      </c>
    </row>
    <row r="27" spans="1:13" x14ac:dyDescent="0.2">
      <c r="A27" s="1"/>
      <c r="B27" s="1" t="s">
        <v>7</v>
      </c>
      <c r="C27" s="1" t="s">
        <v>1191</v>
      </c>
      <c r="D27" s="1">
        <v>6.15</v>
      </c>
      <c r="E27" s="1">
        <v>1000</v>
      </c>
      <c r="F27" s="1">
        <v>25</v>
      </c>
      <c r="G27" s="1">
        <f t="shared" si="4"/>
        <v>25000</v>
      </c>
      <c r="H27" s="1">
        <f t="shared" si="0"/>
        <v>4065.040650406504</v>
      </c>
      <c r="I27" s="3">
        <v>2781</v>
      </c>
      <c r="J27" s="37">
        <f t="shared" si="1"/>
        <v>11304878.048780488</v>
      </c>
      <c r="K27" s="29">
        <v>18000</v>
      </c>
      <c r="L27" s="64">
        <f t="shared" si="2"/>
        <v>18000000</v>
      </c>
      <c r="M27" s="29">
        <f t="shared" si="3"/>
        <v>6695121.9512195121</v>
      </c>
    </row>
    <row r="28" spans="1:13" x14ac:dyDescent="0.2">
      <c r="A28" s="1"/>
      <c r="B28" s="1" t="s">
        <v>253</v>
      </c>
      <c r="C28" s="1" t="s">
        <v>1194</v>
      </c>
      <c r="D28" s="1">
        <v>6.15</v>
      </c>
      <c r="E28" s="1">
        <v>500</v>
      </c>
      <c r="F28" s="1">
        <v>20</v>
      </c>
      <c r="G28" s="1">
        <f t="shared" si="4"/>
        <v>10000</v>
      </c>
      <c r="H28" s="1">
        <f t="shared" si="0"/>
        <v>1626.0162601626016</v>
      </c>
      <c r="I28" s="3">
        <v>2781</v>
      </c>
      <c r="J28" s="37">
        <f t="shared" si="1"/>
        <v>4521951.2195121953</v>
      </c>
      <c r="K28" s="29">
        <v>17000</v>
      </c>
      <c r="L28" s="64">
        <f t="shared" si="2"/>
        <v>8500000</v>
      </c>
      <c r="M28" s="29">
        <f t="shared" si="3"/>
        <v>3978048.7804878047</v>
      </c>
    </row>
    <row r="29" spans="1:13" x14ac:dyDescent="0.2">
      <c r="A29" s="1"/>
      <c r="B29" s="1" t="s">
        <v>253</v>
      </c>
      <c r="C29" s="1" t="s">
        <v>1192</v>
      </c>
      <c r="D29" s="1">
        <v>6.15</v>
      </c>
      <c r="E29" s="1">
        <v>1510</v>
      </c>
      <c r="F29" s="1">
        <v>15</v>
      </c>
      <c r="G29" s="1">
        <f t="shared" si="4"/>
        <v>22650</v>
      </c>
      <c r="H29" s="1">
        <f t="shared" si="0"/>
        <v>3682.9268292682923</v>
      </c>
      <c r="I29" s="3">
        <v>2781</v>
      </c>
      <c r="J29" s="37">
        <f t="shared" si="1"/>
        <v>10242219.512195121</v>
      </c>
      <c r="K29" s="29">
        <v>16000</v>
      </c>
      <c r="L29" s="64">
        <f t="shared" si="2"/>
        <v>24160000</v>
      </c>
      <c r="M29" s="29">
        <f t="shared" si="3"/>
        <v>13917780.487804879</v>
      </c>
    </row>
    <row r="30" spans="1:13" x14ac:dyDescent="0.2">
      <c r="A30" s="1"/>
      <c r="B30" s="1"/>
      <c r="C30" s="1" t="s">
        <v>1193</v>
      </c>
      <c r="D30" s="1">
        <v>6.15</v>
      </c>
      <c r="E30" s="1">
        <v>320</v>
      </c>
      <c r="F30" s="1">
        <v>12</v>
      </c>
      <c r="G30" s="1">
        <f t="shared" si="4"/>
        <v>3840</v>
      </c>
      <c r="H30" s="1">
        <f t="shared" si="0"/>
        <v>624.39024390243901</v>
      </c>
      <c r="I30" s="3">
        <v>2781</v>
      </c>
      <c r="J30" s="37">
        <f t="shared" si="1"/>
        <v>1736429.2682926827</v>
      </c>
      <c r="K30" s="29">
        <v>17000</v>
      </c>
      <c r="L30" s="64">
        <f t="shared" si="2"/>
        <v>5440000</v>
      </c>
      <c r="M30" s="29">
        <f t="shared" si="3"/>
        <v>3703570.7317073173</v>
      </c>
    </row>
    <row r="31" spans="1:13" x14ac:dyDescent="0.2">
      <c r="A31" s="1"/>
      <c r="B31" s="1" t="s">
        <v>7</v>
      </c>
      <c r="C31" s="1" t="s">
        <v>1195</v>
      </c>
      <c r="D31" s="1">
        <v>6.15</v>
      </c>
      <c r="E31" s="1">
        <v>450</v>
      </c>
      <c r="F31" s="1">
        <v>13</v>
      </c>
      <c r="G31" s="1">
        <f t="shared" si="4"/>
        <v>5850</v>
      </c>
      <c r="H31" s="1">
        <f t="shared" si="0"/>
        <v>951.21951219512187</v>
      </c>
      <c r="I31" s="3">
        <v>2781</v>
      </c>
      <c r="J31" s="37">
        <f t="shared" si="1"/>
        <v>2645341.4634146341</v>
      </c>
      <c r="K31" s="29">
        <v>17000</v>
      </c>
      <c r="L31" s="17">
        <f t="shared" si="2"/>
        <v>7650000</v>
      </c>
      <c r="M31" s="17">
        <f t="shared" si="3"/>
        <v>5004658.5365853664</v>
      </c>
    </row>
    <row r="32" spans="1:13" x14ac:dyDescent="0.2">
      <c r="A32" s="1"/>
      <c r="B32" s="1" t="s">
        <v>7</v>
      </c>
      <c r="C32" s="1" t="s">
        <v>1196</v>
      </c>
      <c r="D32" s="1">
        <v>6.15</v>
      </c>
      <c r="E32" s="1">
        <v>400</v>
      </c>
      <c r="F32" s="1">
        <v>28</v>
      </c>
      <c r="G32" s="1">
        <f t="shared" si="4"/>
        <v>11200</v>
      </c>
      <c r="H32" s="1">
        <f t="shared" si="0"/>
        <v>1821.1382113821137</v>
      </c>
      <c r="I32" s="3">
        <v>2781</v>
      </c>
      <c r="J32" s="37">
        <f t="shared" si="1"/>
        <v>5064585.3658536589</v>
      </c>
      <c r="K32" s="29">
        <v>20000</v>
      </c>
      <c r="L32" s="17">
        <f t="shared" si="2"/>
        <v>8000000</v>
      </c>
      <c r="M32" s="17">
        <f t="shared" si="3"/>
        <v>2935414.6341463411</v>
      </c>
    </row>
    <row r="33" spans="1:13" x14ac:dyDescent="0.2">
      <c r="A33" s="1"/>
      <c r="B33" s="1" t="s">
        <v>253</v>
      </c>
      <c r="C33" s="1" t="s">
        <v>1197</v>
      </c>
      <c r="D33" s="1">
        <v>6.15</v>
      </c>
      <c r="E33" s="1">
        <v>406</v>
      </c>
      <c r="F33" s="1">
        <v>25</v>
      </c>
      <c r="G33" s="1">
        <f t="shared" si="4"/>
        <v>10150</v>
      </c>
      <c r="H33" s="1">
        <f t="shared" si="0"/>
        <v>1650.4065040650405</v>
      </c>
      <c r="I33" s="3">
        <v>2781</v>
      </c>
      <c r="J33" s="37">
        <f t="shared" si="1"/>
        <v>4589780.4878048776</v>
      </c>
      <c r="K33" s="29">
        <v>17000</v>
      </c>
      <c r="L33" s="17">
        <f t="shared" si="2"/>
        <v>6902000</v>
      </c>
      <c r="M33" s="17">
        <f t="shared" si="3"/>
        <v>2312219.5121951224</v>
      </c>
    </row>
    <row r="34" spans="1:13" x14ac:dyDescent="0.2">
      <c r="A34" s="1"/>
      <c r="B34" s="1" t="s">
        <v>7</v>
      </c>
      <c r="C34" s="1" t="s">
        <v>1198</v>
      </c>
      <c r="D34" s="1">
        <v>6.15</v>
      </c>
      <c r="E34" s="1">
        <v>336</v>
      </c>
      <c r="F34" s="1">
        <v>32</v>
      </c>
      <c r="G34" s="1">
        <f t="shared" si="4"/>
        <v>10752</v>
      </c>
      <c r="H34" s="1">
        <f t="shared" si="0"/>
        <v>1748.2926829268292</v>
      </c>
      <c r="I34" s="3">
        <v>2781</v>
      </c>
      <c r="J34" s="37">
        <f t="shared" si="1"/>
        <v>4862001.9512195121</v>
      </c>
      <c r="K34" s="29">
        <v>20000</v>
      </c>
      <c r="L34" s="17">
        <f t="shared" si="2"/>
        <v>6720000</v>
      </c>
      <c r="M34" s="17">
        <f t="shared" si="3"/>
        <v>1857998.0487804879</v>
      </c>
    </row>
    <row r="35" spans="1:13" x14ac:dyDescent="0.2">
      <c r="A35" s="1"/>
      <c r="B35" s="1" t="s">
        <v>253</v>
      </c>
      <c r="C35" s="1" t="s">
        <v>1199</v>
      </c>
      <c r="D35" s="1">
        <v>6.15</v>
      </c>
      <c r="E35" s="1">
        <v>300</v>
      </c>
      <c r="F35" s="1">
        <v>26</v>
      </c>
      <c r="G35" s="1">
        <f t="shared" si="4"/>
        <v>7800</v>
      </c>
      <c r="H35" s="1">
        <f t="shared" si="0"/>
        <v>1268.2926829268292</v>
      </c>
      <c r="I35" s="3">
        <v>2781</v>
      </c>
      <c r="J35" s="37">
        <f t="shared" si="1"/>
        <v>3527121.9512195117</v>
      </c>
      <c r="K35" s="29">
        <v>17000</v>
      </c>
      <c r="L35" s="17">
        <f t="shared" si="2"/>
        <v>5100000</v>
      </c>
      <c r="M35" s="17">
        <f t="shared" si="3"/>
        <v>1572878.0487804883</v>
      </c>
    </row>
    <row r="36" spans="1:13" x14ac:dyDescent="0.2">
      <c r="A36" s="1"/>
      <c r="B36" s="1" t="s">
        <v>253</v>
      </c>
      <c r="C36" s="1" t="s">
        <v>1200</v>
      </c>
      <c r="D36" s="1">
        <v>6.15</v>
      </c>
      <c r="E36" s="1">
        <v>290</v>
      </c>
      <c r="F36" s="1">
        <v>25</v>
      </c>
      <c r="G36" s="1">
        <f t="shared" si="4"/>
        <v>7250</v>
      </c>
      <c r="H36" s="1">
        <f t="shared" si="0"/>
        <v>1178.8617886178861</v>
      </c>
      <c r="I36" s="3">
        <v>2781</v>
      </c>
      <c r="J36" s="37">
        <f t="shared" si="1"/>
        <v>3278414.6341463411</v>
      </c>
      <c r="K36" s="29">
        <v>17000</v>
      </c>
      <c r="L36" s="17">
        <f t="shared" si="2"/>
        <v>4930000</v>
      </c>
      <c r="M36" s="17">
        <f t="shared" si="3"/>
        <v>1651585.3658536589</v>
      </c>
    </row>
    <row r="37" spans="1:13" x14ac:dyDescent="0.2">
      <c r="A37" s="1"/>
      <c r="B37" s="1" t="s">
        <v>253</v>
      </c>
      <c r="C37" s="1" t="s">
        <v>1201</v>
      </c>
      <c r="D37" s="1">
        <v>6.15</v>
      </c>
      <c r="E37" s="1">
        <v>570</v>
      </c>
      <c r="F37" s="1">
        <v>25</v>
      </c>
      <c r="G37" s="1">
        <f t="shared" si="4"/>
        <v>14250</v>
      </c>
      <c r="H37" s="1">
        <f t="shared" si="0"/>
        <v>2317.0731707317073</v>
      </c>
      <c r="I37" s="3">
        <v>2781</v>
      </c>
      <c r="J37" s="37">
        <f t="shared" si="1"/>
        <v>6443780.4878048776</v>
      </c>
      <c r="K37" s="29">
        <v>17000</v>
      </c>
      <c r="L37" s="17">
        <f t="shared" si="2"/>
        <v>9690000</v>
      </c>
      <c r="M37" s="17">
        <f t="shared" si="3"/>
        <v>3246219.5121951224</v>
      </c>
    </row>
    <row r="38" spans="1:13" x14ac:dyDescent="0.2">
      <c r="A38" s="1"/>
      <c r="B38" s="1" t="s">
        <v>253</v>
      </c>
      <c r="C38" s="1" t="s">
        <v>1202</v>
      </c>
      <c r="D38" s="1">
        <v>6.15</v>
      </c>
      <c r="E38" s="1">
        <v>450</v>
      </c>
      <c r="F38" s="1">
        <v>25</v>
      </c>
      <c r="G38" s="1">
        <f t="shared" si="4"/>
        <v>11250</v>
      </c>
      <c r="H38" s="1">
        <f t="shared" si="0"/>
        <v>1829.2682926829268</v>
      </c>
      <c r="I38" s="3">
        <v>2781</v>
      </c>
      <c r="J38" s="37">
        <f t="shared" si="1"/>
        <v>5087195.1219512187</v>
      </c>
      <c r="K38" s="29">
        <v>17000</v>
      </c>
      <c r="L38" s="17">
        <f t="shared" si="2"/>
        <v>7650000</v>
      </c>
      <c r="M38" s="17">
        <f t="shared" si="3"/>
        <v>2562804.8780487813</v>
      </c>
    </row>
    <row r="39" spans="1:13" x14ac:dyDescent="0.2">
      <c r="A39" s="1"/>
      <c r="B39" s="1" t="s">
        <v>253</v>
      </c>
      <c r="C39" s="1" t="s">
        <v>1203</v>
      </c>
      <c r="D39" s="1">
        <v>6.15</v>
      </c>
      <c r="E39" s="1">
        <v>338</v>
      </c>
      <c r="F39" s="1">
        <v>32</v>
      </c>
      <c r="G39" s="1">
        <f t="shared" si="4"/>
        <v>10816</v>
      </c>
      <c r="H39" s="1">
        <f t="shared" si="0"/>
        <v>1758.6991869918697</v>
      </c>
      <c r="I39" s="3">
        <v>2781</v>
      </c>
      <c r="J39" s="37">
        <f t="shared" si="1"/>
        <v>4890942.4390243897</v>
      </c>
      <c r="K39" s="29">
        <v>20000</v>
      </c>
      <c r="L39" s="17">
        <f t="shared" si="2"/>
        <v>6760000</v>
      </c>
      <c r="M39" s="17">
        <f t="shared" si="3"/>
        <v>1869057.5609756103</v>
      </c>
    </row>
    <row r="40" spans="1:13" x14ac:dyDescent="0.2">
      <c r="A40" s="1"/>
      <c r="B40" s="1" t="s">
        <v>253</v>
      </c>
      <c r="C40" s="1" t="s">
        <v>1204</v>
      </c>
      <c r="D40" s="1">
        <v>6.15</v>
      </c>
      <c r="E40" s="1">
        <v>540</v>
      </c>
      <c r="F40" s="1">
        <v>30.5</v>
      </c>
      <c r="G40" s="1">
        <f t="shared" si="4"/>
        <v>16470</v>
      </c>
      <c r="H40" s="1">
        <f t="shared" si="0"/>
        <v>2678.0487804878048</v>
      </c>
      <c r="I40" s="3">
        <v>2781</v>
      </c>
      <c r="J40" s="37">
        <f t="shared" si="1"/>
        <v>7447653.6585365841</v>
      </c>
      <c r="K40" s="29">
        <v>20000</v>
      </c>
      <c r="L40" s="17">
        <f t="shared" si="2"/>
        <v>10800000</v>
      </c>
      <c r="M40" s="17">
        <f t="shared" si="3"/>
        <v>3352346.3414634159</v>
      </c>
    </row>
    <row r="41" spans="1:13" x14ac:dyDescent="0.2">
      <c r="A41" s="1"/>
      <c r="B41" s="1" t="s">
        <v>253</v>
      </c>
      <c r="C41" s="1" t="s">
        <v>1210</v>
      </c>
      <c r="D41" s="1">
        <v>6.15</v>
      </c>
      <c r="E41" s="1">
        <v>201</v>
      </c>
      <c r="F41" s="1">
        <v>25</v>
      </c>
      <c r="G41" s="1">
        <f t="shared" si="4"/>
        <v>5025</v>
      </c>
      <c r="H41" s="1">
        <f t="shared" si="0"/>
        <v>817.07317073170725</v>
      </c>
      <c r="I41" s="3">
        <v>2781</v>
      </c>
      <c r="J41" s="37">
        <f t="shared" si="1"/>
        <v>2272280.487804878</v>
      </c>
      <c r="K41" s="29">
        <v>18000</v>
      </c>
      <c r="L41" s="17">
        <f t="shared" si="2"/>
        <v>3618000</v>
      </c>
      <c r="M41" s="17">
        <f t="shared" si="3"/>
        <v>1345719.512195122</v>
      </c>
    </row>
    <row r="42" spans="1:13" x14ac:dyDescent="0.2">
      <c r="A42" s="1"/>
      <c r="B42" s="1" t="s">
        <v>7</v>
      </c>
      <c r="C42" s="1" t="s">
        <v>1206</v>
      </c>
      <c r="D42" s="1">
        <v>6.15</v>
      </c>
      <c r="E42" s="1">
        <v>333</v>
      </c>
      <c r="F42" s="1">
        <v>17</v>
      </c>
      <c r="G42" s="1">
        <f t="shared" si="4"/>
        <v>5661</v>
      </c>
      <c r="H42" s="1">
        <f t="shared" si="0"/>
        <v>920.48780487804868</v>
      </c>
      <c r="I42" s="3">
        <v>2781</v>
      </c>
      <c r="J42" s="37">
        <f t="shared" si="1"/>
        <v>2559876.5853658537</v>
      </c>
      <c r="K42" s="29">
        <v>18000</v>
      </c>
      <c r="L42" s="17">
        <f t="shared" si="2"/>
        <v>5994000</v>
      </c>
      <c r="M42" s="17">
        <f t="shared" si="3"/>
        <v>3434123.4146341463</v>
      </c>
    </row>
    <row r="43" spans="1:13" x14ac:dyDescent="0.2">
      <c r="A43" s="1"/>
      <c r="B43" s="1" t="s">
        <v>253</v>
      </c>
      <c r="C43" s="1" t="s">
        <v>253</v>
      </c>
      <c r="D43" s="1">
        <v>6.15</v>
      </c>
      <c r="E43" s="1">
        <v>28</v>
      </c>
      <c r="F43" s="1">
        <v>15</v>
      </c>
      <c r="G43" s="1">
        <f t="shared" si="4"/>
        <v>420</v>
      </c>
      <c r="H43" s="1">
        <f t="shared" si="0"/>
        <v>68.292682926829258</v>
      </c>
      <c r="I43" s="3">
        <v>2781</v>
      </c>
      <c r="J43" s="37">
        <f t="shared" si="1"/>
        <v>189921.95121951221</v>
      </c>
      <c r="K43" s="29">
        <v>17000</v>
      </c>
      <c r="L43" s="17">
        <f t="shared" si="2"/>
        <v>476000</v>
      </c>
      <c r="M43" s="17">
        <f t="shared" si="3"/>
        <v>286078.04878048779</v>
      </c>
    </row>
    <row r="44" spans="1:13" x14ac:dyDescent="0.2">
      <c r="A44" s="1"/>
      <c r="B44" s="1" t="s">
        <v>7</v>
      </c>
      <c r="C44" s="1" t="s">
        <v>1207</v>
      </c>
      <c r="D44" s="1">
        <v>6.15</v>
      </c>
      <c r="E44" s="1">
        <v>150</v>
      </c>
      <c r="F44" s="1">
        <v>15</v>
      </c>
      <c r="G44" s="1">
        <f t="shared" si="4"/>
        <v>2250</v>
      </c>
      <c r="H44" s="1">
        <f t="shared" si="0"/>
        <v>365.85365853658533</v>
      </c>
      <c r="I44" s="3">
        <v>2781</v>
      </c>
      <c r="J44" s="37">
        <f t="shared" si="1"/>
        <v>1017439.0243902439</v>
      </c>
      <c r="K44" s="29">
        <v>18000</v>
      </c>
      <c r="L44" s="17">
        <f t="shared" si="2"/>
        <v>2700000</v>
      </c>
      <c r="M44" s="17">
        <f t="shared" si="3"/>
        <v>1682560.9756097561</v>
      </c>
    </row>
    <row r="45" spans="1:13" x14ac:dyDescent="0.2">
      <c r="A45" s="1"/>
      <c r="B45" s="1" t="s">
        <v>253</v>
      </c>
      <c r="C45" s="1" t="s">
        <v>1208</v>
      </c>
      <c r="D45" s="1">
        <v>6.15</v>
      </c>
      <c r="E45" s="1">
        <v>500</v>
      </c>
      <c r="F45" s="1">
        <v>16</v>
      </c>
      <c r="G45" s="1">
        <f t="shared" si="4"/>
        <v>8000</v>
      </c>
      <c r="H45" s="1">
        <f t="shared" si="0"/>
        <v>1300.8130081300812</v>
      </c>
      <c r="I45" s="3">
        <v>2781</v>
      </c>
      <c r="J45" s="37">
        <f t="shared" si="1"/>
        <v>3617560.9756097561</v>
      </c>
      <c r="K45" s="29">
        <v>16000</v>
      </c>
      <c r="L45" s="17">
        <f t="shared" si="2"/>
        <v>8000000</v>
      </c>
      <c r="M45" s="17">
        <f t="shared" si="3"/>
        <v>4382439.0243902439</v>
      </c>
    </row>
    <row r="46" spans="1:13" x14ac:dyDescent="0.2">
      <c r="A46" s="1"/>
      <c r="B46" s="1" t="s">
        <v>7</v>
      </c>
      <c r="C46" s="1" t="s">
        <v>1205</v>
      </c>
      <c r="D46" s="1">
        <v>6.15</v>
      </c>
      <c r="E46" s="1">
        <v>200</v>
      </c>
      <c r="F46" s="1">
        <v>27</v>
      </c>
      <c r="G46" s="1">
        <f t="shared" si="4"/>
        <v>5400</v>
      </c>
      <c r="H46" s="1">
        <f t="shared" si="0"/>
        <v>878.04878048780483</v>
      </c>
      <c r="I46" s="3">
        <v>2781</v>
      </c>
      <c r="J46" s="37">
        <f t="shared" si="1"/>
        <v>2441853.658536585</v>
      </c>
      <c r="K46" s="29">
        <v>18000</v>
      </c>
      <c r="L46" s="17">
        <f t="shared" si="2"/>
        <v>3600000</v>
      </c>
      <c r="M46" s="17">
        <f t="shared" si="3"/>
        <v>1158146.341463415</v>
      </c>
    </row>
    <row r="47" spans="1:13" x14ac:dyDescent="0.2">
      <c r="A47" s="1"/>
      <c r="B47" s="1" t="s">
        <v>7</v>
      </c>
      <c r="C47" s="1" t="s">
        <v>1209</v>
      </c>
      <c r="D47" s="1">
        <v>6.15</v>
      </c>
      <c r="E47" s="1">
        <v>213</v>
      </c>
      <c r="F47" s="1">
        <v>15</v>
      </c>
      <c r="G47" s="1">
        <f t="shared" si="4"/>
        <v>3195</v>
      </c>
      <c r="H47" s="1">
        <f t="shared" si="0"/>
        <v>519.51219512195121</v>
      </c>
      <c r="I47" s="3">
        <v>2781</v>
      </c>
      <c r="J47" s="37">
        <f t="shared" si="1"/>
        <v>1444763.4146341463</v>
      </c>
      <c r="K47" s="29">
        <v>18000</v>
      </c>
      <c r="L47" s="17">
        <f t="shared" si="2"/>
        <v>3834000</v>
      </c>
      <c r="M47" s="17">
        <f t="shared" si="3"/>
        <v>2389236.5853658537</v>
      </c>
    </row>
    <row r="48" spans="1:13" x14ac:dyDescent="0.2">
      <c r="A48" s="1"/>
      <c r="B48" s="1" t="s">
        <v>1218</v>
      </c>
      <c r="C48" s="1" t="s">
        <v>1219</v>
      </c>
      <c r="D48" s="1">
        <v>6.15</v>
      </c>
      <c r="E48" s="1">
        <v>300</v>
      </c>
      <c r="F48" s="1">
        <v>18</v>
      </c>
      <c r="G48" s="1">
        <f t="shared" si="4"/>
        <v>5400</v>
      </c>
      <c r="H48" s="1">
        <f t="shared" si="0"/>
        <v>878.04878048780483</v>
      </c>
      <c r="I48" s="3">
        <v>2781</v>
      </c>
      <c r="J48" s="37">
        <f t="shared" si="1"/>
        <v>2441853.658536585</v>
      </c>
      <c r="K48" s="29">
        <v>13000</v>
      </c>
      <c r="L48" s="17">
        <f t="shared" si="2"/>
        <v>3900000</v>
      </c>
      <c r="M48" s="17">
        <f t="shared" si="3"/>
        <v>1458146.341463415</v>
      </c>
    </row>
    <row r="49" spans="1:13" x14ac:dyDescent="0.2">
      <c r="A49" s="1"/>
      <c r="B49" s="1"/>
      <c r="C49" s="1" t="s">
        <v>253</v>
      </c>
      <c r="D49" s="1">
        <v>6.15</v>
      </c>
      <c r="E49" s="1">
        <v>165</v>
      </c>
      <c r="F49" s="1">
        <v>15</v>
      </c>
      <c r="G49" s="1">
        <f t="shared" si="4"/>
        <v>2475</v>
      </c>
      <c r="H49" s="1">
        <f t="shared" si="0"/>
        <v>402.4390243902439</v>
      </c>
      <c r="I49" s="3">
        <v>2781</v>
      </c>
      <c r="J49" s="37">
        <f t="shared" si="1"/>
        <v>1119182.9268292682</v>
      </c>
      <c r="K49" s="29">
        <v>13000</v>
      </c>
      <c r="L49" s="17">
        <f t="shared" si="2"/>
        <v>2145000</v>
      </c>
      <c r="M49" s="17">
        <f t="shared" si="3"/>
        <v>1025817.0731707318</v>
      </c>
    </row>
    <row r="50" spans="1:13" x14ac:dyDescent="0.2">
      <c r="A50" s="1"/>
      <c r="B50" s="1"/>
      <c r="C50" s="1" t="s">
        <v>1267</v>
      </c>
      <c r="D50" s="1"/>
      <c r="E50" s="92">
        <f>SUM(E3:E49)</f>
        <v>16275</v>
      </c>
      <c r="F50" s="1"/>
      <c r="G50" s="1"/>
      <c r="H50" s="139">
        <f>SUM(H3:H49)</f>
        <v>58572.032520325229</v>
      </c>
      <c r="I50" s="3"/>
      <c r="J50" s="138">
        <f>SUM(J4:J40)</f>
        <v>142392626.34146342</v>
      </c>
      <c r="K50" s="1"/>
      <c r="L50" s="86">
        <f>SUM(L3:L49)</f>
        <v>283763000</v>
      </c>
      <c r="M50" s="20">
        <f>SUM(M3:M49)</f>
        <v>120874177.56097564</v>
      </c>
    </row>
    <row r="56" spans="1:13" x14ac:dyDescent="0.2">
      <c r="I56" s="3" t="s">
        <v>25</v>
      </c>
      <c r="J56" s="15">
        <v>142392626</v>
      </c>
    </row>
    <row r="57" spans="1:13" x14ac:dyDescent="0.2">
      <c r="I57" s="3" t="s">
        <v>27</v>
      </c>
      <c r="J57" s="9">
        <v>9314300</v>
      </c>
    </row>
    <row r="58" spans="1:13" x14ac:dyDescent="0.2">
      <c r="I58" s="3" t="s">
        <v>26</v>
      </c>
      <c r="J58" s="3">
        <v>3649400</v>
      </c>
    </row>
    <row r="59" spans="1:13" x14ac:dyDescent="0.2">
      <c r="I59" s="3" t="s">
        <v>33</v>
      </c>
      <c r="J59" s="3">
        <v>4000000</v>
      </c>
    </row>
    <row r="60" spans="1:13" x14ac:dyDescent="0.2">
      <c r="I60" s="3" t="s">
        <v>31</v>
      </c>
      <c r="J60" s="3">
        <v>6350000</v>
      </c>
    </row>
    <row r="61" spans="1:13" x14ac:dyDescent="0.2">
      <c r="I61" s="3" t="s">
        <v>36</v>
      </c>
      <c r="J61" s="3">
        <v>3410000</v>
      </c>
    </row>
    <row r="62" spans="1:13" x14ac:dyDescent="0.2">
      <c r="I62" s="3" t="s">
        <v>29</v>
      </c>
      <c r="J62" s="23">
        <v>15000000</v>
      </c>
    </row>
    <row r="63" spans="1:13" x14ac:dyDescent="0.2">
      <c r="I63" s="3" t="s">
        <v>34</v>
      </c>
      <c r="J63" s="26">
        <f>SUM(J56:J62)</f>
        <v>184116326</v>
      </c>
    </row>
    <row r="64" spans="1:13" x14ac:dyDescent="0.2">
      <c r="I64" s="3" t="s">
        <v>6</v>
      </c>
      <c r="J64" s="116">
        <v>283763000</v>
      </c>
    </row>
    <row r="65" spans="9:10" ht="18" x14ac:dyDescent="0.35">
      <c r="I65" s="3" t="s">
        <v>35</v>
      </c>
      <c r="J65" s="21">
        <f>J64-J63</f>
        <v>99646674</v>
      </c>
    </row>
    <row r="66" spans="9:10" x14ac:dyDescent="0.2">
      <c r="I66" s="137" t="s">
        <v>1216</v>
      </c>
      <c r="J66" s="41" t="s">
        <v>1211</v>
      </c>
    </row>
    <row r="67" spans="9:10" x14ac:dyDescent="0.2">
      <c r="I67" s="137" t="s">
        <v>1212</v>
      </c>
      <c r="J67" s="41" t="s">
        <v>1213</v>
      </c>
    </row>
    <row r="68" spans="9:10" x14ac:dyDescent="0.2">
      <c r="I68" s="137" t="s">
        <v>1214</v>
      </c>
      <c r="J68" s="41" t="s">
        <v>1215</v>
      </c>
    </row>
    <row r="69" spans="9:10" x14ac:dyDescent="0.2">
      <c r="I69" s="137" t="s">
        <v>1220</v>
      </c>
      <c r="J69" s="41" t="s">
        <v>1221</v>
      </c>
    </row>
    <row r="70" spans="9:10" x14ac:dyDescent="0.2">
      <c r="I70" s="137" t="s">
        <v>1222</v>
      </c>
      <c r="J70" s="41" t="s">
        <v>1223</v>
      </c>
    </row>
  </sheetData>
  <phoneticPr fontId="33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64"/>
  <sheetViews>
    <sheetView topLeftCell="A13" workbookViewId="0">
      <selection activeCell="C47" sqref="C47"/>
    </sheetView>
  </sheetViews>
  <sheetFormatPr baseColWidth="10" defaultRowHeight="15" x14ac:dyDescent="0.2"/>
  <cols>
    <col min="3" max="3" width="16.1640625" customWidth="1"/>
    <col min="9" max="9" width="13" customWidth="1"/>
    <col min="10" max="10" width="14.5" customWidth="1"/>
    <col min="12" max="12" width="13.6640625" customWidth="1"/>
    <col min="13" max="13" width="13.5" customWidth="1"/>
  </cols>
  <sheetData>
    <row r="1" spans="1:13" ht="31" x14ac:dyDescent="0.35">
      <c r="A1" s="56" t="s">
        <v>1260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2" t="s">
        <v>1253</v>
      </c>
      <c r="B3" s="1" t="s">
        <v>7</v>
      </c>
      <c r="C3" s="1" t="s">
        <v>1174</v>
      </c>
      <c r="D3" s="1">
        <v>6.23</v>
      </c>
      <c r="E3" s="1">
        <v>300</v>
      </c>
      <c r="F3" s="1">
        <v>29</v>
      </c>
      <c r="G3" s="1">
        <f>E3*F3</f>
        <v>8700</v>
      </c>
      <c r="H3" s="1">
        <f t="shared" ref="H3:H44" si="0">G3/D3</f>
        <v>1396.4686998394864</v>
      </c>
      <c r="I3" s="3">
        <v>2860</v>
      </c>
      <c r="J3" s="37">
        <f t="shared" ref="J3:J44" si="1">F3/D3*I3*E3</f>
        <v>3993900.4815409305</v>
      </c>
      <c r="K3" s="3">
        <v>20000</v>
      </c>
      <c r="L3" s="44">
        <f t="shared" ref="L3:L44" si="2">K3*E3</f>
        <v>6000000</v>
      </c>
      <c r="M3" s="3">
        <f t="shared" ref="M3:M44" si="3">L3-J3</f>
        <v>2006099.5184590695</v>
      </c>
    </row>
    <row r="4" spans="1:13" x14ac:dyDescent="0.2">
      <c r="A4" s="2"/>
      <c r="B4" s="1" t="s">
        <v>253</v>
      </c>
      <c r="C4" s="1" t="s">
        <v>380</v>
      </c>
      <c r="D4" s="1">
        <v>6.23</v>
      </c>
      <c r="E4" s="1">
        <v>400</v>
      </c>
      <c r="F4" s="1">
        <v>30</v>
      </c>
      <c r="G4" s="1">
        <f t="shared" ref="G4:G44" si="4">E4*F4</f>
        <v>12000</v>
      </c>
      <c r="H4" s="1">
        <f t="shared" si="0"/>
        <v>1926.1637239165327</v>
      </c>
      <c r="I4" s="3">
        <v>2860</v>
      </c>
      <c r="J4" s="37">
        <f t="shared" si="1"/>
        <v>5508828.2504012836</v>
      </c>
      <c r="K4" s="3">
        <v>20000</v>
      </c>
      <c r="L4" s="44">
        <f t="shared" si="2"/>
        <v>8000000</v>
      </c>
      <c r="M4" s="3">
        <f t="shared" si="3"/>
        <v>2491171.7495987164</v>
      </c>
    </row>
    <row r="5" spans="1:13" x14ac:dyDescent="0.2">
      <c r="A5" s="2"/>
      <c r="B5" s="1" t="s">
        <v>253</v>
      </c>
      <c r="C5" s="1" t="s">
        <v>380</v>
      </c>
      <c r="D5" s="1">
        <v>6.23</v>
      </c>
      <c r="E5" s="1">
        <v>700</v>
      </c>
      <c r="F5" s="1">
        <v>25</v>
      </c>
      <c r="G5" s="1">
        <f t="shared" si="4"/>
        <v>17500</v>
      </c>
      <c r="H5" s="1">
        <f t="shared" si="0"/>
        <v>2808.9887640449438</v>
      </c>
      <c r="I5" s="3">
        <v>2860</v>
      </c>
      <c r="J5" s="37">
        <f t="shared" si="1"/>
        <v>8033707.8651685389</v>
      </c>
      <c r="K5" s="29">
        <v>17000</v>
      </c>
      <c r="L5" s="64">
        <f t="shared" si="2"/>
        <v>11900000</v>
      </c>
      <c r="M5" s="29">
        <f t="shared" si="3"/>
        <v>3866292.1348314611</v>
      </c>
    </row>
    <row r="6" spans="1:13" x14ac:dyDescent="0.2">
      <c r="A6" s="2"/>
      <c r="B6" s="1" t="s">
        <v>7</v>
      </c>
      <c r="C6" s="1" t="s">
        <v>1226</v>
      </c>
      <c r="D6" s="1">
        <v>6.23</v>
      </c>
      <c r="E6" s="1">
        <v>600</v>
      </c>
      <c r="F6" s="1">
        <v>29</v>
      </c>
      <c r="G6" s="1">
        <f>F6*E6</f>
        <v>17400</v>
      </c>
      <c r="H6" s="1">
        <f>G6/D6</f>
        <v>2792.9373996789727</v>
      </c>
      <c r="I6" s="3">
        <v>2860</v>
      </c>
      <c r="J6" s="37">
        <f>F6/D6*E6*I6</f>
        <v>7987800.9630818609</v>
      </c>
      <c r="K6" s="29">
        <v>20000</v>
      </c>
      <c r="L6" s="64">
        <f>K6*E6</f>
        <v>12000000</v>
      </c>
      <c r="M6" s="29">
        <f>L6-J6</f>
        <v>4012199.0369181391</v>
      </c>
    </row>
    <row r="7" spans="1:13" x14ac:dyDescent="0.2">
      <c r="A7" s="1"/>
      <c r="B7" s="1" t="s">
        <v>7</v>
      </c>
      <c r="C7" s="1" t="s">
        <v>1175</v>
      </c>
      <c r="D7" s="1">
        <v>6.23</v>
      </c>
      <c r="E7" s="1">
        <v>400</v>
      </c>
      <c r="F7" s="1">
        <v>26</v>
      </c>
      <c r="G7" s="1">
        <f t="shared" si="4"/>
        <v>10400</v>
      </c>
      <c r="H7" s="1">
        <f t="shared" si="0"/>
        <v>1669.3418940609952</v>
      </c>
      <c r="I7" s="3">
        <v>2860</v>
      </c>
      <c r="J7" s="37">
        <f t="shared" si="1"/>
        <v>4774317.8170144465</v>
      </c>
      <c r="K7" s="29">
        <v>18000</v>
      </c>
      <c r="L7" s="64">
        <f t="shared" si="2"/>
        <v>7200000</v>
      </c>
      <c r="M7" s="29">
        <f t="shared" si="3"/>
        <v>2425682.1829855535</v>
      </c>
    </row>
    <row r="8" spans="1:13" x14ac:dyDescent="0.2">
      <c r="A8" s="1"/>
      <c r="B8" s="1" t="s">
        <v>253</v>
      </c>
      <c r="C8" s="1" t="s">
        <v>1176</v>
      </c>
      <c r="D8" s="1">
        <v>6.23</v>
      </c>
      <c r="E8" s="1">
        <v>400</v>
      </c>
      <c r="F8" s="1">
        <v>26</v>
      </c>
      <c r="G8" s="1">
        <f t="shared" si="4"/>
        <v>10400</v>
      </c>
      <c r="H8" s="1">
        <f t="shared" si="0"/>
        <v>1669.3418940609952</v>
      </c>
      <c r="I8" s="3">
        <v>2860</v>
      </c>
      <c r="J8" s="37">
        <f t="shared" si="1"/>
        <v>4774317.8170144465</v>
      </c>
      <c r="K8" s="29">
        <v>18000</v>
      </c>
      <c r="L8" s="64">
        <f t="shared" si="2"/>
        <v>7200000</v>
      </c>
      <c r="M8" s="29">
        <f t="shared" si="3"/>
        <v>2425682.1829855535</v>
      </c>
    </row>
    <row r="9" spans="1:13" x14ac:dyDescent="0.2">
      <c r="A9" s="1"/>
      <c r="B9" s="1" t="s">
        <v>253</v>
      </c>
      <c r="C9" s="1" t="s">
        <v>1177</v>
      </c>
      <c r="D9" s="1">
        <v>6.23</v>
      </c>
      <c r="E9" s="1">
        <v>200</v>
      </c>
      <c r="F9" s="1">
        <v>26</v>
      </c>
      <c r="G9" s="1">
        <f t="shared" si="4"/>
        <v>5200</v>
      </c>
      <c r="H9" s="1">
        <f t="shared" si="0"/>
        <v>834.67094703049759</v>
      </c>
      <c r="I9" s="3">
        <v>2860</v>
      </c>
      <c r="J9" s="37">
        <f t="shared" si="1"/>
        <v>2387158.9085072232</v>
      </c>
      <c r="K9" s="29">
        <v>18000</v>
      </c>
      <c r="L9" s="64">
        <f t="shared" si="2"/>
        <v>3600000</v>
      </c>
      <c r="M9" s="29">
        <f t="shared" si="3"/>
        <v>1212841.0914927768</v>
      </c>
    </row>
    <row r="10" spans="1:13" x14ac:dyDescent="0.2">
      <c r="A10" s="1"/>
      <c r="B10" s="1" t="s">
        <v>7</v>
      </c>
      <c r="C10" s="1" t="s">
        <v>502</v>
      </c>
      <c r="D10" s="1">
        <v>6.23</v>
      </c>
      <c r="E10" s="1">
        <v>400</v>
      </c>
      <c r="F10" s="1">
        <v>29</v>
      </c>
      <c r="G10" s="1">
        <f t="shared" si="4"/>
        <v>11600</v>
      </c>
      <c r="H10" s="1">
        <f t="shared" si="0"/>
        <v>1861.9582664526483</v>
      </c>
      <c r="I10" s="3">
        <v>2860</v>
      </c>
      <c r="J10" s="37">
        <f t="shared" si="1"/>
        <v>5325200.6420545736</v>
      </c>
      <c r="K10" s="29">
        <v>20000</v>
      </c>
      <c r="L10" s="64">
        <f t="shared" si="2"/>
        <v>8000000</v>
      </c>
      <c r="M10" s="29">
        <f t="shared" si="3"/>
        <v>2674799.3579454264</v>
      </c>
    </row>
    <row r="11" spans="1:13" x14ac:dyDescent="0.2">
      <c r="A11" s="1"/>
      <c r="B11" s="1" t="s">
        <v>253</v>
      </c>
      <c r="C11" s="1" t="s">
        <v>1179</v>
      </c>
      <c r="D11" s="1">
        <v>6.23</v>
      </c>
      <c r="E11" s="1">
        <v>600</v>
      </c>
      <c r="F11" s="1">
        <v>22</v>
      </c>
      <c r="G11" s="1">
        <f t="shared" si="4"/>
        <v>13200</v>
      </c>
      <c r="H11" s="1">
        <f t="shared" si="0"/>
        <v>2118.7800963081859</v>
      </c>
      <c r="I11" s="3">
        <v>2860</v>
      </c>
      <c r="J11" s="37">
        <f t="shared" si="1"/>
        <v>6059711.0754414126</v>
      </c>
      <c r="K11" s="29">
        <v>16000</v>
      </c>
      <c r="L11" s="64">
        <f t="shared" si="2"/>
        <v>9600000</v>
      </c>
      <c r="M11" s="29">
        <f t="shared" si="3"/>
        <v>3540288.9245585874</v>
      </c>
    </row>
    <row r="12" spans="1:13" x14ac:dyDescent="0.2">
      <c r="A12" s="1"/>
      <c r="B12" s="1" t="s">
        <v>7</v>
      </c>
      <c r="C12" s="1" t="s">
        <v>1227</v>
      </c>
      <c r="D12" s="1">
        <v>6.23</v>
      </c>
      <c r="E12" s="1">
        <v>420</v>
      </c>
      <c r="F12" s="1">
        <v>26</v>
      </c>
      <c r="G12" s="1">
        <f t="shared" si="4"/>
        <v>10920</v>
      </c>
      <c r="H12" s="1">
        <f t="shared" si="0"/>
        <v>1752.8089887640449</v>
      </c>
      <c r="I12" s="3">
        <v>2860</v>
      </c>
      <c r="J12" s="37">
        <f t="shared" si="1"/>
        <v>5013033.7078651683</v>
      </c>
      <c r="K12" s="29">
        <v>18000</v>
      </c>
      <c r="L12" s="64">
        <f t="shared" si="2"/>
        <v>7560000</v>
      </c>
      <c r="M12" s="29">
        <f t="shared" si="3"/>
        <v>2546966.2921348317</v>
      </c>
    </row>
    <row r="13" spans="1:13" x14ac:dyDescent="0.2">
      <c r="A13" s="1"/>
      <c r="B13" s="1" t="s">
        <v>253</v>
      </c>
      <c r="C13" s="1" t="s">
        <v>1225</v>
      </c>
      <c r="D13" s="1">
        <v>6.23</v>
      </c>
      <c r="E13" s="1">
        <v>330</v>
      </c>
      <c r="F13" s="1">
        <v>28</v>
      </c>
      <c r="G13" s="1">
        <f t="shared" si="4"/>
        <v>9240</v>
      </c>
      <c r="H13" s="1">
        <f t="shared" si="0"/>
        <v>1483.1460674157302</v>
      </c>
      <c r="I13" s="3">
        <v>2860</v>
      </c>
      <c r="J13" s="37">
        <f t="shared" si="1"/>
        <v>4241797.7528089881</v>
      </c>
      <c r="K13" s="29">
        <v>20000</v>
      </c>
      <c r="L13" s="64">
        <f t="shared" si="2"/>
        <v>6600000</v>
      </c>
      <c r="M13" s="29">
        <f t="shared" si="3"/>
        <v>2358202.2471910119</v>
      </c>
    </row>
    <row r="14" spans="1:13" x14ac:dyDescent="0.2">
      <c r="A14" s="1"/>
      <c r="B14" s="1" t="s">
        <v>7</v>
      </c>
      <c r="C14" s="1" t="s">
        <v>1069</v>
      </c>
      <c r="D14" s="1">
        <v>6.23</v>
      </c>
      <c r="E14" s="1">
        <v>1350</v>
      </c>
      <c r="F14" s="1">
        <v>25</v>
      </c>
      <c r="G14" s="1">
        <f t="shared" si="4"/>
        <v>33750</v>
      </c>
      <c r="H14" s="1">
        <f t="shared" si="0"/>
        <v>5417.3354735152489</v>
      </c>
      <c r="I14" s="3">
        <v>2860</v>
      </c>
      <c r="J14" s="37">
        <f t="shared" si="1"/>
        <v>15493579.45425361</v>
      </c>
      <c r="K14" s="29">
        <v>18000</v>
      </c>
      <c r="L14" s="64">
        <f t="shared" si="2"/>
        <v>24300000</v>
      </c>
      <c r="M14" s="29">
        <f t="shared" si="3"/>
        <v>8806420.5457463898</v>
      </c>
    </row>
    <row r="15" spans="1:13" x14ac:dyDescent="0.2">
      <c r="A15" s="1"/>
      <c r="B15" s="1" t="s">
        <v>253</v>
      </c>
      <c r="C15" s="1" t="s">
        <v>1239</v>
      </c>
      <c r="D15" s="1">
        <v>6.23</v>
      </c>
      <c r="E15" s="1">
        <v>800</v>
      </c>
      <c r="F15" s="1">
        <v>20</v>
      </c>
      <c r="G15" s="1">
        <f t="shared" si="4"/>
        <v>16000</v>
      </c>
      <c r="H15" s="1">
        <f t="shared" si="0"/>
        <v>2568.2182985553768</v>
      </c>
      <c r="I15" s="3">
        <v>2860</v>
      </c>
      <c r="J15" s="37">
        <f t="shared" si="1"/>
        <v>7345104.3338683788</v>
      </c>
      <c r="K15" s="29">
        <v>18000</v>
      </c>
      <c r="L15" s="64">
        <f t="shared" si="2"/>
        <v>14400000</v>
      </c>
      <c r="M15" s="29">
        <f t="shared" si="3"/>
        <v>7054895.6661316212</v>
      </c>
    </row>
    <row r="16" spans="1:13" x14ac:dyDescent="0.2">
      <c r="A16" s="1"/>
      <c r="B16" s="1" t="s">
        <v>1234</v>
      </c>
      <c r="C16" s="1" t="s">
        <v>1249</v>
      </c>
      <c r="D16" s="1">
        <v>6.23</v>
      </c>
      <c r="E16" s="1">
        <v>300</v>
      </c>
      <c r="F16" s="1">
        <v>36</v>
      </c>
      <c r="G16" s="1">
        <f t="shared" si="4"/>
        <v>10800</v>
      </c>
      <c r="H16" s="1">
        <f t="shared" si="0"/>
        <v>1733.5473515248796</v>
      </c>
      <c r="I16" s="3">
        <v>2860</v>
      </c>
      <c r="J16" s="37">
        <f t="shared" si="1"/>
        <v>4957945.4253611555</v>
      </c>
      <c r="K16" s="29">
        <v>25000</v>
      </c>
      <c r="L16" s="64">
        <f t="shared" si="2"/>
        <v>7500000</v>
      </c>
      <c r="M16" s="29">
        <f t="shared" si="3"/>
        <v>2542054.5746388445</v>
      </c>
    </row>
    <row r="17" spans="1:13" x14ac:dyDescent="0.2">
      <c r="A17" s="1"/>
      <c r="B17" s="1" t="s">
        <v>253</v>
      </c>
      <c r="C17" s="1" t="s">
        <v>253</v>
      </c>
      <c r="D17" s="1">
        <v>6.23</v>
      </c>
      <c r="E17" s="1">
        <v>400</v>
      </c>
      <c r="F17" s="1">
        <v>39</v>
      </c>
      <c r="G17" s="1">
        <f t="shared" si="4"/>
        <v>15600</v>
      </c>
      <c r="H17" s="1">
        <f t="shared" si="0"/>
        <v>2504.0128410914926</v>
      </c>
      <c r="I17" s="3">
        <v>2860</v>
      </c>
      <c r="J17" s="37">
        <f t="shared" si="1"/>
        <v>7161476.7255216679</v>
      </c>
      <c r="K17" s="29">
        <v>30000</v>
      </c>
      <c r="L17" s="64">
        <f t="shared" si="2"/>
        <v>12000000</v>
      </c>
      <c r="M17" s="29">
        <f t="shared" si="3"/>
        <v>4838523.2744783321</v>
      </c>
    </row>
    <row r="18" spans="1:13" x14ac:dyDescent="0.2">
      <c r="A18" s="1"/>
      <c r="B18" s="1" t="s">
        <v>7</v>
      </c>
      <c r="C18" s="1" t="s">
        <v>1228</v>
      </c>
      <c r="D18" s="1">
        <v>6.23</v>
      </c>
      <c r="E18" s="1">
        <v>330</v>
      </c>
      <c r="F18" s="1">
        <v>31</v>
      </c>
      <c r="G18" s="1">
        <f t="shared" si="4"/>
        <v>10230</v>
      </c>
      <c r="H18" s="1">
        <f t="shared" si="0"/>
        <v>1642.0545746388441</v>
      </c>
      <c r="I18" s="3">
        <v>2860</v>
      </c>
      <c r="J18" s="37">
        <f t="shared" si="1"/>
        <v>4696276.0834670952</v>
      </c>
      <c r="K18" s="29">
        <v>20000</v>
      </c>
      <c r="L18" s="64">
        <f t="shared" si="2"/>
        <v>6600000</v>
      </c>
      <c r="M18" s="29">
        <f t="shared" si="3"/>
        <v>1903723.9165329048</v>
      </c>
    </row>
    <row r="19" spans="1:13" x14ac:dyDescent="0.2">
      <c r="A19" s="1"/>
      <c r="B19" s="1" t="s">
        <v>253</v>
      </c>
      <c r="C19" s="1" t="s">
        <v>1229</v>
      </c>
      <c r="D19" s="1">
        <v>6.23</v>
      </c>
      <c r="E19" s="1">
        <v>1010</v>
      </c>
      <c r="F19" s="1">
        <v>32</v>
      </c>
      <c r="G19" s="1">
        <f t="shared" si="4"/>
        <v>32320</v>
      </c>
      <c r="H19" s="1">
        <f t="shared" si="0"/>
        <v>5187.8009630818615</v>
      </c>
      <c r="I19" s="3">
        <v>2860</v>
      </c>
      <c r="J19" s="37">
        <f t="shared" si="1"/>
        <v>14837110.754414124</v>
      </c>
      <c r="K19" s="29">
        <v>20000</v>
      </c>
      <c r="L19" s="64">
        <f t="shared" si="2"/>
        <v>20200000</v>
      </c>
      <c r="M19" s="29">
        <f t="shared" si="3"/>
        <v>5362889.2455858756</v>
      </c>
    </row>
    <row r="20" spans="1:13" x14ac:dyDescent="0.2">
      <c r="A20" s="1"/>
      <c r="B20" s="1" t="s">
        <v>253</v>
      </c>
      <c r="C20" s="1" t="s">
        <v>1230</v>
      </c>
      <c r="D20" s="1">
        <v>6.23</v>
      </c>
      <c r="E20" s="1">
        <v>290</v>
      </c>
      <c r="F20" s="1">
        <v>29</v>
      </c>
      <c r="G20" s="1">
        <f t="shared" si="4"/>
        <v>8410</v>
      </c>
      <c r="H20" s="1">
        <f t="shared" si="0"/>
        <v>1349.9197431781702</v>
      </c>
      <c r="I20" s="3">
        <v>2860</v>
      </c>
      <c r="J20" s="37">
        <f t="shared" si="1"/>
        <v>3860770.4654895659</v>
      </c>
      <c r="K20" s="29">
        <v>20000</v>
      </c>
      <c r="L20" s="64">
        <f t="shared" si="2"/>
        <v>5800000</v>
      </c>
      <c r="M20" s="29">
        <f t="shared" si="3"/>
        <v>1939229.5345104341</v>
      </c>
    </row>
    <row r="21" spans="1:13" x14ac:dyDescent="0.2">
      <c r="A21" s="1"/>
      <c r="B21" s="1" t="s">
        <v>253</v>
      </c>
      <c r="C21" s="1" t="s">
        <v>1231</v>
      </c>
      <c r="D21" s="1">
        <v>6.23</v>
      </c>
      <c r="E21" s="1">
        <v>270</v>
      </c>
      <c r="F21" s="1">
        <v>32</v>
      </c>
      <c r="G21" s="1">
        <f t="shared" si="4"/>
        <v>8640</v>
      </c>
      <c r="H21" s="1">
        <f t="shared" si="0"/>
        <v>1386.8378812199037</v>
      </c>
      <c r="I21" s="3">
        <v>2860</v>
      </c>
      <c r="J21" s="37">
        <f t="shared" si="1"/>
        <v>3966356.3402889245</v>
      </c>
      <c r="K21" s="29">
        <v>20000</v>
      </c>
      <c r="L21" s="64">
        <f t="shared" si="2"/>
        <v>5400000</v>
      </c>
      <c r="M21" s="29">
        <f t="shared" si="3"/>
        <v>1433643.6597110755</v>
      </c>
    </row>
    <row r="22" spans="1:13" x14ac:dyDescent="0.2">
      <c r="A22" s="1"/>
      <c r="B22" s="1" t="s">
        <v>253</v>
      </c>
      <c r="C22" s="1" t="s">
        <v>1232</v>
      </c>
      <c r="D22" s="1">
        <v>6.23</v>
      </c>
      <c r="E22" s="1">
        <v>300</v>
      </c>
      <c r="F22" s="1">
        <v>32</v>
      </c>
      <c r="G22" s="1">
        <f t="shared" si="4"/>
        <v>9600</v>
      </c>
      <c r="H22" s="1">
        <f t="shared" si="0"/>
        <v>1540.9309791332262</v>
      </c>
      <c r="I22" s="3">
        <v>2860</v>
      </c>
      <c r="J22" s="37">
        <f t="shared" si="1"/>
        <v>4407062.6003210275</v>
      </c>
      <c r="K22" s="29">
        <v>20000</v>
      </c>
      <c r="L22" s="64">
        <f t="shared" si="2"/>
        <v>6000000</v>
      </c>
      <c r="M22" s="29">
        <f t="shared" si="3"/>
        <v>1592937.3996789725</v>
      </c>
    </row>
    <row r="23" spans="1:13" x14ac:dyDescent="0.2">
      <c r="A23" s="1"/>
      <c r="B23" s="1" t="s">
        <v>253</v>
      </c>
      <c r="C23" s="1" t="s">
        <v>1233</v>
      </c>
      <c r="D23" s="1">
        <v>6.23</v>
      </c>
      <c r="E23" s="1">
        <v>330</v>
      </c>
      <c r="F23" s="1">
        <v>28</v>
      </c>
      <c r="G23" s="1">
        <f t="shared" si="4"/>
        <v>9240</v>
      </c>
      <c r="H23" s="1">
        <f t="shared" si="0"/>
        <v>1483.1460674157302</v>
      </c>
      <c r="I23" s="3">
        <v>2860</v>
      </c>
      <c r="J23" s="37">
        <f t="shared" si="1"/>
        <v>4241797.7528089881</v>
      </c>
      <c r="K23" s="29">
        <v>20000</v>
      </c>
      <c r="L23" s="64">
        <f t="shared" si="2"/>
        <v>6600000</v>
      </c>
      <c r="M23" s="29">
        <f t="shared" si="3"/>
        <v>2358202.2471910119</v>
      </c>
    </row>
    <row r="24" spans="1:13" x14ac:dyDescent="0.2">
      <c r="A24" s="1"/>
      <c r="B24" s="1" t="s">
        <v>253</v>
      </c>
      <c r="C24" s="1" t="s">
        <v>1248</v>
      </c>
      <c r="D24" s="1">
        <v>6.23</v>
      </c>
      <c r="E24" s="1">
        <v>200</v>
      </c>
      <c r="F24" s="1">
        <v>25</v>
      </c>
      <c r="G24" s="1">
        <f t="shared" si="4"/>
        <v>5000</v>
      </c>
      <c r="H24" s="1">
        <f t="shared" si="0"/>
        <v>802.56821829855528</v>
      </c>
      <c r="I24" s="3">
        <v>2860</v>
      </c>
      <c r="J24" s="37">
        <f t="shared" si="1"/>
        <v>2295345.1043338683</v>
      </c>
      <c r="K24" s="29">
        <v>20000</v>
      </c>
      <c r="L24" s="64">
        <f t="shared" si="2"/>
        <v>4000000</v>
      </c>
      <c r="M24" s="29">
        <f t="shared" si="3"/>
        <v>1704654.8956661317</v>
      </c>
    </row>
    <row r="25" spans="1:13" x14ac:dyDescent="0.2">
      <c r="A25" s="1"/>
      <c r="B25" s="1" t="s">
        <v>7</v>
      </c>
      <c r="C25" s="1" t="s">
        <v>1235</v>
      </c>
      <c r="D25" s="1">
        <v>6.23</v>
      </c>
      <c r="E25" s="1">
        <v>300</v>
      </c>
      <c r="F25" s="1">
        <v>15</v>
      </c>
      <c r="G25" s="1">
        <f t="shared" si="4"/>
        <v>4500</v>
      </c>
      <c r="H25" s="1">
        <f t="shared" si="0"/>
        <v>722.31139646869974</v>
      </c>
      <c r="I25" s="3">
        <v>2860</v>
      </c>
      <c r="J25" s="37">
        <f t="shared" si="1"/>
        <v>2065810.5939004815</v>
      </c>
      <c r="K25" s="29">
        <v>18000</v>
      </c>
      <c r="L25" s="17">
        <f t="shared" si="2"/>
        <v>5400000</v>
      </c>
      <c r="M25" s="17">
        <f t="shared" si="3"/>
        <v>3334189.4060995188</v>
      </c>
    </row>
    <row r="26" spans="1:13" x14ac:dyDescent="0.2">
      <c r="A26" s="1"/>
      <c r="B26" s="1" t="s">
        <v>253</v>
      </c>
      <c r="C26" s="1" t="s">
        <v>1236</v>
      </c>
      <c r="D26" s="1">
        <v>6.23</v>
      </c>
      <c r="E26" s="1">
        <v>1253</v>
      </c>
      <c r="F26" s="1">
        <v>18</v>
      </c>
      <c r="G26" s="1">
        <f t="shared" si="4"/>
        <v>22554</v>
      </c>
      <c r="H26" s="1">
        <f t="shared" si="0"/>
        <v>3620.2247191011234</v>
      </c>
      <c r="I26" s="3">
        <v>2860</v>
      </c>
      <c r="J26" s="37">
        <f t="shared" si="1"/>
        <v>10353842.696629213</v>
      </c>
      <c r="K26" s="29">
        <v>18000</v>
      </c>
      <c r="L26" s="64">
        <f t="shared" si="2"/>
        <v>22554000</v>
      </c>
      <c r="M26" s="29">
        <f t="shared" si="3"/>
        <v>12200157.303370787</v>
      </c>
    </row>
    <row r="27" spans="1:13" x14ac:dyDescent="0.2">
      <c r="A27" s="1"/>
      <c r="B27" s="1" t="s">
        <v>7</v>
      </c>
      <c r="C27" s="1" t="s">
        <v>1237</v>
      </c>
      <c r="D27" s="1">
        <v>6.23</v>
      </c>
      <c r="E27" s="1">
        <v>280</v>
      </c>
      <c r="F27" s="1">
        <v>10</v>
      </c>
      <c r="G27" s="1">
        <f t="shared" si="4"/>
        <v>2800</v>
      </c>
      <c r="H27" s="1">
        <f t="shared" si="0"/>
        <v>449.43820224719099</v>
      </c>
      <c r="I27" s="3">
        <v>2860</v>
      </c>
      <c r="J27" s="37">
        <f t="shared" si="1"/>
        <v>1285393.2584269661</v>
      </c>
      <c r="K27" s="29">
        <v>16000</v>
      </c>
      <c r="L27" s="64">
        <f t="shared" si="2"/>
        <v>4480000</v>
      </c>
      <c r="M27" s="29">
        <f t="shared" si="3"/>
        <v>3194606.7415730339</v>
      </c>
    </row>
    <row r="28" spans="1:13" x14ac:dyDescent="0.2">
      <c r="A28" s="1"/>
      <c r="B28" s="1" t="s">
        <v>42</v>
      </c>
      <c r="C28" s="1" t="s">
        <v>1238</v>
      </c>
      <c r="D28" s="1">
        <v>6.23</v>
      </c>
      <c r="E28" s="1">
        <v>420</v>
      </c>
      <c r="F28" s="1">
        <v>18</v>
      </c>
      <c r="G28" s="1">
        <f t="shared" si="4"/>
        <v>7560</v>
      </c>
      <c r="H28" s="1">
        <f t="shared" si="0"/>
        <v>1213.4831460674156</v>
      </c>
      <c r="I28" s="3">
        <v>2860</v>
      </c>
      <c r="J28" s="37">
        <f t="shared" si="1"/>
        <v>3470561.7977528088</v>
      </c>
      <c r="K28" s="29">
        <v>15000</v>
      </c>
      <c r="L28" s="64">
        <f t="shared" si="2"/>
        <v>6300000</v>
      </c>
      <c r="M28" s="29">
        <f t="shared" si="3"/>
        <v>2829438.2022471912</v>
      </c>
    </row>
    <row r="29" spans="1:13" x14ac:dyDescent="0.2">
      <c r="A29" s="1"/>
      <c r="B29" s="1" t="s">
        <v>7</v>
      </c>
      <c r="C29" s="1" t="s">
        <v>1240</v>
      </c>
      <c r="D29" s="1">
        <v>6.23</v>
      </c>
      <c r="E29" s="1">
        <v>366</v>
      </c>
      <c r="F29" s="1">
        <v>16</v>
      </c>
      <c r="G29" s="1">
        <f t="shared" si="4"/>
        <v>5856</v>
      </c>
      <c r="H29" s="1">
        <f t="shared" si="0"/>
        <v>939.96789727126804</v>
      </c>
      <c r="I29" s="3">
        <v>2860</v>
      </c>
      <c r="J29" s="37">
        <f t="shared" si="1"/>
        <v>2688308.1861958266</v>
      </c>
      <c r="K29" s="29">
        <v>17000</v>
      </c>
      <c r="L29" s="64">
        <f t="shared" si="2"/>
        <v>6222000</v>
      </c>
      <c r="M29" s="29">
        <f t="shared" si="3"/>
        <v>3533691.8138041734</v>
      </c>
    </row>
    <row r="30" spans="1:13" x14ac:dyDescent="0.2">
      <c r="A30" s="1"/>
      <c r="B30" s="1" t="s">
        <v>253</v>
      </c>
      <c r="C30" s="1" t="s">
        <v>253</v>
      </c>
      <c r="D30" s="1">
        <v>6.23</v>
      </c>
      <c r="E30" s="1">
        <v>42</v>
      </c>
      <c r="F30" s="1">
        <v>15</v>
      </c>
      <c r="G30" s="1">
        <f t="shared" si="4"/>
        <v>630</v>
      </c>
      <c r="H30" s="1">
        <f t="shared" si="0"/>
        <v>101.12359550561797</v>
      </c>
      <c r="I30" s="3">
        <v>2860</v>
      </c>
      <c r="J30" s="37">
        <f t="shared" si="1"/>
        <v>289213.48314606742</v>
      </c>
      <c r="K30" s="29">
        <v>18000</v>
      </c>
      <c r="L30" s="64">
        <f t="shared" si="2"/>
        <v>756000</v>
      </c>
      <c r="M30" s="29">
        <f t="shared" si="3"/>
        <v>466786.51685393258</v>
      </c>
    </row>
    <row r="31" spans="1:13" x14ac:dyDescent="0.2">
      <c r="A31" s="1"/>
      <c r="B31" s="1" t="s">
        <v>1241</v>
      </c>
      <c r="C31" s="1" t="s">
        <v>253</v>
      </c>
      <c r="D31" s="1">
        <v>6.23</v>
      </c>
      <c r="E31" s="1">
        <v>407</v>
      </c>
      <c r="F31" s="1">
        <v>16</v>
      </c>
      <c r="G31" s="1">
        <f t="shared" si="4"/>
        <v>6512</v>
      </c>
      <c r="H31" s="1">
        <f t="shared" si="0"/>
        <v>1045.2648475120384</v>
      </c>
      <c r="I31" s="3">
        <v>2860</v>
      </c>
      <c r="J31" s="37">
        <f t="shared" si="1"/>
        <v>2989457.46388443</v>
      </c>
      <c r="K31" s="29">
        <v>18000</v>
      </c>
      <c r="L31" s="64">
        <f t="shared" si="2"/>
        <v>7326000</v>
      </c>
      <c r="M31" s="29">
        <f t="shared" si="3"/>
        <v>4336542.53611557</v>
      </c>
    </row>
    <row r="32" spans="1:13" x14ac:dyDescent="0.2">
      <c r="A32" s="1"/>
      <c r="B32" s="1" t="s">
        <v>253</v>
      </c>
      <c r="C32" s="1" t="s">
        <v>1247</v>
      </c>
      <c r="D32" s="1">
        <v>6.23</v>
      </c>
      <c r="E32" s="1">
        <v>210</v>
      </c>
      <c r="F32" s="1">
        <v>18</v>
      </c>
      <c r="G32" s="1">
        <f t="shared" si="4"/>
        <v>3780</v>
      </c>
      <c r="H32" s="1">
        <f t="shared" si="0"/>
        <v>606.74157303370782</v>
      </c>
      <c r="I32" s="3">
        <v>2860</v>
      </c>
      <c r="J32" s="37">
        <f t="shared" si="1"/>
        <v>1735280.8988764044</v>
      </c>
      <c r="K32" s="29">
        <v>18000</v>
      </c>
      <c r="L32" s="64">
        <f t="shared" si="2"/>
        <v>3780000</v>
      </c>
      <c r="M32" s="29">
        <f t="shared" si="3"/>
        <v>2044719.1011235956</v>
      </c>
    </row>
    <row r="33" spans="1:13" x14ac:dyDescent="0.2">
      <c r="A33" s="1"/>
      <c r="B33" s="1" t="s">
        <v>7</v>
      </c>
      <c r="C33" s="1" t="s">
        <v>1250</v>
      </c>
      <c r="D33" s="1">
        <v>6.23</v>
      </c>
      <c r="E33" s="1">
        <v>300</v>
      </c>
      <c r="F33" s="1">
        <v>18</v>
      </c>
      <c r="G33" s="1">
        <f t="shared" si="4"/>
        <v>5400</v>
      </c>
      <c r="H33" s="1">
        <f t="shared" si="0"/>
        <v>866.77367576243978</v>
      </c>
      <c r="I33" s="3">
        <v>2860</v>
      </c>
      <c r="J33" s="37">
        <f t="shared" si="1"/>
        <v>2478972.7126805778</v>
      </c>
      <c r="K33" s="29">
        <v>18000</v>
      </c>
      <c r="L33" s="64">
        <f t="shared" si="2"/>
        <v>5400000</v>
      </c>
      <c r="M33" s="29">
        <f t="shared" si="3"/>
        <v>2921027.2873194222</v>
      </c>
    </row>
    <row r="34" spans="1:13" x14ac:dyDescent="0.2">
      <c r="A34" s="1"/>
      <c r="B34" s="1"/>
      <c r="C34" s="1" t="s">
        <v>1251</v>
      </c>
      <c r="D34" s="1">
        <v>6.23</v>
      </c>
      <c r="E34" s="1">
        <v>300</v>
      </c>
      <c r="F34" s="1">
        <v>18</v>
      </c>
      <c r="G34" s="1">
        <f t="shared" si="4"/>
        <v>5400</v>
      </c>
      <c r="H34" s="1">
        <f t="shared" si="0"/>
        <v>866.77367576243978</v>
      </c>
      <c r="I34" s="3">
        <v>2860</v>
      </c>
      <c r="J34" s="37">
        <f t="shared" si="1"/>
        <v>2478972.7126805778</v>
      </c>
      <c r="K34" s="29">
        <v>18000</v>
      </c>
      <c r="L34" s="64">
        <f t="shared" si="2"/>
        <v>5400000</v>
      </c>
      <c r="M34" s="29">
        <f t="shared" si="3"/>
        <v>2921027.2873194222</v>
      </c>
    </row>
    <row r="35" spans="1:13" x14ac:dyDescent="0.2">
      <c r="A35" s="1"/>
      <c r="B35" s="1" t="s">
        <v>23</v>
      </c>
      <c r="C35" s="1" t="s">
        <v>1242</v>
      </c>
      <c r="D35" s="1">
        <v>6.23</v>
      </c>
      <c r="E35" s="1">
        <v>500</v>
      </c>
      <c r="F35" s="1">
        <v>18</v>
      </c>
      <c r="G35" s="1">
        <f t="shared" si="4"/>
        <v>9000</v>
      </c>
      <c r="H35" s="1">
        <f t="shared" si="0"/>
        <v>1444.6227929373995</v>
      </c>
      <c r="I35" s="3">
        <v>2860</v>
      </c>
      <c r="J35" s="37">
        <f t="shared" si="1"/>
        <v>4131621.1878009625</v>
      </c>
      <c r="K35" s="29">
        <v>13000</v>
      </c>
      <c r="L35" s="64">
        <f t="shared" si="2"/>
        <v>6500000</v>
      </c>
      <c r="M35" s="29">
        <f t="shared" si="3"/>
        <v>2368378.8121990375</v>
      </c>
    </row>
    <row r="36" spans="1:13" x14ac:dyDescent="0.2">
      <c r="A36" s="1"/>
      <c r="B36" s="1" t="s">
        <v>253</v>
      </c>
      <c r="C36" s="1" t="s">
        <v>1243</v>
      </c>
      <c r="D36" s="1">
        <v>6.23</v>
      </c>
      <c r="E36" s="1">
        <v>200</v>
      </c>
      <c r="F36" s="1">
        <v>17</v>
      </c>
      <c r="G36" s="1">
        <f t="shared" si="4"/>
        <v>3400</v>
      </c>
      <c r="H36" s="1">
        <f t="shared" si="0"/>
        <v>545.74638844301762</v>
      </c>
      <c r="I36" s="3">
        <v>2860</v>
      </c>
      <c r="J36" s="37">
        <f t="shared" si="1"/>
        <v>1560834.6709470302</v>
      </c>
      <c r="K36" s="29">
        <v>13000</v>
      </c>
      <c r="L36" s="64">
        <f t="shared" si="2"/>
        <v>2600000</v>
      </c>
      <c r="M36" s="29">
        <f t="shared" si="3"/>
        <v>1039165.3290529698</v>
      </c>
    </row>
    <row r="37" spans="1:13" x14ac:dyDescent="0.2">
      <c r="A37" s="1"/>
      <c r="B37" s="1" t="s">
        <v>23</v>
      </c>
      <c r="C37" s="1" t="s">
        <v>1244</v>
      </c>
      <c r="D37" s="1">
        <v>6.23</v>
      </c>
      <c r="E37" s="1">
        <v>300</v>
      </c>
      <c r="F37" s="1">
        <v>13</v>
      </c>
      <c r="G37" s="1">
        <f t="shared" si="4"/>
        <v>3900</v>
      </c>
      <c r="H37" s="1">
        <f t="shared" si="0"/>
        <v>626.00321027287316</v>
      </c>
      <c r="I37" s="3">
        <v>2860</v>
      </c>
      <c r="J37" s="37">
        <f t="shared" si="1"/>
        <v>1790369.1813804174</v>
      </c>
      <c r="K37" s="29">
        <v>13000</v>
      </c>
      <c r="L37" s="64">
        <f t="shared" si="2"/>
        <v>3900000</v>
      </c>
      <c r="M37" s="29">
        <f t="shared" si="3"/>
        <v>2109630.8186195828</v>
      </c>
    </row>
    <row r="38" spans="1:13" x14ac:dyDescent="0.2">
      <c r="A38" s="1"/>
      <c r="B38" s="1" t="s">
        <v>253</v>
      </c>
      <c r="C38" s="1" t="s">
        <v>1245</v>
      </c>
      <c r="D38" s="1">
        <v>6.23</v>
      </c>
      <c r="E38" s="1">
        <v>400</v>
      </c>
      <c r="F38" s="1">
        <v>14</v>
      </c>
      <c r="G38" s="1">
        <f t="shared" si="4"/>
        <v>5600</v>
      </c>
      <c r="H38" s="1">
        <f t="shared" si="0"/>
        <v>898.87640449438197</v>
      </c>
      <c r="I38" s="3">
        <v>2860</v>
      </c>
      <c r="J38" s="37">
        <f t="shared" si="1"/>
        <v>2570786.5168539323</v>
      </c>
      <c r="K38" s="29">
        <v>13000</v>
      </c>
      <c r="L38" s="64">
        <f t="shared" si="2"/>
        <v>5200000</v>
      </c>
      <c r="M38" s="29">
        <f t="shared" si="3"/>
        <v>2629213.4831460677</v>
      </c>
    </row>
    <row r="39" spans="1:13" x14ac:dyDescent="0.2">
      <c r="A39" s="1"/>
      <c r="B39" s="1" t="s">
        <v>253</v>
      </c>
      <c r="C39" s="1" t="s">
        <v>1246</v>
      </c>
      <c r="D39" s="1">
        <v>6.23</v>
      </c>
      <c r="E39" s="1">
        <v>230</v>
      </c>
      <c r="F39" s="1">
        <v>15</v>
      </c>
      <c r="G39" s="1">
        <f t="shared" si="4"/>
        <v>3450</v>
      </c>
      <c r="H39" s="1">
        <f t="shared" si="0"/>
        <v>553.77207062600314</v>
      </c>
      <c r="I39" s="3">
        <v>2860</v>
      </c>
      <c r="J39" s="37">
        <f t="shared" si="1"/>
        <v>1583788.1219903692</v>
      </c>
      <c r="K39" s="29">
        <v>13000</v>
      </c>
      <c r="L39" s="64">
        <f t="shared" si="2"/>
        <v>2990000</v>
      </c>
      <c r="M39" s="29">
        <f t="shared" si="3"/>
        <v>1406211.8780096308</v>
      </c>
    </row>
    <row r="40" spans="1:13" x14ac:dyDescent="0.2">
      <c r="A40" s="1"/>
      <c r="B40" s="1" t="s">
        <v>7</v>
      </c>
      <c r="C40" s="1" t="s">
        <v>1252</v>
      </c>
      <c r="D40" s="1">
        <v>6.23</v>
      </c>
      <c r="E40" s="1">
        <v>70</v>
      </c>
      <c r="F40" s="1">
        <v>24</v>
      </c>
      <c r="G40" s="1">
        <f t="shared" si="4"/>
        <v>1680</v>
      </c>
      <c r="H40" s="1">
        <f t="shared" si="0"/>
        <v>269.66292134831457</v>
      </c>
      <c r="I40" s="3">
        <v>2860</v>
      </c>
      <c r="J40" s="37">
        <f t="shared" si="1"/>
        <v>771235.95505617978</v>
      </c>
      <c r="K40" s="29">
        <v>20000</v>
      </c>
      <c r="L40" s="64">
        <f t="shared" si="2"/>
        <v>1400000</v>
      </c>
      <c r="M40" s="29">
        <f t="shared" si="3"/>
        <v>628764.04494382022</v>
      </c>
    </row>
    <row r="41" spans="1:13" x14ac:dyDescent="0.2">
      <c r="A41" s="1"/>
      <c r="B41" s="1" t="s">
        <v>7</v>
      </c>
      <c r="C41" s="1" t="s">
        <v>1258</v>
      </c>
      <c r="D41" s="1">
        <v>6.23</v>
      </c>
      <c r="E41" s="1">
        <v>332</v>
      </c>
      <c r="F41" s="1">
        <v>16</v>
      </c>
      <c r="G41" s="1">
        <f t="shared" si="4"/>
        <v>5312</v>
      </c>
      <c r="H41" s="1">
        <f t="shared" si="0"/>
        <v>852.64847512038523</v>
      </c>
      <c r="I41" s="3">
        <v>2860</v>
      </c>
      <c r="J41" s="37">
        <f t="shared" si="1"/>
        <v>2438574.6388443015</v>
      </c>
      <c r="K41" s="29">
        <v>17000</v>
      </c>
      <c r="L41" s="64">
        <f t="shared" si="2"/>
        <v>5644000</v>
      </c>
      <c r="M41" s="29">
        <f t="shared" si="3"/>
        <v>3205425.3611556985</v>
      </c>
    </row>
    <row r="42" spans="1:13" x14ac:dyDescent="0.2">
      <c r="A42" s="1"/>
      <c r="B42" s="1" t="s">
        <v>1241</v>
      </c>
      <c r="C42" s="1" t="s">
        <v>1259</v>
      </c>
      <c r="D42" s="1">
        <v>6.23</v>
      </c>
      <c r="E42" s="1">
        <v>161</v>
      </c>
      <c r="F42" s="1">
        <v>18</v>
      </c>
      <c r="G42" s="1">
        <f t="shared" si="4"/>
        <v>2898</v>
      </c>
      <c r="H42" s="1">
        <f t="shared" si="0"/>
        <v>465.16853932584269</v>
      </c>
      <c r="I42" s="3">
        <v>2860</v>
      </c>
      <c r="J42" s="37">
        <f t="shared" si="1"/>
        <v>1330382.0224719099</v>
      </c>
      <c r="K42" s="29">
        <v>18000</v>
      </c>
      <c r="L42" s="64">
        <f t="shared" si="2"/>
        <v>2898000</v>
      </c>
      <c r="M42" s="29">
        <f t="shared" si="3"/>
        <v>1567617.9775280901</v>
      </c>
    </row>
    <row r="43" spans="1:13" x14ac:dyDescent="0.2">
      <c r="A43" s="1"/>
      <c r="B43" s="1" t="s">
        <v>7</v>
      </c>
      <c r="C43" s="1" t="s">
        <v>1261</v>
      </c>
      <c r="D43" s="1">
        <v>6.23</v>
      </c>
      <c r="E43" s="1">
        <v>500</v>
      </c>
      <c r="F43" s="1">
        <v>22</v>
      </c>
      <c r="G43" s="1">
        <f t="shared" si="4"/>
        <v>11000</v>
      </c>
      <c r="H43" s="1">
        <f t="shared" si="0"/>
        <v>1765.6500802568216</v>
      </c>
      <c r="I43" s="3">
        <v>2860</v>
      </c>
      <c r="J43" s="37">
        <f t="shared" si="1"/>
        <v>5049759.2295345105</v>
      </c>
      <c r="K43" s="29">
        <v>18000</v>
      </c>
      <c r="L43" s="64">
        <f t="shared" si="2"/>
        <v>9000000</v>
      </c>
      <c r="M43" s="29">
        <f t="shared" si="3"/>
        <v>3950240.7704654895</v>
      </c>
    </row>
    <row r="44" spans="1:13" x14ac:dyDescent="0.2">
      <c r="A44" s="1"/>
      <c r="B44" s="1" t="s">
        <v>7</v>
      </c>
      <c r="C44" s="1" t="s">
        <v>1262</v>
      </c>
      <c r="D44" s="1">
        <v>6.23</v>
      </c>
      <c r="E44" s="1">
        <v>1147</v>
      </c>
      <c r="F44" s="1">
        <v>17</v>
      </c>
      <c r="G44" s="1">
        <f t="shared" si="4"/>
        <v>19499</v>
      </c>
      <c r="H44" s="1">
        <f t="shared" si="0"/>
        <v>3129.8555377207063</v>
      </c>
      <c r="I44" s="3">
        <v>2860</v>
      </c>
      <c r="J44" s="37">
        <f t="shared" si="1"/>
        <v>8951386.8378812186</v>
      </c>
      <c r="K44" s="29">
        <v>17000</v>
      </c>
      <c r="L44" s="64">
        <f t="shared" si="2"/>
        <v>19499000</v>
      </c>
      <c r="M44" s="29">
        <f t="shared" si="3"/>
        <v>10547613.162118781</v>
      </c>
    </row>
    <row r="45" spans="1:13" x14ac:dyDescent="0.2">
      <c r="A45" s="1" t="s">
        <v>24</v>
      </c>
      <c r="B45" s="1" t="s">
        <v>1265</v>
      </c>
      <c r="C45" s="1" t="s">
        <v>1266</v>
      </c>
      <c r="D45" s="1"/>
      <c r="E45" s="92">
        <f>SUM(E3:E44)</f>
        <v>18048</v>
      </c>
      <c r="F45" s="1"/>
      <c r="G45" s="1"/>
      <c r="H45" s="140">
        <f>SUM(H3:H44)</f>
        <v>66915.088282504003</v>
      </c>
      <c r="I45" s="3"/>
      <c r="J45" s="141">
        <f>SUM(J3:J44)</f>
        <v>191377152.4879615</v>
      </c>
      <c r="K45" s="1"/>
      <c r="L45" s="86">
        <f>SUM(L3:L44)</f>
        <v>327709000</v>
      </c>
      <c r="M45" s="20">
        <f>SUM(M3:M44)</f>
        <v>136331847.51203859</v>
      </c>
    </row>
    <row r="52" spans="9:10" x14ac:dyDescent="0.2">
      <c r="I52" s="3" t="s">
        <v>25</v>
      </c>
      <c r="J52" s="15">
        <v>191377152</v>
      </c>
    </row>
    <row r="53" spans="9:10" x14ac:dyDescent="0.2">
      <c r="I53" s="3" t="s">
        <v>27</v>
      </c>
      <c r="J53" s="9">
        <v>9314300</v>
      </c>
    </row>
    <row r="54" spans="9:10" x14ac:dyDescent="0.2">
      <c r="I54" s="3" t="s">
        <v>26</v>
      </c>
      <c r="J54" s="3">
        <v>3649400</v>
      </c>
    </row>
    <row r="55" spans="9:10" x14ac:dyDescent="0.2">
      <c r="I55" s="3" t="s">
        <v>33</v>
      </c>
      <c r="J55" s="3">
        <v>4000000</v>
      </c>
    </row>
    <row r="56" spans="9:10" x14ac:dyDescent="0.2">
      <c r="I56" s="3" t="s">
        <v>31</v>
      </c>
      <c r="J56" s="3">
        <v>6350000</v>
      </c>
    </row>
    <row r="57" spans="9:10" x14ac:dyDescent="0.2">
      <c r="I57" s="3" t="s">
        <v>36</v>
      </c>
      <c r="J57" s="3">
        <v>3410000</v>
      </c>
    </row>
    <row r="58" spans="9:10" x14ac:dyDescent="0.2">
      <c r="I58" s="3" t="s">
        <v>29</v>
      </c>
      <c r="J58" s="23">
        <v>15000000</v>
      </c>
    </row>
    <row r="59" spans="9:10" x14ac:dyDescent="0.2">
      <c r="I59" s="3" t="s">
        <v>34</v>
      </c>
      <c r="J59" s="26">
        <f>SUM(J52:J58)</f>
        <v>233100852</v>
      </c>
    </row>
    <row r="60" spans="9:10" x14ac:dyDescent="0.2">
      <c r="I60" s="3" t="s">
        <v>6</v>
      </c>
      <c r="J60" s="116">
        <v>327709000</v>
      </c>
    </row>
    <row r="61" spans="9:10" ht="18" x14ac:dyDescent="0.35">
      <c r="I61" s="3" t="s">
        <v>35</v>
      </c>
      <c r="J61" s="21">
        <f>J60-J59</f>
        <v>94608148</v>
      </c>
    </row>
    <row r="62" spans="9:10" x14ac:dyDescent="0.2">
      <c r="I62" s="112" t="s">
        <v>1254</v>
      </c>
      <c r="J62" t="s">
        <v>1255</v>
      </c>
    </row>
    <row r="63" spans="9:10" x14ac:dyDescent="0.2">
      <c r="I63" s="112" t="s">
        <v>1257</v>
      </c>
      <c r="J63" t="s">
        <v>1256</v>
      </c>
    </row>
    <row r="64" spans="9:10" x14ac:dyDescent="0.2">
      <c r="I64" s="112" t="s">
        <v>1263</v>
      </c>
      <c r="J64" t="s">
        <v>1264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114"/>
  <sheetViews>
    <sheetView topLeftCell="A28" workbookViewId="0">
      <selection activeCell="K4" sqref="K4"/>
    </sheetView>
  </sheetViews>
  <sheetFormatPr baseColWidth="10" defaultRowHeight="15" x14ac:dyDescent="0.2"/>
  <cols>
    <col min="3" max="3" width="24.33203125" customWidth="1"/>
    <col min="7" max="7" width="13.1640625" customWidth="1"/>
    <col min="8" max="8" width="15" customWidth="1"/>
    <col min="10" max="10" width="15.5" customWidth="1"/>
    <col min="12" max="12" width="12.5" customWidth="1"/>
    <col min="13" max="13" width="12.1640625" customWidth="1"/>
  </cols>
  <sheetData>
    <row r="1" spans="1:14" ht="31" x14ac:dyDescent="0.35">
      <c r="A1" s="56" t="s">
        <v>1314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4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4" x14ac:dyDescent="0.2">
      <c r="A3" s="2" t="s">
        <v>1268</v>
      </c>
      <c r="B3" s="1" t="s">
        <v>7</v>
      </c>
      <c r="C3" s="1" t="s">
        <v>1269</v>
      </c>
      <c r="D3" s="1">
        <v>6.19</v>
      </c>
      <c r="E3" s="1">
        <v>400</v>
      </c>
      <c r="F3" s="1">
        <v>29</v>
      </c>
      <c r="G3" s="1">
        <f>E3*F3</f>
        <v>11600</v>
      </c>
      <c r="H3" s="1">
        <f t="shared" ref="H3:H5" si="0">G3/D3</f>
        <v>1873.9903069466882</v>
      </c>
      <c r="I3" s="3">
        <v>3008</v>
      </c>
      <c r="J3" s="37">
        <f t="shared" ref="J3:J47" si="1">F3/D3*I3*E3</f>
        <v>5636962.8432956375</v>
      </c>
      <c r="K3" s="3">
        <v>20000</v>
      </c>
      <c r="L3" s="44">
        <f t="shared" ref="L3:L47" si="2">K3*E3</f>
        <v>8000000</v>
      </c>
      <c r="M3" s="3">
        <f t="shared" ref="M3:M47" si="3">L3-J3</f>
        <v>2363037.1567043625</v>
      </c>
      <c r="N3" t="s">
        <v>1316</v>
      </c>
    </row>
    <row r="4" spans="1:14" x14ac:dyDescent="0.2">
      <c r="A4" s="2"/>
      <c r="B4" s="1" t="s">
        <v>253</v>
      </c>
      <c r="C4" s="1" t="s">
        <v>1197</v>
      </c>
      <c r="D4" s="1">
        <v>6.19</v>
      </c>
      <c r="E4" s="1">
        <v>500</v>
      </c>
      <c r="F4" s="1">
        <v>25</v>
      </c>
      <c r="G4" s="1">
        <f t="shared" ref="G4:G47" si="4">E4*F4</f>
        <v>12500</v>
      </c>
      <c r="H4" s="1">
        <f t="shared" si="0"/>
        <v>2019.3861066235863</v>
      </c>
      <c r="I4" s="3">
        <v>3008</v>
      </c>
      <c r="J4" s="37">
        <f t="shared" si="1"/>
        <v>6074313.4087237474</v>
      </c>
      <c r="K4" s="3">
        <v>18000</v>
      </c>
      <c r="L4" s="44">
        <f t="shared" si="2"/>
        <v>9000000</v>
      </c>
      <c r="M4" s="3">
        <f t="shared" si="3"/>
        <v>2925686.5912762526</v>
      </c>
      <c r="N4" t="s">
        <v>1316</v>
      </c>
    </row>
    <row r="5" spans="1:14" x14ac:dyDescent="0.2">
      <c r="A5" s="2"/>
      <c r="B5" s="1" t="s">
        <v>7</v>
      </c>
      <c r="C5" s="1" t="s">
        <v>1270</v>
      </c>
      <c r="D5" s="1">
        <v>6.19</v>
      </c>
      <c r="E5" s="1">
        <v>300</v>
      </c>
      <c r="F5" s="1">
        <v>25</v>
      </c>
      <c r="G5" s="1">
        <f t="shared" si="4"/>
        <v>7500</v>
      </c>
      <c r="H5" s="1">
        <f t="shared" si="0"/>
        <v>1211.6316639741517</v>
      </c>
      <c r="I5" s="3">
        <v>3008</v>
      </c>
      <c r="J5" s="37">
        <f t="shared" si="1"/>
        <v>3644588.0452342485</v>
      </c>
      <c r="K5" s="29">
        <v>18000</v>
      </c>
      <c r="L5" s="64">
        <f t="shared" si="2"/>
        <v>5400000</v>
      </c>
      <c r="M5" s="29">
        <f t="shared" si="3"/>
        <v>1755411.9547657515</v>
      </c>
    </row>
    <row r="6" spans="1:14" x14ac:dyDescent="0.2">
      <c r="A6" s="2"/>
      <c r="B6" s="1" t="s">
        <v>253</v>
      </c>
      <c r="C6" s="1" t="s">
        <v>1271</v>
      </c>
      <c r="D6" s="1">
        <v>6.19</v>
      </c>
      <c r="E6" s="1">
        <v>538</v>
      </c>
      <c r="F6" s="1">
        <v>25</v>
      </c>
      <c r="G6" s="1">
        <f>F6*E6</f>
        <v>13450</v>
      </c>
      <c r="H6" s="1">
        <f>G6/D6</f>
        <v>2172.859450726979</v>
      </c>
      <c r="I6" s="3">
        <v>3008</v>
      </c>
      <c r="J6" s="37">
        <f>F6/D6*E6*I6</f>
        <v>6535961.2277867533</v>
      </c>
      <c r="K6" s="29">
        <v>18000</v>
      </c>
      <c r="L6" s="64">
        <f t="shared" si="2"/>
        <v>9684000</v>
      </c>
      <c r="M6" s="29">
        <f>L6-J6</f>
        <v>3148038.7722132467</v>
      </c>
    </row>
    <row r="7" spans="1:14" x14ac:dyDescent="0.2">
      <c r="A7" s="2"/>
      <c r="B7" s="1"/>
      <c r="C7" s="1" t="s">
        <v>1290</v>
      </c>
      <c r="D7" s="1">
        <v>6.19</v>
      </c>
      <c r="E7" s="1">
        <v>315</v>
      </c>
      <c r="F7" s="1">
        <v>28.5</v>
      </c>
      <c r="G7" s="1">
        <f>E7*F7</f>
        <v>8977.5</v>
      </c>
      <c r="H7" s="1">
        <f>G7/D7</f>
        <v>1450.3231017770597</v>
      </c>
      <c r="I7" s="3">
        <v>3008</v>
      </c>
      <c r="J7" s="37">
        <f>I7/D7*F7*E7</f>
        <v>4362571.8901453959</v>
      </c>
      <c r="K7" s="29">
        <v>20000</v>
      </c>
      <c r="L7" s="64">
        <f t="shared" si="2"/>
        <v>6300000</v>
      </c>
      <c r="M7" s="29">
        <f>L7-J7</f>
        <v>1937428.1098546041</v>
      </c>
    </row>
    <row r="8" spans="1:14" x14ac:dyDescent="0.2">
      <c r="A8" s="1"/>
      <c r="B8" s="1" t="s">
        <v>7</v>
      </c>
      <c r="C8" s="1" t="s">
        <v>1273</v>
      </c>
      <c r="D8" s="1">
        <v>6.19</v>
      </c>
      <c r="E8" s="1">
        <v>600</v>
      </c>
      <c r="F8" s="1">
        <v>22</v>
      </c>
      <c r="G8" s="1">
        <f t="shared" si="4"/>
        <v>13200</v>
      </c>
      <c r="H8" s="1">
        <f>G8/D8</f>
        <v>2132.4717285945071</v>
      </c>
      <c r="I8" s="3">
        <v>3008</v>
      </c>
      <c r="J8" s="37">
        <f t="shared" si="1"/>
        <v>6414474.9596122773</v>
      </c>
      <c r="K8" s="29">
        <v>18000</v>
      </c>
      <c r="L8" s="64">
        <f t="shared" si="2"/>
        <v>10800000</v>
      </c>
      <c r="M8" s="29">
        <f t="shared" si="3"/>
        <v>4385525.0403877227</v>
      </c>
    </row>
    <row r="9" spans="1:14" x14ac:dyDescent="0.2">
      <c r="A9" s="1"/>
      <c r="B9" s="1" t="s">
        <v>253</v>
      </c>
      <c r="C9" s="1" t="s">
        <v>995</v>
      </c>
      <c r="D9" s="1">
        <v>6.19</v>
      </c>
      <c r="E9" s="1">
        <v>500</v>
      </c>
      <c r="F9" s="1">
        <v>28</v>
      </c>
      <c r="G9" s="1">
        <f t="shared" si="4"/>
        <v>14000</v>
      </c>
      <c r="H9" s="1">
        <f t="shared" ref="H9:H47" si="5">G9/D9</f>
        <v>2261.7124394184166</v>
      </c>
      <c r="I9" s="3">
        <v>3008</v>
      </c>
      <c r="J9" s="37">
        <f t="shared" si="1"/>
        <v>6803231.0177705968</v>
      </c>
      <c r="K9" s="29">
        <v>20000</v>
      </c>
      <c r="L9" s="64">
        <f t="shared" si="2"/>
        <v>10000000</v>
      </c>
      <c r="M9" s="29">
        <f t="shared" si="3"/>
        <v>3196768.9822294032</v>
      </c>
    </row>
    <row r="10" spans="1:14" x14ac:dyDescent="0.2">
      <c r="A10" s="1"/>
      <c r="B10" s="1" t="s">
        <v>7</v>
      </c>
      <c r="C10" s="1" t="s">
        <v>1274</v>
      </c>
      <c r="D10" s="1">
        <v>6.19</v>
      </c>
      <c r="E10" s="1">
        <v>2560</v>
      </c>
      <c r="F10" s="1">
        <v>26</v>
      </c>
      <c r="G10" s="1">
        <f t="shared" si="4"/>
        <v>66560</v>
      </c>
      <c r="H10" s="1">
        <f t="shared" si="5"/>
        <v>10752.827140549272</v>
      </c>
      <c r="I10" s="3">
        <v>3008</v>
      </c>
      <c r="J10" s="37">
        <f t="shared" si="1"/>
        <v>32344504.03877221</v>
      </c>
      <c r="K10" s="29">
        <v>23000</v>
      </c>
      <c r="L10" s="64">
        <f t="shared" si="2"/>
        <v>58880000</v>
      </c>
      <c r="M10" s="29">
        <f t="shared" si="3"/>
        <v>26535495.96122779</v>
      </c>
    </row>
    <row r="11" spans="1:14" x14ac:dyDescent="0.2">
      <c r="A11" s="1"/>
      <c r="B11" s="1" t="s">
        <v>7</v>
      </c>
      <c r="C11" s="1" t="s">
        <v>1275</v>
      </c>
      <c r="D11" s="1">
        <v>6.19</v>
      </c>
      <c r="E11" s="1">
        <v>400</v>
      </c>
      <c r="F11" s="1">
        <v>29</v>
      </c>
      <c r="G11" s="1">
        <f t="shared" si="4"/>
        <v>11600</v>
      </c>
      <c r="H11" s="1">
        <f t="shared" si="5"/>
        <v>1873.9903069466882</v>
      </c>
      <c r="I11" s="3">
        <v>3008</v>
      </c>
      <c r="J11" s="37">
        <f t="shared" si="1"/>
        <v>5636962.8432956375</v>
      </c>
      <c r="K11" s="29">
        <v>23000</v>
      </c>
      <c r="L11" s="64">
        <f t="shared" si="2"/>
        <v>9200000</v>
      </c>
      <c r="M11" s="29">
        <f t="shared" si="3"/>
        <v>3563037.1567043625</v>
      </c>
    </row>
    <row r="12" spans="1:14" x14ac:dyDescent="0.2">
      <c r="A12" s="1"/>
      <c r="B12" s="1" t="s">
        <v>7</v>
      </c>
      <c r="C12" s="1" t="s">
        <v>1276</v>
      </c>
      <c r="D12" s="1">
        <v>6.19</v>
      </c>
      <c r="E12" s="1">
        <v>400</v>
      </c>
      <c r="F12" s="1">
        <v>27</v>
      </c>
      <c r="G12" s="1">
        <f t="shared" si="4"/>
        <v>10800</v>
      </c>
      <c r="H12" s="1">
        <f t="shared" si="5"/>
        <v>1744.7495961227785</v>
      </c>
      <c r="I12" s="3">
        <v>3008</v>
      </c>
      <c r="J12" s="37">
        <f t="shared" si="1"/>
        <v>5248206.7851373181</v>
      </c>
      <c r="K12" s="29">
        <v>20000</v>
      </c>
      <c r="L12" s="64">
        <f t="shared" si="2"/>
        <v>8000000</v>
      </c>
      <c r="M12" s="29">
        <f t="shared" si="3"/>
        <v>2751793.2148626819</v>
      </c>
    </row>
    <row r="13" spans="1:14" x14ac:dyDescent="0.2">
      <c r="A13" s="1"/>
      <c r="B13" s="1" t="s">
        <v>1278</v>
      </c>
      <c r="C13" s="1" t="s">
        <v>1279</v>
      </c>
      <c r="D13" s="1">
        <v>6.19</v>
      </c>
      <c r="E13" s="1">
        <v>339</v>
      </c>
      <c r="F13" s="1">
        <v>16</v>
      </c>
      <c r="G13" s="1">
        <f t="shared" si="4"/>
        <v>5424</v>
      </c>
      <c r="H13" s="1">
        <f t="shared" si="5"/>
        <v>876.25201938610655</v>
      </c>
      <c r="I13" s="3">
        <v>3008</v>
      </c>
      <c r="J13" s="37">
        <f t="shared" si="1"/>
        <v>2635766.0743134087</v>
      </c>
      <c r="K13" s="29">
        <v>18000</v>
      </c>
      <c r="L13" s="64">
        <f t="shared" si="2"/>
        <v>6102000</v>
      </c>
      <c r="M13" s="29">
        <f t="shared" si="3"/>
        <v>3466233.9256865913</v>
      </c>
    </row>
    <row r="14" spans="1:14" x14ac:dyDescent="0.2">
      <c r="A14" s="1"/>
      <c r="B14" s="1" t="s">
        <v>1280</v>
      </c>
      <c r="C14" s="1" t="s">
        <v>1279</v>
      </c>
      <c r="D14" s="1">
        <v>6.19</v>
      </c>
      <c r="E14" s="1">
        <v>235</v>
      </c>
      <c r="F14" s="1">
        <v>10</v>
      </c>
      <c r="G14" s="1">
        <f t="shared" si="4"/>
        <v>2350</v>
      </c>
      <c r="H14" s="1">
        <f t="shared" si="5"/>
        <v>379.64458804523423</v>
      </c>
      <c r="I14" s="3">
        <v>3008</v>
      </c>
      <c r="J14" s="37">
        <f t="shared" si="1"/>
        <v>1141970.9208400645</v>
      </c>
      <c r="K14" s="29">
        <v>17000</v>
      </c>
      <c r="L14" s="64">
        <f t="shared" si="2"/>
        <v>3995000</v>
      </c>
      <c r="M14" s="29">
        <f t="shared" si="3"/>
        <v>2853029.0791599355</v>
      </c>
    </row>
    <row r="15" spans="1:14" x14ac:dyDescent="0.2">
      <c r="A15" s="1"/>
      <c r="B15" s="1" t="s">
        <v>7</v>
      </c>
      <c r="C15" s="1" t="s">
        <v>1281</v>
      </c>
      <c r="D15" s="1">
        <v>6.19</v>
      </c>
      <c r="E15" s="1">
        <v>1080</v>
      </c>
      <c r="F15" s="1">
        <v>15</v>
      </c>
      <c r="G15" s="1">
        <f t="shared" si="4"/>
        <v>16200</v>
      </c>
      <c r="H15" s="1">
        <f t="shared" si="5"/>
        <v>2617.1243941841681</v>
      </c>
      <c r="I15" s="3">
        <v>3008</v>
      </c>
      <c r="J15" s="37">
        <f t="shared" si="1"/>
        <v>7872310.1777059771</v>
      </c>
      <c r="K15" s="29">
        <v>17000</v>
      </c>
      <c r="L15" s="64">
        <f t="shared" si="2"/>
        <v>18360000</v>
      </c>
      <c r="M15" s="29">
        <f t="shared" si="3"/>
        <v>10487689.822294023</v>
      </c>
    </row>
    <row r="16" spans="1:14" x14ac:dyDescent="0.2">
      <c r="A16" s="1"/>
      <c r="B16" s="1" t="s">
        <v>7</v>
      </c>
      <c r="C16" s="1" t="s">
        <v>1282</v>
      </c>
      <c r="D16" s="1">
        <v>6.19</v>
      </c>
      <c r="E16" s="1">
        <v>300</v>
      </c>
      <c r="F16" s="1">
        <v>23</v>
      </c>
      <c r="G16" s="1">
        <f t="shared" si="4"/>
        <v>6900</v>
      </c>
      <c r="H16" s="1">
        <f t="shared" si="5"/>
        <v>1114.7011308562196</v>
      </c>
      <c r="I16" s="3">
        <v>3008</v>
      </c>
      <c r="J16" s="37">
        <f t="shared" si="1"/>
        <v>3353021.0016155089</v>
      </c>
      <c r="K16" s="29">
        <v>18000</v>
      </c>
      <c r="L16" s="64">
        <f t="shared" si="2"/>
        <v>5400000</v>
      </c>
      <c r="M16" s="29">
        <f t="shared" si="3"/>
        <v>2046978.9983844911</v>
      </c>
    </row>
    <row r="17" spans="1:13" x14ac:dyDescent="0.2">
      <c r="A17" s="1"/>
      <c r="B17" s="1" t="s">
        <v>253</v>
      </c>
      <c r="C17" s="1" t="s">
        <v>995</v>
      </c>
      <c r="D17" s="1">
        <v>6.19</v>
      </c>
      <c r="E17" s="1">
        <v>300</v>
      </c>
      <c r="F17" s="1">
        <v>28</v>
      </c>
      <c r="G17" s="1">
        <f t="shared" si="4"/>
        <v>8400</v>
      </c>
      <c r="H17" s="1">
        <f t="shared" si="5"/>
        <v>1357.0274636510501</v>
      </c>
      <c r="I17" s="3">
        <v>3008</v>
      </c>
      <c r="J17" s="37">
        <f t="shared" si="1"/>
        <v>4081938.6106623579</v>
      </c>
      <c r="K17" s="29">
        <v>20000</v>
      </c>
      <c r="L17" s="64">
        <f t="shared" si="2"/>
        <v>6000000</v>
      </c>
      <c r="M17" s="29">
        <f t="shared" si="3"/>
        <v>1918061.3893376421</v>
      </c>
    </row>
    <row r="18" spans="1:13" x14ac:dyDescent="0.2">
      <c r="A18" s="1"/>
      <c r="B18" s="1" t="s">
        <v>7</v>
      </c>
      <c r="C18" s="1" t="s">
        <v>1283</v>
      </c>
      <c r="D18" s="1">
        <v>6.19</v>
      </c>
      <c r="E18" s="1">
        <v>276</v>
      </c>
      <c r="F18" s="1">
        <v>10</v>
      </c>
      <c r="G18" s="1">
        <f t="shared" si="4"/>
        <v>2760</v>
      </c>
      <c r="H18" s="1">
        <f t="shared" si="5"/>
        <v>445.88045234248784</v>
      </c>
      <c r="I18" s="3">
        <v>3008</v>
      </c>
      <c r="J18" s="37">
        <f t="shared" si="1"/>
        <v>1341208.4006462034</v>
      </c>
      <c r="K18" s="29">
        <v>18000</v>
      </c>
      <c r="L18" s="64">
        <f t="shared" si="2"/>
        <v>4968000</v>
      </c>
      <c r="M18" s="29">
        <f t="shared" si="3"/>
        <v>3626791.5993537968</v>
      </c>
    </row>
    <row r="19" spans="1:13" x14ac:dyDescent="0.2">
      <c r="A19" s="1"/>
      <c r="B19" s="1" t="s">
        <v>1284</v>
      </c>
      <c r="C19" s="1" t="s">
        <v>1279</v>
      </c>
      <c r="D19" s="1">
        <v>6.19</v>
      </c>
      <c r="E19" s="1">
        <v>562</v>
      </c>
      <c r="F19" s="1">
        <v>17</v>
      </c>
      <c r="G19" s="1">
        <f t="shared" si="4"/>
        <v>9554</v>
      </c>
      <c r="H19" s="1">
        <f t="shared" si="5"/>
        <v>1543.4571890145394</v>
      </c>
      <c r="I19" s="3">
        <v>3008</v>
      </c>
      <c r="J19" s="37">
        <f t="shared" si="1"/>
        <v>4642719.2245557345</v>
      </c>
      <c r="K19" s="29">
        <v>25000</v>
      </c>
      <c r="L19" s="64">
        <f t="shared" si="2"/>
        <v>14050000</v>
      </c>
      <c r="M19" s="29">
        <f t="shared" si="3"/>
        <v>9407280.7754442655</v>
      </c>
    </row>
    <row r="20" spans="1:13" x14ac:dyDescent="0.2">
      <c r="A20" s="1"/>
      <c r="B20" s="1" t="s">
        <v>7</v>
      </c>
      <c r="C20" s="1" t="s">
        <v>1285</v>
      </c>
      <c r="D20" s="1">
        <v>6.19</v>
      </c>
      <c r="E20" s="1">
        <v>250</v>
      </c>
      <c r="F20" s="1">
        <v>21</v>
      </c>
      <c r="G20" s="1">
        <f t="shared" si="4"/>
        <v>5250</v>
      </c>
      <c r="H20" s="1">
        <f t="shared" si="5"/>
        <v>848.14216478190622</v>
      </c>
      <c r="I20" s="3">
        <v>3008</v>
      </c>
      <c r="J20" s="37">
        <f t="shared" si="1"/>
        <v>2551211.6316639739</v>
      </c>
      <c r="K20" s="29">
        <v>18000</v>
      </c>
      <c r="L20" s="64">
        <f t="shared" si="2"/>
        <v>4500000</v>
      </c>
      <c r="M20" s="29">
        <f t="shared" si="3"/>
        <v>1948788.3683360261</v>
      </c>
    </row>
    <row r="21" spans="1:13" x14ac:dyDescent="0.2">
      <c r="A21" s="1"/>
      <c r="B21" s="1" t="s">
        <v>253</v>
      </c>
      <c r="C21" s="1" t="s">
        <v>1286</v>
      </c>
      <c r="D21" s="1">
        <v>6.19</v>
      </c>
      <c r="E21" s="1">
        <v>220</v>
      </c>
      <c r="F21" s="1">
        <v>20</v>
      </c>
      <c r="G21" s="1">
        <f t="shared" si="4"/>
        <v>4400</v>
      </c>
      <c r="H21" s="1">
        <f t="shared" si="5"/>
        <v>710.82390953150241</v>
      </c>
      <c r="I21" s="3">
        <v>3008</v>
      </c>
      <c r="J21" s="37">
        <f t="shared" si="1"/>
        <v>2138158.3198707593</v>
      </c>
      <c r="K21" s="29">
        <v>18000</v>
      </c>
      <c r="L21" s="64">
        <f t="shared" si="2"/>
        <v>3960000</v>
      </c>
      <c r="M21" s="29">
        <f t="shared" si="3"/>
        <v>1821841.6801292407</v>
      </c>
    </row>
    <row r="22" spans="1:13" x14ac:dyDescent="0.2">
      <c r="A22" s="1"/>
      <c r="B22" s="1" t="s">
        <v>7</v>
      </c>
      <c r="C22" s="1" t="s">
        <v>1287</v>
      </c>
      <c r="D22" s="1">
        <v>6.19</v>
      </c>
      <c r="E22" s="1">
        <v>404</v>
      </c>
      <c r="F22" s="1">
        <v>16</v>
      </c>
      <c r="G22" s="1">
        <f t="shared" si="4"/>
        <v>6464</v>
      </c>
      <c r="H22" s="1">
        <f t="shared" si="5"/>
        <v>1044.264943457189</v>
      </c>
      <c r="I22" s="3">
        <v>3008</v>
      </c>
      <c r="J22" s="37">
        <f t="shared" si="1"/>
        <v>3141148.9499192247</v>
      </c>
      <c r="K22" s="29">
        <v>17000</v>
      </c>
      <c r="L22" s="64">
        <f t="shared" si="2"/>
        <v>6868000</v>
      </c>
      <c r="M22" s="29">
        <f t="shared" si="3"/>
        <v>3726851.0500807753</v>
      </c>
    </row>
    <row r="23" spans="1:13" x14ac:dyDescent="0.2">
      <c r="A23" s="1"/>
      <c r="B23" s="1" t="s">
        <v>7</v>
      </c>
      <c r="C23" s="1" t="s">
        <v>1307</v>
      </c>
      <c r="D23" s="1">
        <v>6.19</v>
      </c>
      <c r="E23" s="1">
        <v>592</v>
      </c>
      <c r="F23" s="1">
        <v>18</v>
      </c>
      <c r="G23" s="1">
        <f t="shared" si="4"/>
        <v>10656</v>
      </c>
      <c r="H23" s="1">
        <f t="shared" si="5"/>
        <v>1721.4862681744748</v>
      </c>
      <c r="I23" s="3">
        <v>3008</v>
      </c>
      <c r="J23" s="37">
        <f t="shared" si="1"/>
        <v>5178230.6946688201</v>
      </c>
      <c r="K23" s="29">
        <v>18000</v>
      </c>
      <c r="L23" s="64">
        <f t="shared" si="2"/>
        <v>10656000</v>
      </c>
      <c r="M23" s="29">
        <f t="shared" si="3"/>
        <v>5477769.3053311799</v>
      </c>
    </row>
    <row r="24" spans="1:13" x14ac:dyDescent="0.2">
      <c r="A24" s="1"/>
      <c r="B24" s="1" t="s">
        <v>7</v>
      </c>
      <c r="C24" s="1" t="s">
        <v>1288</v>
      </c>
      <c r="D24" s="1">
        <v>6.19</v>
      </c>
      <c r="E24" s="1">
        <v>300</v>
      </c>
      <c r="F24" s="1">
        <v>10</v>
      </c>
      <c r="G24" s="1">
        <f t="shared" si="4"/>
        <v>3000</v>
      </c>
      <c r="H24" s="1">
        <f t="shared" si="5"/>
        <v>484.65266558966073</v>
      </c>
      <c r="I24" s="3">
        <v>3008</v>
      </c>
      <c r="J24" s="37">
        <f t="shared" si="1"/>
        <v>1457835.2180936995</v>
      </c>
      <c r="K24" s="29">
        <v>17000</v>
      </c>
      <c r="L24" s="64">
        <f t="shared" si="2"/>
        <v>5100000</v>
      </c>
      <c r="M24" s="29">
        <f t="shared" si="3"/>
        <v>3642164.7819063002</v>
      </c>
    </row>
    <row r="25" spans="1:13" x14ac:dyDescent="0.2">
      <c r="A25" s="1"/>
      <c r="B25" s="1" t="s">
        <v>7</v>
      </c>
      <c r="C25" s="1" t="s">
        <v>1289</v>
      </c>
      <c r="D25" s="1">
        <v>6.19</v>
      </c>
      <c r="E25" s="1">
        <v>464</v>
      </c>
      <c r="F25" s="1">
        <v>16</v>
      </c>
      <c r="G25" s="1">
        <f t="shared" si="4"/>
        <v>7424</v>
      </c>
      <c r="H25" s="1">
        <f t="shared" si="5"/>
        <v>1199.3537964458803</v>
      </c>
      <c r="I25" s="3">
        <v>3008</v>
      </c>
      <c r="J25" s="37">
        <f t="shared" si="1"/>
        <v>3607656.2197092082</v>
      </c>
      <c r="K25" s="29">
        <v>18000</v>
      </c>
      <c r="L25" s="64">
        <f t="shared" si="2"/>
        <v>8352000</v>
      </c>
      <c r="M25" s="29">
        <f t="shared" si="3"/>
        <v>4744343.7802907918</v>
      </c>
    </row>
    <row r="26" spans="1:13" x14ac:dyDescent="0.2">
      <c r="A26" s="1"/>
      <c r="B26" s="1" t="s">
        <v>535</v>
      </c>
      <c r="C26" s="1" t="s">
        <v>1291</v>
      </c>
      <c r="D26" s="1">
        <v>6.19</v>
      </c>
      <c r="E26" s="1">
        <v>140</v>
      </c>
      <c r="F26" s="1">
        <v>18</v>
      </c>
      <c r="G26" s="1">
        <f t="shared" si="4"/>
        <v>2520</v>
      </c>
      <c r="H26" s="1">
        <f t="shared" si="5"/>
        <v>407.10823909531501</v>
      </c>
      <c r="I26" s="3">
        <v>3008</v>
      </c>
      <c r="J26" s="37">
        <f t="shared" si="1"/>
        <v>1224581.5831987076</v>
      </c>
      <c r="K26" s="29">
        <v>13000</v>
      </c>
      <c r="L26" s="64">
        <f t="shared" si="2"/>
        <v>1820000</v>
      </c>
      <c r="M26" s="29">
        <f t="shared" si="3"/>
        <v>595418.41680129245</v>
      </c>
    </row>
    <row r="27" spans="1:13" x14ac:dyDescent="0.2">
      <c r="A27" s="1"/>
      <c r="B27" s="1" t="s">
        <v>535</v>
      </c>
      <c r="C27" s="1" t="s">
        <v>1292</v>
      </c>
      <c r="D27" s="1">
        <v>6.19</v>
      </c>
      <c r="E27" s="1">
        <v>200</v>
      </c>
      <c r="F27" s="1">
        <v>14</v>
      </c>
      <c r="G27" s="1">
        <f t="shared" si="4"/>
        <v>2800</v>
      </c>
      <c r="H27" s="1">
        <f t="shared" si="5"/>
        <v>452.3424878836833</v>
      </c>
      <c r="I27" s="3">
        <v>3008</v>
      </c>
      <c r="J27" s="37">
        <f t="shared" si="1"/>
        <v>1360646.2035541194</v>
      </c>
      <c r="K27" s="29">
        <v>13000</v>
      </c>
      <c r="L27" s="64">
        <f t="shared" si="2"/>
        <v>2600000</v>
      </c>
      <c r="M27" s="29">
        <f t="shared" si="3"/>
        <v>1239353.7964458806</v>
      </c>
    </row>
    <row r="28" spans="1:13" x14ac:dyDescent="0.2">
      <c r="A28" s="1"/>
      <c r="B28" s="1" t="s">
        <v>253</v>
      </c>
      <c r="C28" s="1" t="s">
        <v>1293</v>
      </c>
      <c r="D28" s="1">
        <v>6.19</v>
      </c>
      <c r="E28" s="1">
        <v>400</v>
      </c>
      <c r="F28" s="1">
        <v>14</v>
      </c>
      <c r="G28" s="1">
        <f t="shared" si="4"/>
        <v>5600</v>
      </c>
      <c r="H28" s="1">
        <f t="shared" si="5"/>
        <v>904.68497576736661</v>
      </c>
      <c r="I28" s="3">
        <v>3008</v>
      </c>
      <c r="J28" s="37">
        <f t="shared" si="1"/>
        <v>2721292.4071082389</v>
      </c>
      <c r="K28" s="29">
        <v>13000</v>
      </c>
      <c r="L28" s="64">
        <f t="shared" si="2"/>
        <v>5200000</v>
      </c>
      <c r="M28" s="29">
        <f t="shared" si="3"/>
        <v>2478707.5928917611</v>
      </c>
    </row>
    <row r="29" spans="1:13" x14ac:dyDescent="0.2">
      <c r="A29" s="1"/>
      <c r="B29" s="1" t="s">
        <v>253</v>
      </c>
      <c r="C29" s="1" t="s">
        <v>1161</v>
      </c>
      <c r="D29" s="1">
        <v>6.19</v>
      </c>
      <c r="E29" s="1">
        <v>400</v>
      </c>
      <c r="F29" s="1">
        <v>13</v>
      </c>
      <c r="G29" s="1">
        <f t="shared" si="4"/>
        <v>5200</v>
      </c>
      <c r="H29" s="1">
        <f t="shared" si="5"/>
        <v>840.06462035541188</v>
      </c>
      <c r="I29" s="3">
        <v>3008</v>
      </c>
      <c r="J29" s="37">
        <f t="shared" si="1"/>
        <v>2526914.3780290792</v>
      </c>
      <c r="K29" s="29">
        <v>13000</v>
      </c>
      <c r="L29" s="64">
        <f t="shared" si="2"/>
        <v>5200000</v>
      </c>
      <c r="M29" s="29">
        <f t="shared" si="3"/>
        <v>2673085.6219709208</v>
      </c>
    </row>
    <row r="30" spans="1:13" x14ac:dyDescent="0.2">
      <c r="A30" s="1"/>
      <c r="B30" s="1" t="s">
        <v>7</v>
      </c>
      <c r="C30" s="1" t="s">
        <v>1294</v>
      </c>
      <c r="D30" s="1">
        <v>6.19</v>
      </c>
      <c r="E30" s="1">
        <v>196</v>
      </c>
      <c r="F30" s="1">
        <v>18</v>
      </c>
      <c r="G30" s="1">
        <f t="shared" si="4"/>
        <v>3528</v>
      </c>
      <c r="H30" s="1">
        <f t="shared" si="5"/>
        <v>569.95153473344101</v>
      </c>
      <c r="I30" s="3">
        <v>3008</v>
      </c>
      <c r="J30" s="37">
        <f t="shared" si="1"/>
        <v>1714414.2164781904</v>
      </c>
      <c r="K30" s="29">
        <v>18000</v>
      </c>
      <c r="L30" s="64">
        <f t="shared" si="2"/>
        <v>3528000</v>
      </c>
      <c r="M30" s="29">
        <f t="shared" si="3"/>
        <v>1813585.7835218096</v>
      </c>
    </row>
    <row r="31" spans="1:13" x14ac:dyDescent="0.2">
      <c r="A31" s="1"/>
      <c r="B31" s="1" t="s">
        <v>253</v>
      </c>
      <c r="C31" s="1" t="s">
        <v>1295</v>
      </c>
      <c r="D31" s="1">
        <v>6.19</v>
      </c>
      <c r="E31" s="1">
        <v>241</v>
      </c>
      <c r="F31" s="1">
        <v>20</v>
      </c>
      <c r="G31" s="1">
        <f t="shared" si="4"/>
        <v>4820</v>
      </c>
      <c r="H31" s="1">
        <f t="shared" si="5"/>
        <v>778.6752827140549</v>
      </c>
      <c r="I31" s="3">
        <v>3008</v>
      </c>
      <c r="J31" s="37">
        <f t="shared" si="1"/>
        <v>2342255.2504038773</v>
      </c>
      <c r="K31" s="29">
        <v>18000</v>
      </c>
      <c r="L31" s="64">
        <f t="shared" si="2"/>
        <v>4338000</v>
      </c>
      <c r="M31" s="29">
        <f t="shared" si="3"/>
        <v>1995744.7495961227</v>
      </c>
    </row>
    <row r="32" spans="1:13" x14ac:dyDescent="0.2">
      <c r="A32" s="1"/>
      <c r="B32" s="1" t="s">
        <v>253</v>
      </c>
      <c r="C32" s="1" t="s">
        <v>1296</v>
      </c>
      <c r="D32" s="1">
        <v>6.19</v>
      </c>
      <c r="E32" s="1">
        <v>172</v>
      </c>
      <c r="F32" s="1">
        <v>12</v>
      </c>
      <c r="G32" s="1">
        <f t="shared" si="4"/>
        <v>2064</v>
      </c>
      <c r="H32" s="1">
        <f t="shared" si="5"/>
        <v>333.44103392568655</v>
      </c>
      <c r="I32" s="3">
        <v>3008</v>
      </c>
      <c r="J32" s="37">
        <f t="shared" si="1"/>
        <v>1002990.6300484651</v>
      </c>
      <c r="K32" s="29">
        <v>17000</v>
      </c>
      <c r="L32" s="64">
        <f t="shared" si="2"/>
        <v>2924000</v>
      </c>
      <c r="M32" s="29">
        <f t="shared" si="3"/>
        <v>1921009.369951535</v>
      </c>
    </row>
    <row r="33" spans="1:13" x14ac:dyDescent="0.2">
      <c r="A33" s="1"/>
      <c r="B33" s="1" t="s">
        <v>1297</v>
      </c>
      <c r="C33" s="1" t="s">
        <v>1271</v>
      </c>
      <c r="D33" s="1">
        <v>6.19</v>
      </c>
      <c r="E33" s="1">
        <v>115</v>
      </c>
      <c r="F33" s="1">
        <v>17</v>
      </c>
      <c r="G33" s="1">
        <f t="shared" si="4"/>
        <v>1955</v>
      </c>
      <c r="H33" s="1">
        <f t="shared" si="5"/>
        <v>315.83198707592891</v>
      </c>
      <c r="I33" s="3">
        <v>3008</v>
      </c>
      <c r="J33" s="37">
        <f t="shared" si="1"/>
        <v>950022.61712439416</v>
      </c>
      <c r="K33" s="29">
        <v>18000</v>
      </c>
      <c r="L33" s="64">
        <f t="shared" si="2"/>
        <v>2070000</v>
      </c>
      <c r="M33" s="29">
        <f t="shared" si="3"/>
        <v>1119977.382875606</v>
      </c>
    </row>
    <row r="34" spans="1:13" x14ac:dyDescent="0.2">
      <c r="A34" s="1"/>
      <c r="B34" s="1" t="s">
        <v>7</v>
      </c>
      <c r="C34" s="1" t="s">
        <v>1298</v>
      </c>
      <c r="D34" s="1">
        <v>6.19</v>
      </c>
      <c r="E34" s="1">
        <v>260</v>
      </c>
      <c r="F34" s="1">
        <v>20</v>
      </c>
      <c r="G34" s="1">
        <f t="shared" si="4"/>
        <v>5200</v>
      </c>
      <c r="H34" s="1">
        <f t="shared" si="5"/>
        <v>840.06462035541188</v>
      </c>
      <c r="I34" s="3">
        <v>3008</v>
      </c>
      <c r="J34" s="37">
        <f t="shared" si="1"/>
        <v>2526914.3780290792</v>
      </c>
      <c r="K34" s="29">
        <v>18000</v>
      </c>
      <c r="L34" s="64">
        <f t="shared" si="2"/>
        <v>4680000</v>
      </c>
      <c r="M34" s="29">
        <f t="shared" si="3"/>
        <v>2153085.6219709208</v>
      </c>
    </row>
    <row r="35" spans="1:13" x14ac:dyDescent="0.2">
      <c r="A35" s="1"/>
      <c r="B35" s="1" t="s">
        <v>253</v>
      </c>
      <c r="C35" s="1" t="s">
        <v>1299</v>
      </c>
      <c r="D35" s="1">
        <v>6.19</v>
      </c>
      <c r="E35" s="1">
        <v>250</v>
      </c>
      <c r="F35" s="1">
        <v>25</v>
      </c>
      <c r="G35" s="1">
        <f t="shared" si="4"/>
        <v>6250</v>
      </c>
      <c r="H35" s="1">
        <f t="shared" si="5"/>
        <v>1009.6930533117932</v>
      </c>
      <c r="I35" s="3">
        <v>3008</v>
      </c>
      <c r="J35" s="37">
        <f t="shared" si="1"/>
        <v>3037156.7043618737</v>
      </c>
      <c r="K35" s="29">
        <v>23000</v>
      </c>
      <c r="L35" s="64">
        <f t="shared" si="2"/>
        <v>5750000</v>
      </c>
      <c r="M35" s="29">
        <f t="shared" si="3"/>
        <v>2712843.2956381263</v>
      </c>
    </row>
    <row r="36" spans="1:13" x14ac:dyDescent="0.2">
      <c r="A36" s="1"/>
      <c r="B36" s="1" t="s">
        <v>253</v>
      </c>
      <c r="C36" s="1" t="s">
        <v>1300</v>
      </c>
      <c r="D36" s="1">
        <v>6.19</v>
      </c>
      <c r="E36" s="1">
        <v>150</v>
      </c>
      <c r="F36" s="1">
        <v>16</v>
      </c>
      <c r="G36" s="1">
        <f t="shared" si="4"/>
        <v>2400</v>
      </c>
      <c r="H36" s="1">
        <f t="shared" si="5"/>
        <v>387.72213247172857</v>
      </c>
      <c r="I36" s="3">
        <v>3008</v>
      </c>
      <c r="J36" s="37">
        <f t="shared" si="1"/>
        <v>1166268.1744749595</v>
      </c>
      <c r="K36" s="29">
        <v>20000</v>
      </c>
      <c r="L36" s="64">
        <f t="shared" si="2"/>
        <v>3000000</v>
      </c>
      <c r="M36" s="29">
        <f t="shared" si="3"/>
        <v>1833731.8255250405</v>
      </c>
    </row>
    <row r="37" spans="1:13" x14ac:dyDescent="0.2">
      <c r="A37" s="1"/>
      <c r="B37" s="1" t="s">
        <v>7</v>
      </c>
      <c r="C37" s="1" t="s">
        <v>1301</v>
      </c>
      <c r="D37" s="1">
        <v>6.19</v>
      </c>
      <c r="E37" s="1">
        <v>300</v>
      </c>
      <c r="F37" s="1">
        <v>28</v>
      </c>
      <c r="G37" s="1">
        <f t="shared" si="4"/>
        <v>8400</v>
      </c>
      <c r="H37" s="1">
        <f t="shared" si="5"/>
        <v>1357.0274636510501</v>
      </c>
      <c r="I37" s="3">
        <v>3008</v>
      </c>
      <c r="J37" s="37">
        <f t="shared" si="1"/>
        <v>4081938.6106623579</v>
      </c>
      <c r="K37" s="29">
        <v>23000</v>
      </c>
      <c r="L37" s="64">
        <f t="shared" si="2"/>
        <v>6900000</v>
      </c>
      <c r="M37" s="29">
        <f t="shared" si="3"/>
        <v>2818061.3893376421</v>
      </c>
    </row>
    <row r="38" spans="1:13" x14ac:dyDescent="0.2">
      <c r="A38" s="1"/>
      <c r="B38" s="1" t="s">
        <v>253</v>
      </c>
      <c r="C38" s="1" t="s">
        <v>1302</v>
      </c>
      <c r="D38" s="1">
        <v>6.19</v>
      </c>
      <c r="E38" s="1">
        <v>300</v>
      </c>
      <c r="F38" s="1">
        <v>31</v>
      </c>
      <c r="G38" s="1">
        <f t="shared" si="4"/>
        <v>9300</v>
      </c>
      <c r="H38" s="1">
        <f t="shared" si="5"/>
        <v>1502.4232633279482</v>
      </c>
      <c r="I38" s="3">
        <v>3008</v>
      </c>
      <c r="J38" s="37">
        <f t="shared" si="1"/>
        <v>4519289.1760904687</v>
      </c>
      <c r="K38" s="29">
        <v>20000</v>
      </c>
      <c r="L38" s="64">
        <f t="shared" si="2"/>
        <v>6000000</v>
      </c>
      <c r="M38" s="29">
        <f t="shared" si="3"/>
        <v>1480710.8239095313</v>
      </c>
    </row>
    <row r="39" spans="1:13" x14ac:dyDescent="0.2">
      <c r="A39" s="1"/>
      <c r="B39" s="1" t="s">
        <v>253</v>
      </c>
      <c r="C39" s="1" t="s">
        <v>1303</v>
      </c>
      <c r="D39" s="1">
        <v>6.19</v>
      </c>
      <c r="E39" s="1">
        <v>350</v>
      </c>
      <c r="F39" s="1">
        <v>26</v>
      </c>
      <c r="G39" s="1">
        <f t="shared" si="4"/>
        <v>9100</v>
      </c>
      <c r="H39" s="1">
        <f t="shared" si="5"/>
        <v>1470.1130856219709</v>
      </c>
      <c r="I39" s="3">
        <v>3008</v>
      </c>
      <c r="J39" s="37">
        <f t="shared" si="1"/>
        <v>4422100.1615508879</v>
      </c>
      <c r="K39" s="29">
        <v>23000</v>
      </c>
      <c r="L39" s="64">
        <f t="shared" si="2"/>
        <v>8050000</v>
      </c>
      <c r="M39" s="29">
        <f t="shared" si="3"/>
        <v>3627899.8384491121</v>
      </c>
    </row>
    <row r="40" spans="1:13" x14ac:dyDescent="0.2">
      <c r="A40" s="1"/>
      <c r="B40" s="1" t="s">
        <v>253</v>
      </c>
      <c r="C40" s="1" t="s">
        <v>1304</v>
      </c>
      <c r="D40" s="1">
        <v>6.19</v>
      </c>
      <c r="E40" s="1">
        <v>289</v>
      </c>
      <c r="F40" s="1">
        <v>25.5</v>
      </c>
      <c r="G40" s="1">
        <f t="shared" si="4"/>
        <v>7369.5</v>
      </c>
      <c r="H40" s="1">
        <f t="shared" si="5"/>
        <v>1190.5492730210015</v>
      </c>
      <c r="I40" s="3">
        <v>3008</v>
      </c>
      <c r="J40" s="37">
        <f t="shared" si="1"/>
        <v>3581172.2132471725</v>
      </c>
      <c r="K40" s="29">
        <v>20000</v>
      </c>
      <c r="L40" s="64">
        <f t="shared" si="2"/>
        <v>5780000</v>
      </c>
      <c r="M40" s="29">
        <f t="shared" si="3"/>
        <v>2198827.7867528275</v>
      </c>
    </row>
    <row r="41" spans="1:13" x14ac:dyDescent="0.2">
      <c r="A41" s="1"/>
      <c r="B41" s="1" t="s">
        <v>535</v>
      </c>
      <c r="C41" s="1" t="s">
        <v>1308</v>
      </c>
      <c r="D41" s="1">
        <v>6.19</v>
      </c>
      <c r="E41" s="1">
        <v>400</v>
      </c>
      <c r="F41" s="1">
        <v>11</v>
      </c>
      <c r="G41" s="1">
        <f t="shared" si="4"/>
        <v>4400</v>
      </c>
      <c r="H41" s="1">
        <f t="shared" si="5"/>
        <v>710.82390953150241</v>
      </c>
      <c r="I41" s="3">
        <v>3008</v>
      </c>
      <c r="J41" s="37">
        <f t="shared" si="1"/>
        <v>2138158.3198707593</v>
      </c>
      <c r="K41" s="29">
        <v>13000</v>
      </c>
      <c r="L41" s="64">
        <f t="shared" si="2"/>
        <v>5200000</v>
      </c>
      <c r="M41" s="29">
        <f t="shared" si="3"/>
        <v>3061841.6801292407</v>
      </c>
    </row>
    <row r="42" spans="1:13" x14ac:dyDescent="0.2">
      <c r="A42" s="1"/>
      <c r="B42" s="1" t="s">
        <v>253</v>
      </c>
      <c r="C42" s="1" t="s">
        <v>1309</v>
      </c>
      <c r="D42" s="1">
        <v>6.19</v>
      </c>
      <c r="E42" s="1">
        <v>200</v>
      </c>
      <c r="F42" s="1">
        <v>8</v>
      </c>
      <c r="G42" s="1">
        <f t="shared" si="4"/>
        <v>1600</v>
      </c>
      <c r="H42" s="1">
        <f t="shared" si="5"/>
        <v>258.48142164781905</v>
      </c>
      <c r="I42" s="3">
        <v>3008</v>
      </c>
      <c r="J42" s="37">
        <f t="shared" si="1"/>
        <v>777512.1163166397</v>
      </c>
      <c r="K42" s="29">
        <v>12000</v>
      </c>
      <c r="L42" s="64">
        <f t="shared" si="2"/>
        <v>2400000</v>
      </c>
      <c r="M42" s="29">
        <f t="shared" si="3"/>
        <v>1622487.8836833602</v>
      </c>
    </row>
    <row r="43" spans="1:13" x14ac:dyDescent="0.2">
      <c r="A43" s="1"/>
      <c r="B43" s="1" t="s">
        <v>253</v>
      </c>
      <c r="C43" s="1" t="s">
        <v>1310</v>
      </c>
      <c r="D43" s="1">
        <v>6.19</v>
      </c>
      <c r="E43" s="1">
        <v>200</v>
      </c>
      <c r="F43" s="1">
        <v>10</v>
      </c>
      <c r="G43" s="1">
        <f t="shared" si="4"/>
        <v>2000</v>
      </c>
      <c r="H43" s="1">
        <f t="shared" si="5"/>
        <v>323.10177705977378</v>
      </c>
      <c r="I43" s="3">
        <v>3008</v>
      </c>
      <c r="J43" s="37">
        <f t="shared" si="1"/>
        <v>971890.14539579966</v>
      </c>
      <c r="K43" s="29">
        <v>12000</v>
      </c>
      <c r="L43" s="64">
        <f t="shared" si="2"/>
        <v>2400000</v>
      </c>
      <c r="M43" s="29">
        <f t="shared" si="3"/>
        <v>1428109.8546042005</v>
      </c>
    </row>
    <row r="44" spans="1:13" x14ac:dyDescent="0.2">
      <c r="A44" s="1"/>
      <c r="B44" s="1" t="s">
        <v>7</v>
      </c>
      <c r="C44" s="1" t="s">
        <v>1311</v>
      </c>
      <c r="D44" s="1">
        <v>6.19</v>
      </c>
      <c r="E44" s="1">
        <v>310</v>
      </c>
      <c r="F44" s="1">
        <v>20</v>
      </c>
      <c r="G44" s="1">
        <f t="shared" si="4"/>
        <v>6200</v>
      </c>
      <c r="H44" s="1">
        <f t="shared" si="5"/>
        <v>1001.6155088852988</v>
      </c>
      <c r="I44" s="3">
        <v>3008</v>
      </c>
      <c r="J44" s="37">
        <f t="shared" si="1"/>
        <v>3012859.4507269789</v>
      </c>
      <c r="K44" s="29">
        <v>20000</v>
      </c>
      <c r="L44" s="64">
        <f t="shared" si="2"/>
        <v>6200000</v>
      </c>
      <c r="M44" s="29">
        <f t="shared" si="3"/>
        <v>3187140.5492730211</v>
      </c>
    </row>
    <row r="45" spans="1:13" x14ac:dyDescent="0.2">
      <c r="A45" s="1"/>
      <c r="B45" s="1" t="s">
        <v>253</v>
      </c>
      <c r="C45" s="1" t="s">
        <v>1313</v>
      </c>
      <c r="D45" s="1">
        <v>6.19</v>
      </c>
      <c r="E45" s="1">
        <v>137</v>
      </c>
      <c r="F45" s="1">
        <v>16</v>
      </c>
      <c r="G45" s="1">
        <f t="shared" si="4"/>
        <v>2192</v>
      </c>
      <c r="H45" s="1">
        <f t="shared" si="5"/>
        <v>354.1195476575121</v>
      </c>
      <c r="I45" s="3">
        <v>3008</v>
      </c>
      <c r="J45" s="37">
        <f t="shared" si="1"/>
        <v>1065191.5993537963</v>
      </c>
      <c r="K45" s="29">
        <v>18000</v>
      </c>
      <c r="L45" s="64">
        <f t="shared" si="2"/>
        <v>2466000</v>
      </c>
      <c r="M45" s="29">
        <f t="shared" si="3"/>
        <v>1400808.4006462037</v>
      </c>
    </row>
    <row r="46" spans="1:13" x14ac:dyDescent="0.2">
      <c r="A46" s="1"/>
      <c r="B46" s="1" t="s">
        <v>7</v>
      </c>
      <c r="C46" s="1" t="s">
        <v>1312</v>
      </c>
      <c r="D46" s="1">
        <v>6.19</v>
      </c>
      <c r="E46" s="1">
        <v>154</v>
      </c>
      <c r="F46" s="1">
        <v>20</v>
      </c>
      <c r="G46" s="1">
        <f t="shared" si="4"/>
        <v>3080</v>
      </c>
      <c r="H46" s="1">
        <f t="shared" si="5"/>
        <v>497.57673667205165</v>
      </c>
      <c r="I46" s="3">
        <v>3008</v>
      </c>
      <c r="J46" s="37">
        <f t="shared" si="1"/>
        <v>1496710.8239095316</v>
      </c>
      <c r="K46" s="29">
        <v>18000</v>
      </c>
      <c r="L46" s="64">
        <f t="shared" si="2"/>
        <v>2772000</v>
      </c>
      <c r="M46" s="29">
        <f t="shared" si="3"/>
        <v>1275289.1760904684</v>
      </c>
    </row>
    <row r="47" spans="1:13" x14ac:dyDescent="0.2">
      <c r="A47" s="1"/>
      <c r="B47" s="1" t="s">
        <v>7</v>
      </c>
      <c r="C47" s="1" t="s">
        <v>1315</v>
      </c>
      <c r="D47" s="1">
        <v>6.19</v>
      </c>
      <c r="E47" s="1">
        <v>200</v>
      </c>
      <c r="F47" s="1">
        <v>20</v>
      </c>
      <c r="G47" s="1">
        <f t="shared" si="4"/>
        <v>4000</v>
      </c>
      <c r="H47" s="1">
        <f t="shared" si="5"/>
        <v>646.20355411954756</v>
      </c>
      <c r="I47" s="3">
        <v>3008</v>
      </c>
      <c r="J47" s="37">
        <f t="shared" si="1"/>
        <v>1943780.2907915993</v>
      </c>
      <c r="K47" s="29">
        <v>18000</v>
      </c>
      <c r="L47" s="64">
        <f t="shared" si="2"/>
        <v>3600000</v>
      </c>
      <c r="M47" s="29">
        <f t="shared" si="3"/>
        <v>1656219.7092084007</v>
      </c>
    </row>
    <row r="48" spans="1:13" x14ac:dyDescent="0.2">
      <c r="A48" s="1"/>
      <c r="B48" s="1"/>
      <c r="C48" s="1"/>
      <c r="D48" s="1"/>
      <c r="E48" s="92">
        <f>SUM(E3:E47)</f>
        <v>17199</v>
      </c>
      <c r="F48" s="1"/>
      <c r="G48" s="1"/>
      <c r="H48" s="140">
        <f>SUM(H3:H47)</f>
        <v>57988.368336025844</v>
      </c>
      <c r="I48" s="3"/>
      <c r="J48" s="141">
        <f>SUM(J3:J47)</f>
        <v>174429011.95476577</v>
      </c>
      <c r="K48" s="29"/>
      <c r="L48" s="143">
        <f>SUM(L3:L47)</f>
        <v>326453000</v>
      </c>
      <c r="M48" s="144">
        <f>SUM(M3:M47)</f>
        <v>152023988.04523429</v>
      </c>
    </row>
    <row r="49" spans="3:13" x14ac:dyDescent="0.2">
      <c r="I49" s="142"/>
      <c r="J49" s="122"/>
      <c r="K49" s="105"/>
      <c r="L49" s="129"/>
      <c r="M49" s="105"/>
    </row>
    <row r="50" spans="3:13" x14ac:dyDescent="0.2">
      <c r="C50" t="s">
        <v>1076</v>
      </c>
      <c r="I50" s="142"/>
      <c r="J50" s="122"/>
      <c r="K50" s="105"/>
      <c r="L50" s="129"/>
      <c r="M50" s="105"/>
    </row>
    <row r="51" spans="3:13" x14ac:dyDescent="0.2">
      <c r="I51" s="142"/>
      <c r="J51" s="122"/>
      <c r="K51" s="105"/>
      <c r="L51" s="129"/>
      <c r="M51" s="105"/>
    </row>
    <row r="52" spans="3:13" x14ac:dyDescent="0.2">
      <c r="I52" s="142"/>
      <c r="J52" s="122"/>
      <c r="K52" s="105"/>
      <c r="L52" s="129"/>
      <c r="M52" s="105"/>
    </row>
    <row r="53" spans="3:13" x14ac:dyDescent="0.2">
      <c r="I53" s="142"/>
      <c r="J53" s="122"/>
      <c r="K53" s="105"/>
      <c r="L53" s="129"/>
      <c r="M53" s="105"/>
    </row>
    <row r="54" spans="3:13" x14ac:dyDescent="0.2">
      <c r="I54" s="3" t="s">
        <v>25</v>
      </c>
      <c r="J54" s="15">
        <v>174429011</v>
      </c>
    </row>
    <row r="55" spans="3:13" x14ac:dyDescent="0.2">
      <c r="I55" s="3" t="s">
        <v>27</v>
      </c>
      <c r="J55" s="9">
        <v>9314300</v>
      </c>
    </row>
    <row r="56" spans="3:13" x14ac:dyDescent="0.2">
      <c r="I56" s="3" t="s">
        <v>26</v>
      </c>
      <c r="J56" s="3">
        <v>4290000</v>
      </c>
    </row>
    <row r="57" spans="3:13" x14ac:dyDescent="0.2">
      <c r="I57" s="3" t="s">
        <v>33</v>
      </c>
      <c r="J57" s="3">
        <v>4000000</v>
      </c>
    </row>
    <row r="58" spans="3:13" x14ac:dyDescent="0.2">
      <c r="I58" s="3" t="s">
        <v>31</v>
      </c>
      <c r="J58" s="3">
        <v>6350000</v>
      </c>
    </row>
    <row r="59" spans="3:13" x14ac:dyDescent="0.2">
      <c r="I59" s="3" t="s">
        <v>36</v>
      </c>
      <c r="J59" s="3">
        <v>3410000</v>
      </c>
    </row>
    <row r="60" spans="3:13" x14ac:dyDescent="0.2">
      <c r="I60" s="3" t="s">
        <v>29</v>
      </c>
      <c r="J60" s="23">
        <v>15000000</v>
      </c>
    </row>
    <row r="61" spans="3:13" x14ac:dyDescent="0.2">
      <c r="I61" s="3" t="s">
        <v>34</v>
      </c>
      <c r="J61" s="26">
        <f>SUM(J54:J60)</f>
        <v>216793311</v>
      </c>
    </row>
    <row r="62" spans="3:13" x14ac:dyDescent="0.2">
      <c r="I62" s="3" t="s">
        <v>6</v>
      </c>
      <c r="J62" s="116">
        <v>326453000</v>
      </c>
    </row>
    <row r="63" spans="3:13" ht="18" x14ac:dyDescent="0.35">
      <c r="I63" s="3" t="s">
        <v>35</v>
      </c>
      <c r="J63" s="21">
        <f>J62-J61</f>
        <v>109659689</v>
      </c>
    </row>
    <row r="64" spans="3:13" x14ac:dyDescent="0.2">
      <c r="I64" s="112" t="s">
        <v>1254</v>
      </c>
      <c r="J64" t="s">
        <v>1255</v>
      </c>
    </row>
    <row r="65" spans="1:13" x14ac:dyDescent="0.2">
      <c r="I65" s="112" t="s">
        <v>1257</v>
      </c>
      <c r="J65" t="s">
        <v>1256</v>
      </c>
    </row>
    <row r="66" spans="1:13" x14ac:dyDescent="0.2">
      <c r="I66" s="112" t="s">
        <v>1263</v>
      </c>
      <c r="J66" t="s">
        <v>1264</v>
      </c>
    </row>
    <row r="70" spans="1:13" x14ac:dyDescent="0.2">
      <c r="A70" s="1"/>
      <c r="B70" s="1" t="s">
        <v>253</v>
      </c>
      <c r="C70" s="1" t="s">
        <v>1277</v>
      </c>
      <c r="D70" s="1">
        <v>6.19</v>
      </c>
      <c r="E70" s="1">
        <v>400</v>
      </c>
      <c r="F70" s="1">
        <v>27</v>
      </c>
      <c r="G70" s="1">
        <f>E70*F70</f>
        <v>10800</v>
      </c>
      <c r="H70" s="1">
        <f>G70/D70</f>
        <v>1744.7495961227785</v>
      </c>
      <c r="I70" s="3">
        <v>3008</v>
      </c>
      <c r="J70" s="37">
        <f>F70/D70*I70*E70</f>
        <v>5248206.7851373181</v>
      </c>
      <c r="K70" s="29">
        <v>20000</v>
      </c>
      <c r="L70" s="64">
        <f>K70*E70</f>
        <v>8000000</v>
      </c>
      <c r="M70" s="29">
        <f>L70-J70</f>
        <v>2751793.2148626819</v>
      </c>
    </row>
    <row r="76" spans="1:13" ht="31" x14ac:dyDescent="0.35">
      <c r="A76" s="56" t="s">
        <v>1322</v>
      </c>
      <c r="B76" s="56"/>
      <c r="C76" s="56"/>
      <c r="D76" s="56"/>
      <c r="E76" s="56"/>
      <c r="F76" s="57"/>
      <c r="G76" s="57"/>
      <c r="H76" s="57"/>
      <c r="I76" s="57"/>
      <c r="J76" s="57"/>
      <c r="K76" s="57"/>
      <c r="L76" s="57"/>
      <c r="M76" s="57"/>
    </row>
    <row r="77" spans="1:13" x14ac:dyDescent="0.2">
      <c r="A77" s="58" t="s">
        <v>0</v>
      </c>
      <c r="B77" s="58" t="s">
        <v>1</v>
      </c>
      <c r="C77" s="58" t="s">
        <v>263</v>
      </c>
      <c r="D77" s="58" t="s">
        <v>2</v>
      </c>
      <c r="E77" s="58" t="s">
        <v>3</v>
      </c>
      <c r="F77" s="58" t="s">
        <v>11</v>
      </c>
      <c r="G77" s="59" t="s">
        <v>8</v>
      </c>
      <c r="H77" s="58" t="s">
        <v>77</v>
      </c>
      <c r="I77" s="59" t="s">
        <v>41</v>
      </c>
      <c r="J77" s="59" t="s">
        <v>9</v>
      </c>
      <c r="K77" s="59" t="s">
        <v>10</v>
      </c>
      <c r="L77" s="59" t="s">
        <v>6</v>
      </c>
      <c r="M77" s="59" t="s">
        <v>12</v>
      </c>
    </row>
    <row r="78" spans="1:13" x14ac:dyDescent="0.2">
      <c r="A78" s="2" t="s">
        <v>1144</v>
      </c>
      <c r="B78" s="1" t="s">
        <v>23</v>
      </c>
      <c r="C78" s="1" t="s">
        <v>994</v>
      </c>
      <c r="D78" s="1">
        <v>33.18</v>
      </c>
      <c r="E78" s="1">
        <v>300</v>
      </c>
      <c r="F78" s="1">
        <v>90</v>
      </c>
      <c r="G78" s="44">
        <f t="shared" ref="G78:G92" si="6">E78*F78</f>
        <v>27000</v>
      </c>
      <c r="H78" s="5">
        <f t="shared" ref="H78" si="7">G78/D78</f>
        <v>813.74321880650996</v>
      </c>
      <c r="I78" s="3">
        <v>3008</v>
      </c>
      <c r="J78" s="3">
        <f t="shared" ref="J78:J92" si="8">F78/D78*I78*E78</f>
        <v>2447739.6021699817</v>
      </c>
      <c r="K78" s="3">
        <v>12000</v>
      </c>
      <c r="L78" s="44">
        <f t="shared" ref="L78:L92" si="9">K78*E78</f>
        <v>3600000</v>
      </c>
      <c r="M78" s="3">
        <f t="shared" ref="M78:M92" si="10">L78-J78</f>
        <v>1152260.3978300183</v>
      </c>
    </row>
    <row r="79" spans="1:13" x14ac:dyDescent="0.2">
      <c r="A79" s="2"/>
      <c r="B79" s="1" t="s">
        <v>253</v>
      </c>
      <c r="C79" s="1" t="s">
        <v>995</v>
      </c>
      <c r="D79" s="1">
        <v>33.18</v>
      </c>
      <c r="E79" s="1">
        <v>300</v>
      </c>
      <c r="F79" s="1">
        <v>100</v>
      </c>
      <c r="G79" s="44">
        <f t="shared" si="6"/>
        <v>30000</v>
      </c>
      <c r="H79" s="5">
        <f>G79/D79</f>
        <v>904.15913200723332</v>
      </c>
      <c r="I79" s="3">
        <v>3008</v>
      </c>
      <c r="J79" s="3">
        <f t="shared" si="8"/>
        <v>2719710.6690777577</v>
      </c>
      <c r="K79" s="3">
        <v>13000</v>
      </c>
      <c r="L79" s="44">
        <f t="shared" si="9"/>
        <v>3900000</v>
      </c>
      <c r="M79" s="3">
        <f t="shared" si="10"/>
        <v>1180289.3309222423</v>
      </c>
    </row>
    <row r="80" spans="1:13" x14ac:dyDescent="0.2">
      <c r="A80" s="2"/>
      <c r="B80" s="1" t="s">
        <v>253</v>
      </c>
      <c r="C80" s="1" t="s">
        <v>996</v>
      </c>
      <c r="D80" s="1">
        <v>33.18</v>
      </c>
      <c r="E80" s="1">
        <v>300</v>
      </c>
      <c r="F80" s="1">
        <v>90</v>
      </c>
      <c r="G80" s="44">
        <f t="shared" si="6"/>
        <v>27000</v>
      </c>
      <c r="H80" s="5">
        <f>G80/D80</f>
        <v>813.74321880650996</v>
      </c>
      <c r="I80" s="3">
        <v>3008</v>
      </c>
      <c r="J80" s="3">
        <f t="shared" si="8"/>
        <v>2447739.6021699817</v>
      </c>
      <c r="K80" s="3">
        <v>12000</v>
      </c>
      <c r="L80" s="44">
        <f t="shared" si="9"/>
        <v>3600000</v>
      </c>
      <c r="M80" s="3">
        <f t="shared" si="10"/>
        <v>1152260.3978300183</v>
      </c>
    </row>
    <row r="81" spans="1:13" x14ac:dyDescent="0.2">
      <c r="A81" s="2"/>
      <c r="B81" s="1" t="s">
        <v>253</v>
      </c>
      <c r="C81" s="1" t="s">
        <v>995</v>
      </c>
      <c r="D81" s="1">
        <v>33.18</v>
      </c>
      <c r="E81" s="1">
        <v>300</v>
      </c>
      <c r="F81" s="1">
        <v>100</v>
      </c>
      <c r="G81" s="1">
        <f t="shared" si="6"/>
        <v>30000</v>
      </c>
      <c r="H81" s="1">
        <f t="shared" ref="H81:H92" si="11">G81/D81</f>
        <v>904.15913200723332</v>
      </c>
      <c r="I81" s="3">
        <v>3008</v>
      </c>
      <c r="J81" s="37">
        <f t="shared" si="8"/>
        <v>2719710.6690777577</v>
      </c>
      <c r="K81" s="3">
        <v>13000</v>
      </c>
      <c r="L81" s="44">
        <f t="shared" si="9"/>
        <v>3900000</v>
      </c>
      <c r="M81" s="3">
        <f t="shared" si="10"/>
        <v>1180289.3309222423</v>
      </c>
    </row>
    <row r="82" spans="1:13" x14ac:dyDescent="0.2">
      <c r="A82" s="2"/>
      <c r="B82" s="1" t="s">
        <v>1156</v>
      </c>
      <c r="C82" s="1" t="s">
        <v>1328</v>
      </c>
      <c r="D82" s="1">
        <v>33.18</v>
      </c>
      <c r="E82" s="1">
        <v>283</v>
      </c>
      <c r="F82" s="1">
        <v>88</v>
      </c>
      <c r="G82" s="1">
        <f t="shared" si="6"/>
        <v>24904</v>
      </c>
      <c r="H82" s="1">
        <f t="shared" si="11"/>
        <v>750.57263411693793</v>
      </c>
      <c r="I82" s="3">
        <v>3008</v>
      </c>
      <c r="J82" s="37">
        <f t="shared" si="8"/>
        <v>2257722.483423749</v>
      </c>
      <c r="K82" s="3">
        <v>15000</v>
      </c>
      <c r="L82" s="44">
        <f t="shared" si="9"/>
        <v>4245000</v>
      </c>
      <c r="M82" s="3">
        <f t="shared" si="10"/>
        <v>1987277.516576251</v>
      </c>
    </row>
    <row r="83" spans="1:13" x14ac:dyDescent="0.2">
      <c r="A83" s="2"/>
      <c r="B83" s="1" t="s">
        <v>23</v>
      </c>
      <c r="C83" s="1" t="s">
        <v>1317</v>
      </c>
      <c r="D83" s="1">
        <v>33.18</v>
      </c>
      <c r="E83" s="1">
        <v>200</v>
      </c>
      <c r="F83" s="1">
        <v>60</v>
      </c>
      <c r="G83" s="1">
        <f t="shared" si="6"/>
        <v>12000</v>
      </c>
      <c r="H83" s="1">
        <f t="shared" si="11"/>
        <v>361.6636528028933</v>
      </c>
      <c r="I83" s="3">
        <v>3008</v>
      </c>
      <c r="J83" s="37">
        <f t="shared" si="8"/>
        <v>1087884.2676311031</v>
      </c>
      <c r="K83" s="29">
        <v>13000</v>
      </c>
      <c r="L83" s="64">
        <f t="shared" si="9"/>
        <v>2600000</v>
      </c>
      <c r="M83" s="29">
        <f t="shared" si="10"/>
        <v>1512115.7323688969</v>
      </c>
    </row>
    <row r="84" spans="1:13" x14ac:dyDescent="0.2">
      <c r="A84" s="2"/>
      <c r="B84" s="1" t="s">
        <v>23</v>
      </c>
      <c r="C84" s="1" t="s">
        <v>1318</v>
      </c>
      <c r="D84" s="1">
        <v>33.18</v>
      </c>
      <c r="E84" s="1">
        <v>370</v>
      </c>
      <c r="F84" s="1">
        <v>65</v>
      </c>
      <c r="G84" s="1">
        <f t="shared" si="6"/>
        <v>24050</v>
      </c>
      <c r="H84" s="1">
        <f t="shared" si="11"/>
        <v>724.83423749246538</v>
      </c>
      <c r="I84" s="3">
        <v>3008</v>
      </c>
      <c r="J84" s="37">
        <f t="shared" si="8"/>
        <v>2180301.386377336</v>
      </c>
      <c r="K84" s="29">
        <v>12000</v>
      </c>
      <c r="L84" s="64">
        <f t="shared" si="9"/>
        <v>4440000</v>
      </c>
      <c r="M84" s="29">
        <f t="shared" si="10"/>
        <v>2259698.613622664</v>
      </c>
    </row>
    <row r="85" spans="1:13" x14ac:dyDescent="0.2">
      <c r="A85" s="2"/>
      <c r="B85" s="1" t="s">
        <v>253</v>
      </c>
      <c r="C85" s="1" t="s">
        <v>1319</v>
      </c>
      <c r="D85" s="1">
        <v>33.18</v>
      </c>
      <c r="E85" s="1">
        <v>100</v>
      </c>
      <c r="F85" s="1">
        <v>45</v>
      </c>
      <c r="G85" s="1">
        <f t="shared" si="6"/>
        <v>4500</v>
      </c>
      <c r="H85" s="1">
        <f t="shared" si="11"/>
        <v>135.62386980108499</v>
      </c>
      <c r="I85" s="3">
        <v>3008</v>
      </c>
      <c r="J85" s="37">
        <f t="shared" si="8"/>
        <v>407956.60036166362</v>
      </c>
      <c r="K85" s="29">
        <v>10000</v>
      </c>
      <c r="L85" s="64">
        <f t="shared" si="9"/>
        <v>1000000</v>
      </c>
      <c r="M85" s="29">
        <f t="shared" si="10"/>
        <v>592043.39963833638</v>
      </c>
    </row>
    <row r="86" spans="1:13" x14ac:dyDescent="0.2">
      <c r="A86" s="2"/>
      <c r="B86" s="1" t="s">
        <v>23</v>
      </c>
      <c r="C86" s="1" t="s">
        <v>1320</v>
      </c>
      <c r="D86" s="1">
        <v>33.18</v>
      </c>
      <c r="E86" s="1">
        <v>212</v>
      </c>
      <c r="F86" s="1">
        <v>65</v>
      </c>
      <c r="G86" s="1">
        <f t="shared" si="6"/>
        <v>13780</v>
      </c>
      <c r="H86" s="1">
        <f t="shared" si="11"/>
        <v>415.3104279686558</v>
      </c>
      <c r="I86" s="3">
        <v>3008</v>
      </c>
      <c r="J86" s="37">
        <f t="shared" si="8"/>
        <v>1249253.7673297168</v>
      </c>
      <c r="K86" s="29">
        <v>12000</v>
      </c>
      <c r="L86" s="64">
        <f t="shared" si="9"/>
        <v>2544000</v>
      </c>
      <c r="M86" s="29">
        <f t="shared" si="10"/>
        <v>1294746.2326702832</v>
      </c>
    </row>
    <row r="87" spans="1:13" x14ac:dyDescent="0.2">
      <c r="A87" s="2"/>
      <c r="B87" s="1" t="s">
        <v>253</v>
      </c>
      <c r="C87" s="1" t="s">
        <v>1321</v>
      </c>
      <c r="D87" s="1">
        <v>33.18</v>
      </c>
      <c r="E87" s="1">
        <v>320</v>
      </c>
      <c r="F87" s="1">
        <v>72</v>
      </c>
      <c r="G87" s="1">
        <f t="shared" si="6"/>
        <v>23040</v>
      </c>
      <c r="H87" s="1">
        <f t="shared" si="11"/>
        <v>694.39421338155512</v>
      </c>
      <c r="I87" s="3">
        <v>3008</v>
      </c>
      <c r="J87" s="37">
        <f t="shared" si="8"/>
        <v>2088737.7938517178</v>
      </c>
      <c r="K87" s="29">
        <v>12000</v>
      </c>
      <c r="L87" s="64">
        <f t="shared" si="9"/>
        <v>3840000</v>
      </c>
      <c r="M87" s="29">
        <f t="shared" si="10"/>
        <v>1751262.2061482822</v>
      </c>
    </row>
    <row r="88" spans="1:13" x14ac:dyDescent="0.2">
      <c r="A88" s="1"/>
      <c r="B88" s="1" t="s">
        <v>23</v>
      </c>
      <c r="C88" s="1" t="s">
        <v>1323</v>
      </c>
      <c r="D88" s="1">
        <v>33.18</v>
      </c>
      <c r="E88" s="1">
        <v>600</v>
      </c>
      <c r="F88" s="1">
        <v>40</v>
      </c>
      <c r="G88" s="1">
        <f t="shared" si="6"/>
        <v>24000</v>
      </c>
      <c r="H88" s="1">
        <f t="shared" si="11"/>
        <v>723.32730560578659</v>
      </c>
      <c r="I88" s="3">
        <v>3008</v>
      </c>
      <c r="J88" s="37">
        <f t="shared" si="8"/>
        <v>2175768.5352622061</v>
      </c>
      <c r="K88" s="29">
        <v>12000</v>
      </c>
      <c r="L88" s="64">
        <f t="shared" si="9"/>
        <v>7200000</v>
      </c>
      <c r="M88" s="29">
        <f t="shared" si="10"/>
        <v>5024231.4647377934</v>
      </c>
    </row>
    <row r="89" spans="1:13" x14ac:dyDescent="0.2">
      <c r="A89" s="1"/>
      <c r="B89" s="1" t="s">
        <v>23</v>
      </c>
      <c r="C89" s="1" t="s">
        <v>1324</v>
      </c>
      <c r="D89" s="1">
        <v>33.18</v>
      </c>
      <c r="E89" s="1">
        <v>88</v>
      </c>
      <c r="F89" s="1">
        <v>60</v>
      </c>
      <c r="G89" s="1">
        <f t="shared" si="6"/>
        <v>5280</v>
      </c>
      <c r="H89" s="1">
        <f t="shared" si="11"/>
        <v>159.13200723327304</v>
      </c>
      <c r="I89" s="3">
        <v>3008</v>
      </c>
      <c r="J89" s="37">
        <f t="shared" si="8"/>
        <v>478669.07775768539</v>
      </c>
      <c r="K89" s="29">
        <v>12000</v>
      </c>
      <c r="L89" s="64">
        <f t="shared" si="9"/>
        <v>1056000</v>
      </c>
      <c r="M89" s="29">
        <f t="shared" si="10"/>
        <v>577330.92224231455</v>
      </c>
    </row>
    <row r="90" spans="1:13" x14ac:dyDescent="0.2">
      <c r="A90" s="1"/>
      <c r="B90" s="1" t="s">
        <v>23</v>
      </c>
      <c r="C90" s="1" t="s">
        <v>1325</v>
      </c>
      <c r="D90" s="1">
        <v>33.18</v>
      </c>
      <c r="E90" s="1">
        <v>860</v>
      </c>
      <c r="F90" s="1">
        <v>60</v>
      </c>
      <c r="G90" s="1">
        <f t="shared" si="6"/>
        <v>51600</v>
      </c>
      <c r="H90" s="1">
        <f t="shared" si="11"/>
        <v>1555.1537070524412</v>
      </c>
      <c r="I90" s="3">
        <v>3008</v>
      </c>
      <c r="J90" s="37">
        <f t="shared" si="8"/>
        <v>4677902.3508137437</v>
      </c>
      <c r="K90" s="29">
        <v>12000</v>
      </c>
      <c r="L90" s="64">
        <f t="shared" si="9"/>
        <v>10320000</v>
      </c>
      <c r="M90" s="29">
        <f t="shared" si="10"/>
        <v>5642097.6491862563</v>
      </c>
    </row>
    <row r="91" spans="1:13" x14ac:dyDescent="0.2">
      <c r="A91" s="1"/>
      <c r="B91" s="1" t="s">
        <v>253</v>
      </c>
      <c r="C91" s="1" t="s">
        <v>1326</v>
      </c>
      <c r="D91" s="1">
        <v>33.18</v>
      </c>
      <c r="E91" s="1">
        <v>143</v>
      </c>
      <c r="F91" s="1">
        <v>55</v>
      </c>
      <c r="G91" s="1">
        <f t="shared" si="6"/>
        <v>7865</v>
      </c>
      <c r="H91" s="1">
        <f t="shared" si="11"/>
        <v>237.04038577456299</v>
      </c>
      <c r="I91" s="3">
        <v>3008</v>
      </c>
      <c r="J91" s="37">
        <f t="shared" si="8"/>
        <v>713017.48040988552</v>
      </c>
      <c r="K91" s="29">
        <v>12000</v>
      </c>
      <c r="L91" s="64">
        <f t="shared" si="9"/>
        <v>1716000</v>
      </c>
      <c r="M91" s="29">
        <f t="shared" si="10"/>
        <v>1002982.5195901145</v>
      </c>
    </row>
    <row r="92" spans="1:13" x14ac:dyDescent="0.2">
      <c r="A92" s="1"/>
      <c r="B92" s="1" t="s">
        <v>253</v>
      </c>
      <c r="C92" s="1" t="s">
        <v>1327</v>
      </c>
      <c r="D92" s="1">
        <v>33.18</v>
      </c>
      <c r="E92" s="1">
        <v>600</v>
      </c>
      <c r="F92" s="1">
        <v>50</v>
      </c>
      <c r="G92" s="1">
        <f t="shared" si="6"/>
        <v>30000</v>
      </c>
      <c r="H92" s="1">
        <f t="shared" si="11"/>
        <v>904.15913200723332</v>
      </c>
      <c r="I92" s="3">
        <v>3008</v>
      </c>
      <c r="J92" s="37">
        <f t="shared" si="8"/>
        <v>2719710.6690777577</v>
      </c>
      <c r="K92" s="29">
        <v>10000</v>
      </c>
      <c r="L92" s="64">
        <f t="shared" si="9"/>
        <v>6000000</v>
      </c>
      <c r="M92" s="29">
        <f t="shared" si="10"/>
        <v>3280289.3309222423</v>
      </c>
    </row>
    <row r="93" spans="1:13" x14ac:dyDescent="0.2">
      <c r="A93" s="1"/>
      <c r="B93" s="1"/>
      <c r="C93" s="1"/>
      <c r="D93" s="1"/>
      <c r="E93" s="92">
        <f>SUM(E78:E92)</f>
        <v>4976</v>
      </c>
      <c r="F93" s="1"/>
      <c r="G93" s="1"/>
      <c r="H93" s="134">
        <f>SUM(H78:H92)</f>
        <v>10097.016274864374</v>
      </c>
      <c r="I93" s="1"/>
      <c r="J93" s="86">
        <f>SUM(J78:J92)</f>
        <v>30371824.954792041</v>
      </c>
      <c r="K93" s="1"/>
      <c r="L93" s="133">
        <f>SUM(L78:L92)</f>
        <v>59961000</v>
      </c>
      <c r="M93" s="20">
        <f>SUM(M78:M92)</f>
        <v>29589175.045207951</v>
      </c>
    </row>
    <row r="96" spans="1:13" x14ac:dyDescent="0.2">
      <c r="I96" s="3" t="s">
        <v>25</v>
      </c>
      <c r="J96" s="15">
        <v>30371825</v>
      </c>
    </row>
    <row r="97" spans="1:13" x14ac:dyDescent="0.2">
      <c r="I97" s="3" t="s">
        <v>27</v>
      </c>
      <c r="J97" s="9">
        <v>1200000</v>
      </c>
      <c r="K97" t="s">
        <v>1170</v>
      </c>
    </row>
    <row r="98" spans="1:13" x14ac:dyDescent="0.2">
      <c r="I98" s="3" t="s">
        <v>26</v>
      </c>
      <c r="J98" s="3"/>
      <c r="K98" t="s">
        <v>1171</v>
      </c>
    </row>
    <row r="99" spans="1:13" x14ac:dyDescent="0.2">
      <c r="I99" s="3" t="s">
        <v>33</v>
      </c>
      <c r="J99" s="3">
        <v>1000000</v>
      </c>
    </row>
    <row r="100" spans="1:13" x14ac:dyDescent="0.2">
      <c r="I100" s="3" t="s">
        <v>31</v>
      </c>
      <c r="J100" s="3">
        <v>1000000</v>
      </c>
    </row>
    <row r="101" spans="1:13" x14ac:dyDescent="0.2">
      <c r="I101" s="3" t="s">
        <v>36</v>
      </c>
      <c r="J101" s="3">
        <v>1000000</v>
      </c>
    </row>
    <row r="102" spans="1:13" x14ac:dyDescent="0.2">
      <c r="I102" s="3" t="s">
        <v>29</v>
      </c>
      <c r="J102" s="23">
        <v>3770000</v>
      </c>
      <c r="K102" t="s">
        <v>1169</v>
      </c>
    </row>
    <row r="103" spans="1:13" x14ac:dyDescent="0.2">
      <c r="I103" s="3" t="s">
        <v>34</v>
      </c>
      <c r="J103" s="26">
        <f>SUM(J96:J102)</f>
        <v>38341825</v>
      </c>
      <c r="K103" t="s">
        <v>1172</v>
      </c>
    </row>
    <row r="104" spans="1:13" x14ac:dyDescent="0.2">
      <c r="I104" s="3" t="s">
        <v>6</v>
      </c>
      <c r="J104" s="55">
        <v>60161000</v>
      </c>
    </row>
    <row r="105" spans="1:13" ht="18" x14ac:dyDescent="0.35">
      <c r="I105" s="3" t="s">
        <v>35</v>
      </c>
      <c r="J105" s="21">
        <f>J104-J103</f>
        <v>21819175</v>
      </c>
    </row>
    <row r="112" spans="1:13" x14ac:dyDescent="0.2">
      <c r="A112" s="2" t="s">
        <v>1268</v>
      </c>
      <c r="B112" s="1" t="s">
        <v>7</v>
      </c>
      <c r="C112" s="1" t="s">
        <v>1269</v>
      </c>
      <c r="D112" s="1">
        <v>6.19</v>
      </c>
      <c r="E112" s="149">
        <v>400</v>
      </c>
      <c r="F112" s="149">
        <v>29</v>
      </c>
      <c r="G112" s="149">
        <f>E112*F112</f>
        <v>11600</v>
      </c>
      <c r="H112" s="1">
        <f>G112/D112</f>
        <v>1873.9903069466882</v>
      </c>
      <c r="I112" s="3">
        <v>3113</v>
      </c>
      <c r="J112" s="37">
        <f>F112/D112*I112*E112</f>
        <v>5833731.8255250398</v>
      </c>
      <c r="K112" s="3">
        <v>20000</v>
      </c>
      <c r="L112" s="44">
        <f>K112*E112</f>
        <v>8000000</v>
      </c>
      <c r="M112" s="3">
        <f>L112-J112</f>
        <v>2166268.1744749602</v>
      </c>
    </row>
    <row r="113" spans="1:13" x14ac:dyDescent="0.2">
      <c r="A113" s="2"/>
      <c r="B113" s="1" t="s">
        <v>253</v>
      </c>
      <c r="C113" s="1" t="s">
        <v>1197</v>
      </c>
      <c r="D113" s="1">
        <v>6.19</v>
      </c>
      <c r="E113" s="149">
        <v>500</v>
      </c>
      <c r="F113" s="149">
        <v>25</v>
      </c>
      <c r="G113" s="149">
        <f>E113*F113</f>
        <v>12500</v>
      </c>
      <c r="H113" s="1">
        <f>G113/D113</f>
        <v>2019.3861066235863</v>
      </c>
      <c r="I113" s="3">
        <v>3113</v>
      </c>
      <c r="J113" s="37">
        <f>F113/D113*I113*E113</f>
        <v>6286348.9499192238</v>
      </c>
      <c r="K113" s="3">
        <v>18000</v>
      </c>
      <c r="L113" s="44">
        <f>K113*E113</f>
        <v>9000000</v>
      </c>
      <c r="M113" s="3">
        <f>L113-J113</f>
        <v>2713651.0500807762</v>
      </c>
    </row>
    <row r="114" spans="1:13" x14ac:dyDescent="0.2">
      <c r="A114" s="2"/>
      <c r="B114" s="1" t="s">
        <v>7</v>
      </c>
      <c r="C114" s="1" t="s">
        <v>1270</v>
      </c>
      <c r="D114" s="1">
        <v>6.19</v>
      </c>
      <c r="E114" s="149">
        <v>300</v>
      </c>
      <c r="F114" s="149">
        <v>25</v>
      </c>
      <c r="G114" s="149">
        <f>E114*F114</f>
        <v>7500</v>
      </c>
      <c r="H114" s="1">
        <f>G114/D114</f>
        <v>1211.6316639741517</v>
      </c>
      <c r="I114" s="3">
        <v>3113</v>
      </c>
      <c r="J114" s="37">
        <f>F114/D114*I114*E114</f>
        <v>3771809.3699515341</v>
      </c>
      <c r="K114" s="29">
        <v>18000</v>
      </c>
      <c r="L114" s="64">
        <f>K114*E114</f>
        <v>5400000</v>
      </c>
      <c r="M114" s="29">
        <f>L114-J114</f>
        <v>1628190.6300484659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56"/>
  <sheetViews>
    <sheetView topLeftCell="A15" workbookViewId="0">
      <selection activeCell="C2" sqref="C2"/>
    </sheetView>
  </sheetViews>
  <sheetFormatPr baseColWidth="10" defaultRowHeight="15" x14ac:dyDescent="0.2"/>
  <cols>
    <col min="3" max="3" width="17.33203125" customWidth="1"/>
    <col min="10" max="10" width="15" customWidth="1"/>
    <col min="11" max="11" width="14.33203125" customWidth="1"/>
    <col min="12" max="12" width="15.5" customWidth="1"/>
  </cols>
  <sheetData>
    <row r="1" spans="1:13" ht="31" x14ac:dyDescent="0.35">
      <c r="A1" s="56" t="s">
        <v>1353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157" t="s">
        <v>1352</v>
      </c>
      <c r="B3" s="145" t="s">
        <v>7</v>
      </c>
      <c r="C3" s="145" t="s">
        <v>1305</v>
      </c>
      <c r="D3" s="1">
        <v>6.2</v>
      </c>
      <c r="E3" s="149">
        <v>880</v>
      </c>
      <c r="F3" s="149">
        <v>26</v>
      </c>
      <c r="G3" s="149">
        <f t="shared" ref="G3:G36" si="0">E3*F3</f>
        <v>22880</v>
      </c>
      <c r="H3" s="145">
        <f t="shared" ref="H3:H36" si="1">G3/D3</f>
        <v>3690.322580645161</v>
      </c>
      <c r="I3" s="3">
        <v>3200</v>
      </c>
      <c r="J3" s="146">
        <f t="shared" ref="J3:J36" si="2">F3/D3*I3*E3</f>
        <v>11809032.258064516</v>
      </c>
      <c r="K3" s="147">
        <v>20000</v>
      </c>
      <c r="L3" s="148">
        <f t="shared" ref="L3:L36" si="3">K3*E3</f>
        <v>17600000</v>
      </c>
      <c r="M3" s="147">
        <f t="shared" ref="M3:M36" si="4">L3-J3</f>
        <v>5790967.7419354841</v>
      </c>
    </row>
    <row r="4" spans="1:13" x14ac:dyDescent="0.2">
      <c r="A4" s="157"/>
      <c r="B4" s="145" t="s">
        <v>1306</v>
      </c>
      <c r="C4" s="145" t="s">
        <v>253</v>
      </c>
      <c r="D4" s="1">
        <v>6.2</v>
      </c>
      <c r="E4" s="149">
        <v>120</v>
      </c>
      <c r="F4" s="149">
        <v>24</v>
      </c>
      <c r="G4" s="149">
        <f t="shared" si="0"/>
        <v>2880</v>
      </c>
      <c r="H4" s="145">
        <f t="shared" si="1"/>
        <v>464.51612903225805</v>
      </c>
      <c r="I4" s="3">
        <v>3200</v>
      </c>
      <c r="J4" s="146">
        <f t="shared" si="2"/>
        <v>1486451.6129032257</v>
      </c>
      <c r="K4" s="147">
        <v>20000</v>
      </c>
      <c r="L4" s="148">
        <f t="shared" si="3"/>
        <v>2400000</v>
      </c>
      <c r="M4" s="147">
        <f t="shared" si="4"/>
        <v>913548.3870967743</v>
      </c>
    </row>
    <row r="5" spans="1:13" x14ac:dyDescent="0.2">
      <c r="B5" s="145" t="s">
        <v>7</v>
      </c>
      <c r="C5" s="145" t="s">
        <v>1330</v>
      </c>
      <c r="D5" s="1">
        <v>6.2</v>
      </c>
      <c r="E5" s="149">
        <v>300</v>
      </c>
      <c r="F5" s="149">
        <v>24</v>
      </c>
      <c r="G5" s="149">
        <f t="shared" si="0"/>
        <v>7200</v>
      </c>
      <c r="H5" s="145">
        <f t="shared" si="1"/>
        <v>1161.2903225806451</v>
      </c>
      <c r="I5" s="3">
        <v>3200</v>
      </c>
      <c r="J5" s="146">
        <f t="shared" si="2"/>
        <v>3716129.032258064</v>
      </c>
      <c r="K5" s="147">
        <v>20000</v>
      </c>
      <c r="L5" s="148">
        <f t="shared" si="3"/>
        <v>6000000</v>
      </c>
      <c r="M5" s="147">
        <f t="shared" si="4"/>
        <v>2283870.967741936</v>
      </c>
    </row>
    <row r="6" spans="1:13" x14ac:dyDescent="0.2">
      <c r="B6" s="145" t="s">
        <v>7</v>
      </c>
      <c r="C6" s="145" t="s">
        <v>1076</v>
      </c>
      <c r="D6" s="1">
        <v>6.2</v>
      </c>
      <c r="E6" s="149">
        <v>150</v>
      </c>
      <c r="F6" s="149">
        <v>28</v>
      </c>
      <c r="G6" s="149">
        <f t="shared" si="0"/>
        <v>4200</v>
      </c>
      <c r="H6" s="145">
        <f t="shared" si="1"/>
        <v>677.41935483870964</v>
      </c>
      <c r="I6" s="3">
        <v>3200</v>
      </c>
      <c r="J6" s="146">
        <f t="shared" si="2"/>
        <v>2167741.9354838706</v>
      </c>
      <c r="K6" s="147">
        <v>23000</v>
      </c>
      <c r="L6" s="148">
        <f t="shared" si="3"/>
        <v>3450000</v>
      </c>
      <c r="M6" s="147">
        <f t="shared" si="4"/>
        <v>1282258.0645161294</v>
      </c>
    </row>
    <row r="7" spans="1:13" x14ac:dyDescent="0.2">
      <c r="B7" s="145" t="s">
        <v>1241</v>
      </c>
      <c r="C7" s="145" t="s">
        <v>1331</v>
      </c>
      <c r="D7" s="1">
        <v>6.2</v>
      </c>
      <c r="E7" s="149">
        <v>90</v>
      </c>
      <c r="F7" s="149">
        <v>16</v>
      </c>
      <c r="G7" s="149">
        <f t="shared" si="0"/>
        <v>1440</v>
      </c>
      <c r="H7" s="145">
        <f t="shared" si="1"/>
        <v>232.25806451612902</v>
      </c>
      <c r="I7" s="3">
        <v>3200</v>
      </c>
      <c r="J7" s="146">
        <f t="shared" si="2"/>
        <v>743225.80645161285</v>
      </c>
      <c r="K7" s="147">
        <v>18000</v>
      </c>
      <c r="L7" s="148">
        <f t="shared" si="3"/>
        <v>1620000</v>
      </c>
      <c r="M7" s="147">
        <f t="shared" si="4"/>
        <v>876774.19354838715</v>
      </c>
    </row>
    <row r="8" spans="1:13" x14ac:dyDescent="0.2">
      <c r="B8" s="145" t="s">
        <v>1241</v>
      </c>
      <c r="C8" s="145" t="s">
        <v>1332</v>
      </c>
      <c r="D8" s="1">
        <v>6.2</v>
      </c>
      <c r="E8" s="149">
        <v>110</v>
      </c>
      <c r="F8" s="149">
        <v>15</v>
      </c>
      <c r="G8" s="149">
        <f t="shared" si="0"/>
        <v>1650</v>
      </c>
      <c r="H8" s="145">
        <f t="shared" si="1"/>
        <v>266.12903225806451</v>
      </c>
      <c r="I8" s="3">
        <v>3200</v>
      </c>
      <c r="J8" s="146">
        <f t="shared" si="2"/>
        <v>851612.90322580643</v>
      </c>
      <c r="K8" s="147">
        <v>18000</v>
      </c>
      <c r="L8" s="148">
        <f t="shared" si="3"/>
        <v>1980000</v>
      </c>
      <c r="M8" s="147">
        <f t="shared" si="4"/>
        <v>1128387.0967741935</v>
      </c>
    </row>
    <row r="9" spans="1:13" x14ac:dyDescent="0.2">
      <c r="B9" s="145" t="s">
        <v>7</v>
      </c>
      <c r="C9" s="145" t="s">
        <v>1333</v>
      </c>
      <c r="D9" s="1">
        <v>6.2</v>
      </c>
      <c r="E9" s="149">
        <v>320</v>
      </c>
      <c r="F9" s="149">
        <v>17</v>
      </c>
      <c r="G9" s="149">
        <f t="shared" si="0"/>
        <v>5440</v>
      </c>
      <c r="H9" s="145">
        <f t="shared" si="1"/>
        <v>877.41935483870964</v>
      </c>
      <c r="I9" s="3">
        <v>3200</v>
      </c>
      <c r="J9" s="146">
        <f t="shared" si="2"/>
        <v>2807741.935483871</v>
      </c>
      <c r="K9" s="147">
        <v>18000</v>
      </c>
      <c r="L9" s="148">
        <f t="shared" si="3"/>
        <v>5760000</v>
      </c>
      <c r="M9" s="147">
        <f t="shared" si="4"/>
        <v>2952258.064516129</v>
      </c>
    </row>
    <row r="10" spans="1:13" x14ac:dyDescent="0.2">
      <c r="B10" s="145" t="s">
        <v>253</v>
      </c>
      <c r="C10" s="145" t="s">
        <v>1334</v>
      </c>
      <c r="D10" s="1">
        <v>6.2</v>
      </c>
      <c r="E10" s="149">
        <v>200</v>
      </c>
      <c r="F10" s="149">
        <v>15</v>
      </c>
      <c r="G10" s="149">
        <f t="shared" si="0"/>
        <v>3000</v>
      </c>
      <c r="H10" s="145">
        <f t="shared" si="1"/>
        <v>483.87096774193549</v>
      </c>
      <c r="I10" s="3">
        <v>3200</v>
      </c>
      <c r="J10" s="146">
        <f t="shared" si="2"/>
        <v>1548387.0967741935</v>
      </c>
      <c r="K10" s="147">
        <v>18000</v>
      </c>
      <c r="L10" s="148">
        <f t="shared" si="3"/>
        <v>3600000</v>
      </c>
      <c r="M10" s="147">
        <f t="shared" si="4"/>
        <v>2051612.9032258065</v>
      </c>
    </row>
    <row r="11" spans="1:13" x14ac:dyDescent="0.2">
      <c r="B11" s="145" t="s">
        <v>253</v>
      </c>
      <c r="C11" s="145" t="s">
        <v>1335</v>
      </c>
      <c r="D11" s="1">
        <v>6.2</v>
      </c>
      <c r="E11" s="149">
        <v>265</v>
      </c>
      <c r="F11" s="149">
        <v>19</v>
      </c>
      <c r="G11" s="149">
        <f t="shared" si="0"/>
        <v>5035</v>
      </c>
      <c r="H11" s="145">
        <f t="shared" si="1"/>
        <v>812.09677419354841</v>
      </c>
      <c r="I11" s="3">
        <v>3200</v>
      </c>
      <c r="J11" s="146">
        <f t="shared" si="2"/>
        <v>2598709.6774193547</v>
      </c>
      <c r="K11" s="147">
        <v>20000</v>
      </c>
      <c r="L11" s="148">
        <f t="shared" si="3"/>
        <v>5300000</v>
      </c>
      <c r="M11" s="147">
        <f t="shared" si="4"/>
        <v>2701290.3225806453</v>
      </c>
    </row>
    <row r="12" spans="1:13" x14ac:dyDescent="0.2">
      <c r="B12" s="145" t="s">
        <v>1241</v>
      </c>
      <c r="C12" s="145" t="s">
        <v>1336</v>
      </c>
      <c r="D12" s="1">
        <v>6.2</v>
      </c>
      <c r="E12" s="149">
        <v>300</v>
      </c>
      <c r="F12" s="149">
        <v>18</v>
      </c>
      <c r="G12" s="149">
        <f t="shared" si="0"/>
        <v>5400</v>
      </c>
      <c r="H12" s="145">
        <f t="shared" si="1"/>
        <v>870.9677419354839</v>
      </c>
      <c r="I12" s="3">
        <v>3200</v>
      </c>
      <c r="J12" s="146">
        <f t="shared" si="2"/>
        <v>2787096.7741935481</v>
      </c>
      <c r="K12" s="147">
        <v>20000</v>
      </c>
      <c r="L12" s="148">
        <f t="shared" si="3"/>
        <v>6000000</v>
      </c>
      <c r="M12" s="147">
        <f t="shared" si="4"/>
        <v>3212903.2258064519</v>
      </c>
    </row>
    <row r="13" spans="1:13" x14ac:dyDescent="0.2">
      <c r="B13" s="145" t="s">
        <v>253</v>
      </c>
      <c r="C13" s="145" t="s">
        <v>1337</v>
      </c>
      <c r="D13" s="1">
        <v>6.2</v>
      </c>
      <c r="E13" s="149">
        <v>200</v>
      </c>
      <c r="F13" s="149">
        <v>15</v>
      </c>
      <c r="G13" s="149">
        <f t="shared" si="0"/>
        <v>3000</v>
      </c>
      <c r="H13" s="145">
        <f t="shared" si="1"/>
        <v>483.87096774193549</v>
      </c>
      <c r="I13" s="3">
        <v>3200</v>
      </c>
      <c r="J13" s="146">
        <f t="shared" si="2"/>
        <v>1548387.0967741935</v>
      </c>
      <c r="K13" s="147">
        <v>20000</v>
      </c>
      <c r="L13" s="148">
        <f t="shared" si="3"/>
        <v>4000000</v>
      </c>
      <c r="M13" s="147">
        <f t="shared" si="4"/>
        <v>2451612.9032258065</v>
      </c>
    </row>
    <row r="14" spans="1:13" x14ac:dyDescent="0.2">
      <c r="B14" s="145" t="s">
        <v>1241</v>
      </c>
      <c r="C14" s="145" t="s">
        <v>1142</v>
      </c>
      <c r="D14" s="1">
        <v>6.2</v>
      </c>
      <c r="E14" s="149">
        <v>216</v>
      </c>
      <c r="F14" s="149">
        <v>20</v>
      </c>
      <c r="G14" s="149">
        <f t="shared" si="0"/>
        <v>4320</v>
      </c>
      <c r="H14" s="145">
        <f t="shared" si="1"/>
        <v>696.77419354838707</v>
      </c>
      <c r="I14" s="3">
        <v>3200</v>
      </c>
      <c r="J14" s="146">
        <f t="shared" si="2"/>
        <v>2229677.4193548388</v>
      </c>
      <c r="K14" s="147">
        <v>20000</v>
      </c>
      <c r="L14" s="148">
        <f t="shared" si="3"/>
        <v>4320000</v>
      </c>
      <c r="M14" s="147">
        <f t="shared" si="4"/>
        <v>2090322.5806451612</v>
      </c>
    </row>
    <row r="15" spans="1:13" x14ac:dyDescent="0.2">
      <c r="B15" s="145" t="s">
        <v>7</v>
      </c>
      <c r="C15" s="145" t="s">
        <v>1338</v>
      </c>
      <c r="D15" s="1">
        <v>6.2</v>
      </c>
      <c r="E15" s="149">
        <v>240</v>
      </c>
      <c r="F15" s="149">
        <v>20</v>
      </c>
      <c r="G15" s="149">
        <f t="shared" si="0"/>
        <v>4800</v>
      </c>
      <c r="H15" s="145">
        <f t="shared" si="1"/>
        <v>774.19354838709671</v>
      </c>
      <c r="I15" s="3">
        <v>3200</v>
      </c>
      <c r="J15" s="146">
        <f t="shared" si="2"/>
        <v>2477419.3548387093</v>
      </c>
      <c r="K15" s="147">
        <v>18000</v>
      </c>
      <c r="L15" s="148">
        <f t="shared" si="3"/>
        <v>4320000</v>
      </c>
      <c r="M15" s="147">
        <f t="shared" si="4"/>
        <v>1842580.6451612907</v>
      </c>
    </row>
    <row r="16" spans="1:13" x14ac:dyDescent="0.2">
      <c r="B16" s="145" t="s">
        <v>253</v>
      </c>
      <c r="C16" s="145" t="s">
        <v>1339</v>
      </c>
      <c r="D16" s="1">
        <v>6.2</v>
      </c>
      <c r="E16" s="149">
        <v>317</v>
      </c>
      <c r="F16" s="149">
        <v>16</v>
      </c>
      <c r="G16" s="149">
        <f t="shared" si="0"/>
        <v>5072</v>
      </c>
      <c r="H16" s="145">
        <f t="shared" si="1"/>
        <v>818.0645161290322</v>
      </c>
      <c r="I16" s="3">
        <v>3200</v>
      </c>
      <c r="J16" s="146">
        <f t="shared" si="2"/>
        <v>2617806.4516129033</v>
      </c>
      <c r="K16" s="147">
        <v>20000</v>
      </c>
      <c r="L16" s="148">
        <f t="shared" si="3"/>
        <v>6340000</v>
      </c>
      <c r="M16" s="147">
        <f t="shared" si="4"/>
        <v>3722193.5483870967</v>
      </c>
    </row>
    <row r="17" spans="2:13" x14ac:dyDescent="0.2">
      <c r="B17" s="145" t="s">
        <v>1340</v>
      </c>
      <c r="C17" s="145" t="s">
        <v>1234</v>
      </c>
      <c r="D17" s="1">
        <v>6.2</v>
      </c>
      <c r="E17" s="149">
        <v>63</v>
      </c>
      <c r="F17" s="149">
        <v>15</v>
      </c>
      <c r="G17" s="149">
        <f t="shared" si="0"/>
        <v>945</v>
      </c>
      <c r="H17" s="145">
        <f t="shared" si="1"/>
        <v>152.41935483870967</v>
      </c>
      <c r="I17" s="3">
        <v>3200</v>
      </c>
      <c r="J17" s="146">
        <f t="shared" si="2"/>
        <v>487741.93548387097</v>
      </c>
      <c r="K17" s="147">
        <v>20000</v>
      </c>
      <c r="L17" s="148">
        <f t="shared" si="3"/>
        <v>1260000</v>
      </c>
      <c r="M17" s="147">
        <f t="shared" si="4"/>
        <v>772258.06451612897</v>
      </c>
    </row>
    <row r="18" spans="2:13" x14ac:dyDescent="0.2">
      <c r="B18" s="145" t="s">
        <v>7</v>
      </c>
      <c r="C18" s="145" t="s">
        <v>1341</v>
      </c>
      <c r="D18" s="1">
        <v>6.2</v>
      </c>
      <c r="E18" s="149">
        <v>600</v>
      </c>
      <c r="F18" s="149">
        <v>24</v>
      </c>
      <c r="G18" s="149">
        <f t="shared" si="0"/>
        <v>14400</v>
      </c>
      <c r="H18" s="145">
        <f t="shared" si="1"/>
        <v>2322.5806451612902</v>
      </c>
      <c r="I18" s="3">
        <v>3200</v>
      </c>
      <c r="J18" s="146">
        <f t="shared" si="2"/>
        <v>7432258.064516128</v>
      </c>
      <c r="K18" s="147">
        <v>18000</v>
      </c>
      <c r="L18" s="148">
        <f t="shared" si="3"/>
        <v>10800000</v>
      </c>
      <c r="M18" s="147">
        <f t="shared" si="4"/>
        <v>3367741.935483872</v>
      </c>
    </row>
    <row r="19" spans="2:13" x14ac:dyDescent="0.2">
      <c r="B19" s="145" t="s">
        <v>253</v>
      </c>
      <c r="C19" s="145" t="s">
        <v>995</v>
      </c>
      <c r="D19" s="1">
        <v>6.2</v>
      </c>
      <c r="E19" s="149">
        <v>500</v>
      </c>
      <c r="F19" s="149">
        <v>28</v>
      </c>
      <c r="G19" s="149">
        <f t="shared" si="0"/>
        <v>14000</v>
      </c>
      <c r="H19" s="145">
        <f t="shared" si="1"/>
        <v>2258.0645161290322</v>
      </c>
      <c r="I19" s="3">
        <v>3200</v>
      </c>
      <c r="J19" s="146">
        <f t="shared" si="2"/>
        <v>7225806.4516129028</v>
      </c>
      <c r="K19" s="147">
        <v>20000</v>
      </c>
      <c r="L19" s="148">
        <f t="shared" si="3"/>
        <v>10000000</v>
      </c>
      <c r="M19" s="147">
        <f t="shared" si="4"/>
        <v>2774193.5483870972</v>
      </c>
    </row>
    <row r="20" spans="2:13" x14ac:dyDescent="0.2">
      <c r="B20" s="145" t="s">
        <v>7</v>
      </c>
      <c r="C20" s="145" t="s">
        <v>1342</v>
      </c>
      <c r="D20" s="1">
        <v>6.2</v>
      </c>
      <c r="E20" s="149">
        <v>200</v>
      </c>
      <c r="F20" s="149">
        <v>25</v>
      </c>
      <c r="G20" s="149">
        <f t="shared" si="0"/>
        <v>5000</v>
      </c>
      <c r="H20" s="145">
        <f t="shared" si="1"/>
        <v>806.45161290322574</v>
      </c>
      <c r="I20" s="3">
        <v>3200</v>
      </c>
      <c r="J20" s="146">
        <f t="shared" si="2"/>
        <v>2580645.1612903229</v>
      </c>
      <c r="K20" s="147">
        <v>18000</v>
      </c>
      <c r="L20" s="148">
        <f t="shared" si="3"/>
        <v>3600000</v>
      </c>
      <c r="M20" s="147">
        <f t="shared" si="4"/>
        <v>1019354.8387096771</v>
      </c>
    </row>
    <row r="21" spans="2:13" x14ac:dyDescent="0.2">
      <c r="B21" s="145" t="s">
        <v>253</v>
      </c>
      <c r="C21" s="145" t="s">
        <v>1343</v>
      </c>
      <c r="D21" s="1">
        <v>6.2</v>
      </c>
      <c r="E21" s="149">
        <v>150</v>
      </c>
      <c r="F21" s="149">
        <v>25</v>
      </c>
      <c r="G21" s="149">
        <f t="shared" si="0"/>
        <v>3750</v>
      </c>
      <c r="H21" s="145">
        <f t="shared" si="1"/>
        <v>604.83870967741939</v>
      </c>
      <c r="I21" s="3">
        <v>3200</v>
      </c>
      <c r="J21" s="146">
        <f t="shared" si="2"/>
        <v>1935483.8709677421</v>
      </c>
      <c r="K21" s="147">
        <v>18000</v>
      </c>
      <c r="L21" s="148">
        <f t="shared" si="3"/>
        <v>2700000</v>
      </c>
      <c r="M21" s="147">
        <f t="shared" si="4"/>
        <v>764516.12903225794</v>
      </c>
    </row>
    <row r="22" spans="2:13" x14ac:dyDescent="0.2">
      <c r="B22" s="145" t="s">
        <v>253</v>
      </c>
      <c r="C22" s="145" t="s">
        <v>1344</v>
      </c>
      <c r="D22" s="1">
        <v>6.2</v>
      </c>
      <c r="E22" s="149">
        <v>205</v>
      </c>
      <c r="F22" s="149">
        <v>27</v>
      </c>
      <c r="G22" s="149">
        <f t="shared" si="0"/>
        <v>5535</v>
      </c>
      <c r="H22" s="145">
        <f t="shared" si="1"/>
        <v>892.74193548387098</v>
      </c>
      <c r="I22" s="3">
        <v>3200</v>
      </c>
      <c r="J22" s="146">
        <f t="shared" si="2"/>
        <v>2856774.1935483869</v>
      </c>
      <c r="K22" s="147">
        <v>20000</v>
      </c>
      <c r="L22" s="148">
        <f t="shared" si="3"/>
        <v>4100000</v>
      </c>
      <c r="M22" s="147">
        <f t="shared" si="4"/>
        <v>1243225.8064516131</v>
      </c>
    </row>
    <row r="23" spans="2:13" x14ac:dyDescent="0.2">
      <c r="B23" s="145" t="s">
        <v>7</v>
      </c>
      <c r="C23" s="145" t="s">
        <v>1346</v>
      </c>
      <c r="D23" s="1">
        <v>6.2</v>
      </c>
      <c r="E23" s="149">
        <v>540</v>
      </c>
      <c r="F23" s="149">
        <v>20</v>
      </c>
      <c r="G23" s="149">
        <f t="shared" si="0"/>
        <v>10800</v>
      </c>
      <c r="H23" s="145">
        <f t="shared" si="1"/>
        <v>1741.9354838709678</v>
      </c>
      <c r="I23" s="3">
        <v>3200</v>
      </c>
      <c r="J23" s="146">
        <f t="shared" si="2"/>
        <v>5574193.5483870963</v>
      </c>
      <c r="K23" s="147">
        <v>18000</v>
      </c>
      <c r="L23" s="148">
        <f t="shared" si="3"/>
        <v>9720000</v>
      </c>
      <c r="M23" s="147">
        <f t="shared" si="4"/>
        <v>4145806.4516129037</v>
      </c>
    </row>
    <row r="24" spans="2:13" x14ac:dyDescent="0.2">
      <c r="B24" s="145" t="s">
        <v>7</v>
      </c>
      <c r="C24" s="145" t="s">
        <v>1347</v>
      </c>
      <c r="D24" s="1">
        <v>6.2</v>
      </c>
      <c r="E24" s="149">
        <v>286</v>
      </c>
      <c r="F24" s="149">
        <v>12</v>
      </c>
      <c r="G24" s="149">
        <f t="shared" si="0"/>
        <v>3432</v>
      </c>
      <c r="H24" s="145">
        <f t="shared" si="1"/>
        <v>553.54838709677415</v>
      </c>
      <c r="I24" s="3">
        <v>3200</v>
      </c>
      <c r="J24" s="146">
        <f t="shared" si="2"/>
        <v>1771354.8387096773</v>
      </c>
      <c r="K24" s="147">
        <v>18000</v>
      </c>
      <c r="L24" s="148">
        <f t="shared" si="3"/>
        <v>5148000</v>
      </c>
      <c r="M24" s="147">
        <f t="shared" si="4"/>
        <v>3376645.1612903224</v>
      </c>
    </row>
    <row r="25" spans="2:13" x14ac:dyDescent="0.2">
      <c r="B25" s="145" t="s">
        <v>1306</v>
      </c>
      <c r="C25" s="145" t="s">
        <v>1435</v>
      </c>
      <c r="D25" s="1">
        <v>6.2</v>
      </c>
      <c r="E25" s="149">
        <v>500</v>
      </c>
      <c r="F25" s="149">
        <v>20</v>
      </c>
      <c r="G25" s="149">
        <f t="shared" si="0"/>
        <v>10000</v>
      </c>
      <c r="H25" s="145">
        <f t="shared" si="1"/>
        <v>1612.9032258064515</v>
      </c>
      <c r="I25" s="3">
        <v>3200</v>
      </c>
      <c r="J25" s="146">
        <f t="shared" si="2"/>
        <v>5161290.3225806449</v>
      </c>
      <c r="K25" s="147">
        <v>18000</v>
      </c>
      <c r="L25" s="148">
        <f t="shared" si="3"/>
        <v>9000000</v>
      </c>
      <c r="M25" s="147">
        <f t="shared" si="4"/>
        <v>3838709.6774193551</v>
      </c>
    </row>
    <row r="26" spans="2:13" x14ac:dyDescent="0.2">
      <c r="B26" s="145" t="s">
        <v>7</v>
      </c>
      <c r="C26" s="145" t="s">
        <v>1348</v>
      </c>
      <c r="D26" s="1">
        <v>6.2</v>
      </c>
      <c r="E26" s="149">
        <v>125</v>
      </c>
      <c r="F26" s="149">
        <v>10</v>
      </c>
      <c r="G26" s="149">
        <f t="shared" si="0"/>
        <v>1250</v>
      </c>
      <c r="H26" s="145">
        <f t="shared" si="1"/>
        <v>201.61290322580643</v>
      </c>
      <c r="I26" s="3">
        <v>3200</v>
      </c>
      <c r="J26" s="146">
        <f t="shared" si="2"/>
        <v>645161.29032258061</v>
      </c>
      <c r="K26" s="147">
        <v>18000</v>
      </c>
      <c r="L26" s="148">
        <f t="shared" si="3"/>
        <v>2250000</v>
      </c>
      <c r="M26" s="147">
        <f t="shared" si="4"/>
        <v>1604838.7096774194</v>
      </c>
    </row>
    <row r="27" spans="2:13" x14ac:dyDescent="0.2">
      <c r="B27" s="145" t="s">
        <v>7</v>
      </c>
      <c r="C27" s="145" t="s">
        <v>1349</v>
      </c>
      <c r="D27" s="1">
        <v>6.2</v>
      </c>
      <c r="E27" s="149">
        <v>300</v>
      </c>
      <c r="F27" s="149">
        <v>20</v>
      </c>
      <c r="G27" s="149">
        <f t="shared" si="0"/>
        <v>6000</v>
      </c>
      <c r="H27" s="145">
        <f t="shared" si="1"/>
        <v>967.74193548387098</v>
      </c>
      <c r="I27" s="3">
        <v>3200</v>
      </c>
      <c r="J27" s="146">
        <f t="shared" si="2"/>
        <v>3096774.1935483869</v>
      </c>
      <c r="K27" s="147">
        <v>18000</v>
      </c>
      <c r="L27" s="148">
        <f t="shared" si="3"/>
        <v>5400000</v>
      </c>
      <c r="M27" s="147">
        <f t="shared" si="4"/>
        <v>2303225.8064516131</v>
      </c>
    </row>
    <row r="28" spans="2:13" x14ac:dyDescent="0.2">
      <c r="B28" s="145" t="s">
        <v>1350</v>
      </c>
      <c r="C28" s="145" t="s">
        <v>1336</v>
      </c>
      <c r="D28" s="1">
        <v>6.2</v>
      </c>
      <c r="E28" s="149">
        <v>200</v>
      </c>
      <c r="F28" s="149">
        <v>16</v>
      </c>
      <c r="G28" s="149">
        <f t="shared" si="0"/>
        <v>3200</v>
      </c>
      <c r="H28" s="145">
        <f t="shared" si="1"/>
        <v>516.12903225806451</v>
      </c>
      <c r="I28" s="3">
        <v>3200</v>
      </c>
      <c r="J28" s="146">
        <f t="shared" si="2"/>
        <v>1651612.9032258065</v>
      </c>
      <c r="K28" s="147">
        <v>18000</v>
      </c>
      <c r="L28" s="148">
        <f t="shared" si="3"/>
        <v>3600000</v>
      </c>
      <c r="M28" s="147">
        <f t="shared" si="4"/>
        <v>1948387.0967741935</v>
      </c>
    </row>
    <row r="29" spans="2:13" x14ac:dyDescent="0.2">
      <c r="B29" s="145" t="s">
        <v>253</v>
      </c>
      <c r="C29" s="145" t="s">
        <v>253</v>
      </c>
      <c r="D29" s="1">
        <v>6.2</v>
      </c>
      <c r="E29" s="149">
        <v>120</v>
      </c>
      <c r="F29" s="149">
        <v>15</v>
      </c>
      <c r="G29" s="149">
        <f t="shared" si="0"/>
        <v>1800</v>
      </c>
      <c r="H29" s="145">
        <f t="shared" si="1"/>
        <v>290.32258064516128</v>
      </c>
      <c r="I29" s="3">
        <v>3200</v>
      </c>
      <c r="J29" s="146">
        <f t="shared" si="2"/>
        <v>929032.25806451612</v>
      </c>
      <c r="K29" s="147">
        <v>18000</v>
      </c>
      <c r="L29" s="148">
        <f t="shared" si="3"/>
        <v>2160000</v>
      </c>
      <c r="M29" s="147">
        <f t="shared" si="4"/>
        <v>1230967.7419354839</v>
      </c>
    </row>
    <row r="30" spans="2:13" x14ac:dyDescent="0.2">
      <c r="B30" s="145" t="s">
        <v>7</v>
      </c>
      <c r="C30" s="145" t="s">
        <v>1351</v>
      </c>
      <c r="D30" s="1">
        <v>6.2</v>
      </c>
      <c r="E30" s="149">
        <v>300</v>
      </c>
      <c r="F30" s="149">
        <v>19</v>
      </c>
      <c r="G30" s="149">
        <f t="shared" si="0"/>
        <v>5700</v>
      </c>
      <c r="H30" s="145">
        <f t="shared" si="1"/>
        <v>919.35483870967744</v>
      </c>
      <c r="I30" s="3">
        <v>3200</v>
      </c>
      <c r="J30" s="146">
        <f t="shared" si="2"/>
        <v>2941935.4838709678</v>
      </c>
      <c r="K30" s="147">
        <v>18000</v>
      </c>
      <c r="L30" s="148">
        <f t="shared" si="3"/>
        <v>5400000</v>
      </c>
      <c r="M30" s="147">
        <f t="shared" si="4"/>
        <v>2458064.5161290322</v>
      </c>
    </row>
    <row r="31" spans="2:13" x14ac:dyDescent="0.2">
      <c r="B31" s="145" t="s">
        <v>7</v>
      </c>
      <c r="C31" s="145" t="s">
        <v>1354</v>
      </c>
      <c r="D31" s="1">
        <v>6.2</v>
      </c>
      <c r="E31" s="149">
        <v>850</v>
      </c>
      <c r="F31" s="149">
        <v>25</v>
      </c>
      <c r="G31" s="149">
        <f t="shared" si="0"/>
        <v>21250</v>
      </c>
      <c r="H31" s="145">
        <f t="shared" si="1"/>
        <v>3427.4193548387098</v>
      </c>
      <c r="I31" s="3">
        <v>3200</v>
      </c>
      <c r="J31" s="146">
        <f t="shared" si="2"/>
        <v>10967741.935483871</v>
      </c>
      <c r="K31" s="147">
        <v>20000</v>
      </c>
      <c r="L31" s="148">
        <f t="shared" si="3"/>
        <v>17000000</v>
      </c>
      <c r="M31" s="17">
        <f t="shared" si="4"/>
        <v>6032258.064516129</v>
      </c>
    </row>
    <row r="32" spans="2:13" x14ac:dyDescent="0.2">
      <c r="B32" s="1"/>
      <c r="C32" s="145" t="s">
        <v>253</v>
      </c>
      <c r="D32" s="1">
        <v>6.2</v>
      </c>
      <c r="E32" s="149">
        <v>950</v>
      </c>
      <c r="F32" s="149">
        <v>20</v>
      </c>
      <c r="G32" s="149">
        <f t="shared" si="0"/>
        <v>19000</v>
      </c>
      <c r="H32" s="145">
        <f t="shared" si="1"/>
        <v>3064.516129032258</v>
      </c>
      <c r="I32" s="3">
        <v>3200</v>
      </c>
      <c r="J32" s="146">
        <f t="shared" si="2"/>
        <v>9806451.6129032262</v>
      </c>
      <c r="K32" s="147">
        <v>18000</v>
      </c>
      <c r="L32" s="148">
        <f t="shared" si="3"/>
        <v>17100000</v>
      </c>
      <c r="M32" s="147">
        <f t="shared" si="4"/>
        <v>7293548.3870967738</v>
      </c>
    </row>
    <row r="33" spans="1:13" x14ac:dyDescent="0.2">
      <c r="B33" s="145" t="s">
        <v>1241</v>
      </c>
      <c r="C33" s="145" t="s">
        <v>1355</v>
      </c>
      <c r="D33" s="1">
        <v>6.2</v>
      </c>
      <c r="E33" s="149">
        <v>80</v>
      </c>
      <c r="F33" s="149">
        <v>20</v>
      </c>
      <c r="G33" s="149">
        <f t="shared" si="0"/>
        <v>1600</v>
      </c>
      <c r="H33" s="145">
        <f t="shared" si="1"/>
        <v>258.06451612903226</v>
      </c>
      <c r="I33" s="3">
        <v>3200</v>
      </c>
      <c r="J33" s="146">
        <f t="shared" si="2"/>
        <v>825806.45161290315</v>
      </c>
      <c r="K33" s="147">
        <v>18000</v>
      </c>
      <c r="L33" s="148">
        <f t="shared" si="3"/>
        <v>1440000</v>
      </c>
      <c r="M33" s="147">
        <f t="shared" si="4"/>
        <v>614193.54838709685</v>
      </c>
    </row>
    <row r="34" spans="1:13" x14ac:dyDescent="0.2">
      <c r="B34" s="145" t="s">
        <v>7</v>
      </c>
      <c r="C34" s="145" t="s">
        <v>1356</v>
      </c>
      <c r="D34" s="1">
        <v>6.2</v>
      </c>
      <c r="E34" s="149">
        <v>155</v>
      </c>
      <c r="F34" s="149">
        <v>17</v>
      </c>
      <c r="G34" s="149">
        <f t="shared" si="0"/>
        <v>2635</v>
      </c>
      <c r="H34" s="145">
        <f t="shared" si="1"/>
        <v>425</v>
      </c>
      <c r="I34" s="3">
        <v>3200</v>
      </c>
      <c r="J34" s="146">
        <f t="shared" si="2"/>
        <v>1360000</v>
      </c>
      <c r="K34" s="147">
        <v>18000</v>
      </c>
      <c r="L34" s="148">
        <f t="shared" si="3"/>
        <v>2790000</v>
      </c>
      <c r="M34" s="147">
        <f t="shared" si="4"/>
        <v>1430000</v>
      </c>
    </row>
    <row r="35" spans="1:13" x14ac:dyDescent="0.2">
      <c r="B35" s="145" t="s">
        <v>253</v>
      </c>
      <c r="C35" s="145" t="s">
        <v>1357</v>
      </c>
      <c r="D35" s="1">
        <v>6.2</v>
      </c>
      <c r="E35" s="149">
        <v>176</v>
      </c>
      <c r="F35" s="149">
        <v>12</v>
      </c>
      <c r="G35" s="149">
        <f t="shared" si="0"/>
        <v>2112</v>
      </c>
      <c r="H35" s="145">
        <f t="shared" si="1"/>
        <v>340.64516129032256</v>
      </c>
      <c r="I35" s="3">
        <v>3200</v>
      </c>
      <c r="J35" s="146">
        <f t="shared" si="2"/>
        <v>1090064.5161290322</v>
      </c>
      <c r="K35" s="147">
        <v>18000</v>
      </c>
      <c r="L35" s="148">
        <f t="shared" si="3"/>
        <v>3168000</v>
      </c>
      <c r="M35" s="147">
        <f t="shared" si="4"/>
        <v>2077935.4838709678</v>
      </c>
    </row>
    <row r="36" spans="1:13" x14ac:dyDescent="0.2">
      <c r="B36" s="145" t="s">
        <v>253</v>
      </c>
      <c r="C36" s="145" t="s">
        <v>1358</v>
      </c>
      <c r="D36" s="1">
        <v>6.2</v>
      </c>
      <c r="E36" s="149">
        <v>100</v>
      </c>
      <c r="F36" s="149">
        <v>20</v>
      </c>
      <c r="G36" s="149">
        <f t="shared" si="0"/>
        <v>2000</v>
      </c>
      <c r="H36" s="145">
        <f t="shared" si="1"/>
        <v>322.58064516129031</v>
      </c>
      <c r="I36" s="3">
        <v>3200</v>
      </c>
      <c r="J36" s="146">
        <f t="shared" si="2"/>
        <v>1032258.064516129</v>
      </c>
      <c r="K36" s="147">
        <v>20000</v>
      </c>
      <c r="L36" s="148">
        <f t="shared" si="3"/>
        <v>2000000</v>
      </c>
      <c r="M36" s="147">
        <f t="shared" si="4"/>
        <v>967741.93548387103</v>
      </c>
    </row>
    <row r="37" spans="1:13" x14ac:dyDescent="0.2">
      <c r="D37" s="118"/>
      <c r="E37" s="41">
        <f>SUM(E3:E36)</f>
        <v>10108</v>
      </c>
      <c r="H37" s="156">
        <f>SUM(H3:H36)</f>
        <v>33988.06451612903</v>
      </c>
      <c r="I37" s="74"/>
      <c r="J37" s="155">
        <f>SUM(J3:J36)</f>
        <v>108761806.45161292</v>
      </c>
      <c r="L37" s="95">
        <f>SUM(L3:L36)</f>
        <v>191326000</v>
      </c>
      <c r="M37" s="48">
        <f>SUM(M3:M36)</f>
        <v>82564193.548387095</v>
      </c>
    </row>
    <row r="38" spans="1:13" x14ac:dyDescent="0.2">
      <c r="D38" s="1"/>
    </row>
    <row r="39" spans="1:13" x14ac:dyDescent="0.2">
      <c r="D39" s="1"/>
    </row>
    <row r="41" spans="1:13" x14ac:dyDescent="0.2">
      <c r="K41" s="3" t="s">
        <v>25</v>
      </c>
      <c r="L41" s="15">
        <v>108761806</v>
      </c>
    </row>
    <row r="42" spans="1:13" x14ac:dyDescent="0.2">
      <c r="C42" s="3" t="s">
        <v>25</v>
      </c>
      <c r="D42" s="15">
        <v>30371825</v>
      </c>
      <c r="K42" s="3" t="s">
        <v>27</v>
      </c>
      <c r="L42" s="9">
        <v>6064750</v>
      </c>
    </row>
    <row r="43" spans="1:13" x14ac:dyDescent="0.2">
      <c r="A43" s="145" t="s">
        <v>1345</v>
      </c>
      <c r="C43" s="3" t="s">
        <v>27</v>
      </c>
      <c r="D43" s="9">
        <v>1200000</v>
      </c>
      <c r="K43" s="3" t="s">
        <v>26</v>
      </c>
      <c r="L43" s="3">
        <v>3672000</v>
      </c>
    </row>
    <row r="44" spans="1:13" x14ac:dyDescent="0.2">
      <c r="A44" s="145"/>
      <c r="C44" s="3" t="s">
        <v>26</v>
      </c>
      <c r="D44" s="3"/>
      <c r="K44" s="3" t="s">
        <v>33</v>
      </c>
      <c r="L44" s="3">
        <v>4000000</v>
      </c>
    </row>
    <row r="45" spans="1:13" x14ac:dyDescent="0.2">
      <c r="C45" s="3" t="s">
        <v>33</v>
      </c>
      <c r="D45" s="3">
        <v>1000000</v>
      </c>
      <c r="K45" s="3" t="s">
        <v>31</v>
      </c>
      <c r="L45" s="3">
        <v>6400000</v>
      </c>
    </row>
    <row r="46" spans="1:13" x14ac:dyDescent="0.2">
      <c r="C46" s="3" t="s">
        <v>31</v>
      </c>
      <c r="D46" s="3">
        <v>1000000</v>
      </c>
      <c r="K46" s="3" t="s">
        <v>36</v>
      </c>
      <c r="L46" s="3">
        <v>3410000</v>
      </c>
    </row>
    <row r="47" spans="1:13" x14ac:dyDescent="0.2">
      <c r="C47" s="3" t="s">
        <v>36</v>
      </c>
      <c r="D47" s="3">
        <v>1000000</v>
      </c>
      <c r="K47" s="3" t="s">
        <v>29</v>
      </c>
      <c r="L47" s="23">
        <v>12990000</v>
      </c>
    </row>
    <row r="48" spans="1:13" x14ac:dyDescent="0.2">
      <c r="C48" s="3" t="s">
        <v>29</v>
      </c>
      <c r="D48" s="23">
        <v>3770000</v>
      </c>
      <c r="K48" s="3" t="s">
        <v>34</v>
      </c>
      <c r="L48" s="26">
        <f>SUM(L41:L47)</f>
        <v>145298556</v>
      </c>
    </row>
    <row r="49" spans="2:13" x14ac:dyDescent="0.2">
      <c r="C49" s="3" t="s">
        <v>34</v>
      </c>
      <c r="D49" s="26">
        <f>SUM(D42:D48)</f>
        <v>38341825</v>
      </c>
      <c r="K49" s="3" t="s">
        <v>6</v>
      </c>
      <c r="L49" s="116">
        <v>191326000</v>
      </c>
    </row>
    <row r="50" spans="2:13" ht="18" x14ac:dyDescent="0.35">
      <c r="C50" s="3" t="s">
        <v>6</v>
      </c>
      <c r="D50" s="55">
        <v>60161000</v>
      </c>
      <c r="K50" s="3" t="s">
        <v>35</v>
      </c>
      <c r="L50" s="21">
        <f>L49-L48</f>
        <v>46027444</v>
      </c>
    </row>
    <row r="51" spans="2:13" ht="18" x14ac:dyDescent="0.35">
      <c r="C51" s="3" t="s">
        <v>35</v>
      </c>
      <c r="D51" s="21">
        <f>D50-D49</f>
        <v>21819175</v>
      </c>
    </row>
    <row r="54" spans="2:13" x14ac:dyDescent="0.2">
      <c r="B54" s="145" t="s">
        <v>7</v>
      </c>
      <c r="C54" s="145" t="s">
        <v>1272</v>
      </c>
      <c r="D54" s="1">
        <v>6.19</v>
      </c>
      <c r="E54" s="149">
        <v>500</v>
      </c>
      <c r="F54" s="149">
        <v>28</v>
      </c>
      <c r="G54" s="149">
        <f>E54*F54</f>
        <v>14000</v>
      </c>
      <c r="H54" s="145"/>
      <c r="I54" s="3">
        <v>3113</v>
      </c>
      <c r="J54" s="146">
        <f>F54/D54*I54*E54</f>
        <v>7040710.8239095304</v>
      </c>
      <c r="K54" s="147">
        <v>20000</v>
      </c>
      <c r="L54" s="148">
        <f>K54*E54</f>
        <v>10000000</v>
      </c>
      <c r="M54" s="147">
        <f>L54-J54</f>
        <v>2959289.1760904696</v>
      </c>
    </row>
    <row r="55" spans="2:13" x14ac:dyDescent="0.2">
      <c r="B55" s="145" t="s">
        <v>253</v>
      </c>
      <c r="C55" s="145" t="s">
        <v>1197</v>
      </c>
      <c r="D55" s="1">
        <v>6.19</v>
      </c>
      <c r="E55" s="149">
        <v>200</v>
      </c>
      <c r="F55" s="149">
        <v>25</v>
      </c>
      <c r="G55" s="149">
        <f>E55*F55</f>
        <v>5000</v>
      </c>
      <c r="H55" s="145"/>
      <c r="I55" s="3">
        <v>3113</v>
      </c>
      <c r="J55" s="146">
        <f>F55/D55*I55*E55</f>
        <v>2514539.5799676897</v>
      </c>
      <c r="K55" s="147">
        <v>18000</v>
      </c>
      <c r="L55" s="148">
        <f>K55*E55</f>
        <v>3600000</v>
      </c>
      <c r="M55" s="147">
        <f>L55-J55</f>
        <v>1085460.4200323103</v>
      </c>
    </row>
    <row r="56" spans="2:13" x14ac:dyDescent="0.2">
      <c r="B56" s="150" t="s">
        <v>7</v>
      </c>
      <c r="C56" s="150" t="s">
        <v>1329</v>
      </c>
      <c r="D56" s="1">
        <v>6.19</v>
      </c>
      <c r="E56" s="151">
        <v>400</v>
      </c>
      <c r="F56" s="151">
        <v>27</v>
      </c>
      <c r="G56" s="151">
        <f>E56*F56</f>
        <v>10800</v>
      </c>
      <c r="H56" s="150"/>
      <c r="I56" s="3">
        <v>3113</v>
      </c>
      <c r="J56" s="152">
        <f>F56/D56*I56*E56</f>
        <v>5431405.4927302105</v>
      </c>
      <c r="K56" s="153">
        <v>20000</v>
      </c>
      <c r="L56" s="154">
        <f>K56*E56</f>
        <v>8000000</v>
      </c>
      <c r="M56" s="153">
        <f>L56-J56</f>
        <v>2568594.5072697895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63"/>
  <sheetViews>
    <sheetView topLeftCell="A3" workbookViewId="0">
      <selection activeCell="C28" sqref="C28"/>
    </sheetView>
  </sheetViews>
  <sheetFormatPr baseColWidth="10" defaultRowHeight="15" x14ac:dyDescent="0.2"/>
  <cols>
    <col min="3" max="3" width="22" customWidth="1"/>
    <col min="9" max="9" width="12.1640625" customWidth="1"/>
    <col min="10" max="10" width="14.5" customWidth="1"/>
    <col min="12" max="12" width="15.1640625" customWidth="1"/>
  </cols>
  <sheetData>
    <row r="1" spans="1:13" ht="31" x14ac:dyDescent="0.35">
      <c r="A1" s="56" t="s">
        <v>1388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145" t="s">
        <v>1352</v>
      </c>
      <c r="B3" s="145" t="s">
        <v>7</v>
      </c>
      <c r="C3" s="145" t="s">
        <v>1359</v>
      </c>
      <c r="D3" s="1">
        <v>6.19</v>
      </c>
      <c r="E3" s="149">
        <v>200</v>
      </c>
      <c r="F3" s="149">
        <v>29</v>
      </c>
      <c r="G3" s="149">
        <f t="shared" ref="G3:G31" si="0">E3*F3</f>
        <v>5800</v>
      </c>
      <c r="H3" s="145">
        <f t="shared" ref="H3:H31" si="1">G3/D3</f>
        <v>936.99515347334409</v>
      </c>
      <c r="I3" s="3">
        <v>3500</v>
      </c>
      <c r="J3" s="146">
        <f t="shared" ref="J3:J31" si="2">F3/D3*I3*E3</f>
        <v>3279483.0371567039</v>
      </c>
      <c r="K3" s="147">
        <v>25000</v>
      </c>
      <c r="L3" s="148">
        <f t="shared" ref="L3:L31" si="3">K3*E3</f>
        <v>5000000</v>
      </c>
      <c r="M3" s="147">
        <f t="shared" ref="M3:M31" si="4">L3-J3</f>
        <v>1720516.9628432961</v>
      </c>
    </row>
    <row r="4" spans="1:13" x14ac:dyDescent="0.2">
      <c r="A4" s="145"/>
      <c r="B4" s="145" t="s">
        <v>253</v>
      </c>
      <c r="C4" s="145" t="s">
        <v>1360</v>
      </c>
      <c r="D4" s="1">
        <v>6.19</v>
      </c>
      <c r="E4" s="149">
        <v>300</v>
      </c>
      <c r="F4" s="149">
        <v>26</v>
      </c>
      <c r="G4" s="149">
        <f t="shared" si="0"/>
        <v>7800</v>
      </c>
      <c r="H4" s="145">
        <f t="shared" si="1"/>
        <v>1260.0969305331178</v>
      </c>
      <c r="I4" s="3">
        <v>3500</v>
      </c>
      <c r="J4" s="146">
        <f t="shared" si="2"/>
        <v>4410339.2568659121</v>
      </c>
      <c r="K4" s="147">
        <v>23000</v>
      </c>
      <c r="L4" s="148">
        <f t="shared" si="3"/>
        <v>6900000</v>
      </c>
      <c r="M4" s="147">
        <f t="shared" si="4"/>
        <v>2489660.7431340879</v>
      </c>
    </row>
    <row r="5" spans="1:13" x14ac:dyDescent="0.2">
      <c r="A5" s="1"/>
      <c r="B5" s="145" t="s">
        <v>253</v>
      </c>
      <c r="C5" s="145" t="s">
        <v>1193</v>
      </c>
      <c r="D5" s="1">
        <v>6.19</v>
      </c>
      <c r="E5" s="149">
        <v>300</v>
      </c>
      <c r="F5" s="149">
        <v>27</v>
      </c>
      <c r="G5" s="149">
        <f t="shared" si="0"/>
        <v>8100</v>
      </c>
      <c r="H5" s="145">
        <f t="shared" si="1"/>
        <v>1308.562197092084</v>
      </c>
      <c r="I5" s="3">
        <v>3500</v>
      </c>
      <c r="J5" s="146">
        <f t="shared" si="2"/>
        <v>4579967.6898222938</v>
      </c>
      <c r="K5" s="147">
        <v>23000</v>
      </c>
      <c r="L5" s="148">
        <f t="shared" si="3"/>
        <v>6900000</v>
      </c>
      <c r="M5" s="147">
        <f t="shared" si="4"/>
        <v>2320032.3101777062</v>
      </c>
    </row>
    <row r="6" spans="1:13" x14ac:dyDescent="0.2">
      <c r="A6" s="1"/>
      <c r="B6" s="145" t="s">
        <v>253</v>
      </c>
      <c r="C6" s="145" t="s">
        <v>1361</v>
      </c>
      <c r="D6" s="1">
        <v>6.19</v>
      </c>
      <c r="E6" s="149">
        <v>300</v>
      </c>
      <c r="F6" s="149">
        <v>27</v>
      </c>
      <c r="G6" s="149">
        <f t="shared" si="0"/>
        <v>8100</v>
      </c>
      <c r="H6" s="145">
        <f t="shared" si="1"/>
        <v>1308.562197092084</v>
      </c>
      <c r="I6" s="3">
        <v>3500</v>
      </c>
      <c r="J6" s="146">
        <f t="shared" si="2"/>
        <v>4579967.6898222938</v>
      </c>
      <c r="K6" s="147">
        <v>23000</v>
      </c>
      <c r="L6" s="148">
        <f t="shared" si="3"/>
        <v>6900000</v>
      </c>
      <c r="M6" s="147">
        <f t="shared" si="4"/>
        <v>2320032.3101777062</v>
      </c>
    </row>
    <row r="7" spans="1:13" x14ac:dyDescent="0.2">
      <c r="A7" s="1"/>
      <c r="B7" s="145" t="s">
        <v>253</v>
      </c>
      <c r="C7" s="145" t="s">
        <v>1362</v>
      </c>
      <c r="D7" s="1">
        <v>6.19</v>
      </c>
      <c r="E7" s="149">
        <v>200</v>
      </c>
      <c r="F7" s="149">
        <v>29</v>
      </c>
      <c r="G7" s="149">
        <f t="shared" si="0"/>
        <v>5800</v>
      </c>
      <c r="H7" s="145">
        <f t="shared" si="1"/>
        <v>936.99515347334409</v>
      </c>
      <c r="I7" s="3">
        <v>3500</v>
      </c>
      <c r="J7" s="146">
        <f t="shared" si="2"/>
        <v>3279483.0371567039</v>
      </c>
      <c r="K7" s="147">
        <v>25000</v>
      </c>
      <c r="L7" s="148">
        <f t="shared" si="3"/>
        <v>5000000</v>
      </c>
      <c r="M7" s="147">
        <f t="shared" si="4"/>
        <v>1720516.9628432961</v>
      </c>
    </row>
    <row r="8" spans="1:13" x14ac:dyDescent="0.2">
      <c r="A8" s="1"/>
      <c r="B8" s="145" t="s">
        <v>253</v>
      </c>
      <c r="C8" s="145" t="s">
        <v>1363</v>
      </c>
      <c r="D8" s="1">
        <v>6.19</v>
      </c>
      <c r="E8" s="149">
        <v>300</v>
      </c>
      <c r="F8" s="149">
        <v>30</v>
      </c>
      <c r="G8" s="149">
        <f t="shared" si="0"/>
        <v>9000</v>
      </c>
      <c r="H8" s="145">
        <f t="shared" si="1"/>
        <v>1453.9579967689822</v>
      </c>
      <c r="I8" s="3">
        <v>3500</v>
      </c>
      <c r="J8" s="146">
        <f t="shared" si="2"/>
        <v>5088852.988691438</v>
      </c>
      <c r="K8" s="147">
        <v>25000</v>
      </c>
      <c r="L8" s="148">
        <f t="shared" si="3"/>
        <v>7500000</v>
      </c>
      <c r="M8" s="147">
        <f t="shared" si="4"/>
        <v>2411147.011308562</v>
      </c>
    </row>
    <row r="9" spans="1:13" x14ac:dyDescent="0.2">
      <c r="A9" s="1"/>
      <c r="B9" s="145" t="s">
        <v>7</v>
      </c>
      <c r="C9" s="145" t="s">
        <v>1364</v>
      </c>
      <c r="D9" s="1">
        <v>6.19</v>
      </c>
      <c r="E9" s="149">
        <v>600</v>
      </c>
      <c r="F9" s="149">
        <v>28</v>
      </c>
      <c r="G9" s="149">
        <f t="shared" si="0"/>
        <v>16800</v>
      </c>
      <c r="H9" s="145">
        <f t="shared" si="1"/>
        <v>2714.0549273021002</v>
      </c>
      <c r="I9" s="3">
        <v>3500</v>
      </c>
      <c r="J9" s="146">
        <f t="shared" si="2"/>
        <v>9499192.2455573492</v>
      </c>
      <c r="K9" s="147">
        <v>25000</v>
      </c>
      <c r="L9" s="148">
        <f t="shared" si="3"/>
        <v>15000000</v>
      </c>
      <c r="M9" s="147">
        <f t="shared" si="4"/>
        <v>5500807.7544426508</v>
      </c>
    </row>
    <row r="10" spans="1:13" x14ac:dyDescent="0.2">
      <c r="A10" s="1"/>
      <c r="B10" s="145" t="s">
        <v>7</v>
      </c>
      <c r="C10" s="145" t="s">
        <v>1365</v>
      </c>
      <c r="D10" s="1">
        <v>6.19</v>
      </c>
      <c r="E10" s="149">
        <v>700</v>
      </c>
      <c r="F10" s="149">
        <v>25</v>
      </c>
      <c r="G10" s="149">
        <f t="shared" si="0"/>
        <v>17500</v>
      </c>
      <c r="H10" s="145">
        <f t="shared" si="1"/>
        <v>2827.140549273021</v>
      </c>
      <c r="I10" s="3">
        <v>3500</v>
      </c>
      <c r="J10" s="146">
        <f t="shared" si="2"/>
        <v>9894991.9224555735</v>
      </c>
      <c r="K10" s="147">
        <v>22000</v>
      </c>
      <c r="L10" s="148">
        <f t="shared" si="3"/>
        <v>15400000</v>
      </c>
      <c r="M10" s="147">
        <f t="shared" si="4"/>
        <v>5505008.0775444265</v>
      </c>
    </row>
    <row r="11" spans="1:13" x14ac:dyDescent="0.2">
      <c r="A11" s="1"/>
      <c r="B11" s="145" t="s">
        <v>253</v>
      </c>
      <c r="C11" s="145" t="s">
        <v>1193</v>
      </c>
      <c r="D11" s="1">
        <v>6.19</v>
      </c>
      <c r="E11" s="149">
        <v>300</v>
      </c>
      <c r="F11" s="149">
        <v>25</v>
      </c>
      <c r="G11" s="149">
        <f t="shared" si="0"/>
        <v>7500</v>
      </c>
      <c r="H11" s="145">
        <f t="shared" si="1"/>
        <v>1211.6316639741517</v>
      </c>
      <c r="I11" s="3">
        <v>3500</v>
      </c>
      <c r="J11" s="146">
        <f t="shared" si="2"/>
        <v>4240710.8239095313</v>
      </c>
      <c r="K11" s="147">
        <v>22000</v>
      </c>
      <c r="L11" s="148">
        <f t="shared" si="3"/>
        <v>6600000</v>
      </c>
      <c r="M11" s="147">
        <f t="shared" si="4"/>
        <v>2359289.1760904687</v>
      </c>
    </row>
    <row r="12" spans="1:13" x14ac:dyDescent="0.2">
      <c r="A12" s="1"/>
      <c r="B12" s="145" t="s">
        <v>7</v>
      </c>
      <c r="C12" s="145" t="s">
        <v>1358</v>
      </c>
      <c r="D12" s="1">
        <v>6.19</v>
      </c>
      <c r="E12" s="149">
        <v>816</v>
      </c>
      <c r="F12" s="149">
        <v>26</v>
      </c>
      <c r="G12" s="149">
        <f t="shared" si="0"/>
        <v>21216</v>
      </c>
      <c r="H12" s="145">
        <f t="shared" si="1"/>
        <v>3427.4636510500804</v>
      </c>
      <c r="I12" s="3">
        <v>3500</v>
      </c>
      <c r="J12" s="146">
        <f t="shared" si="2"/>
        <v>11996122.778675282</v>
      </c>
      <c r="K12" s="147">
        <v>25000</v>
      </c>
      <c r="L12" s="148">
        <f t="shared" si="3"/>
        <v>20400000</v>
      </c>
      <c r="M12" s="147">
        <f t="shared" si="4"/>
        <v>8403877.2213247176</v>
      </c>
    </row>
    <row r="13" spans="1:13" x14ac:dyDescent="0.2">
      <c r="A13" s="1"/>
      <c r="B13" s="145" t="s">
        <v>7</v>
      </c>
      <c r="C13" s="145" t="s">
        <v>1375</v>
      </c>
      <c r="D13" s="1">
        <v>6.19</v>
      </c>
      <c r="E13" s="149">
        <v>1200</v>
      </c>
      <c r="F13" s="149">
        <v>26</v>
      </c>
      <c r="G13" s="149">
        <f t="shared" si="0"/>
        <v>31200</v>
      </c>
      <c r="H13" s="145">
        <f t="shared" si="1"/>
        <v>5040.387722132471</v>
      </c>
      <c r="I13" s="3">
        <v>3500</v>
      </c>
      <c r="J13" s="146">
        <f t="shared" si="2"/>
        <v>17641357.027463648</v>
      </c>
      <c r="K13" s="147">
        <v>22000</v>
      </c>
      <c r="L13" s="148">
        <f t="shared" si="3"/>
        <v>26400000</v>
      </c>
      <c r="M13" s="147">
        <f t="shared" si="4"/>
        <v>8758642.9725363515</v>
      </c>
    </row>
    <row r="14" spans="1:13" x14ac:dyDescent="0.2">
      <c r="A14" s="1"/>
      <c r="B14" s="145" t="s">
        <v>7</v>
      </c>
      <c r="C14" s="145" t="s">
        <v>1376</v>
      </c>
      <c r="D14" s="1">
        <v>6.19</v>
      </c>
      <c r="E14" s="149">
        <v>400</v>
      </c>
      <c r="F14" s="149">
        <v>25</v>
      </c>
      <c r="G14" s="149">
        <f t="shared" si="0"/>
        <v>10000</v>
      </c>
      <c r="H14" s="145">
        <f t="shared" si="1"/>
        <v>1615.508885298869</v>
      </c>
      <c r="I14" s="3">
        <v>3500</v>
      </c>
      <c r="J14" s="146">
        <f t="shared" si="2"/>
        <v>5654281.0985460421</v>
      </c>
      <c r="K14" s="147">
        <v>20000</v>
      </c>
      <c r="L14" s="148">
        <f t="shared" si="3"/>
        <v>8000000</v>
      </c>
      <c r="M14" s="147">
        <f t="shared" si="4"/>
        <v>2345718.9014539579</v>
      </c>
    </row>
    <row r="15" spans="1:13" x14ac:dyDescent="0.2">
      <c r="A15" s="1"/>
      <c r="B15" s="145" t="s">
        <v>7</v>
      </c>
      <c r="C15" s="145" t="s">
        <v>1377</v>
      </c>
      <c r="D15" s="1">
        <v>6.19</v>
      </c>
      <c r="E15" s="160">
        <v>280</v>
      </c>
      <c r="F15" s="149">
        <v>16</v>
      </c>
      <c r="G15" s="149">
        <f t="shared" si="0"/>
        <v>4480</v>
      </c>
      <c r="H15" s="145">
        <f t="shared" si="1"/>
        <v>723.74798061389333</v>
      </c>
      <c r="I15" s="3">
        <v>3500</v>
      </c>
      <c r="J15" s="146">
        <f t="shared" si="2"/>
        <v>2533117.932148627</v>
      </c>
      <c r="K15" s="147">
        <v>18000</v>
      </c>
      <c r="L15" s="148">
        <f t="shared" si="3"/>
        <v>5040000</v>
      </c>
      <c r="M15" s="147">
        <f t="shared" si="4"/>
        <v>2506882.067851373</v>
      </c>
    </row>
    <row r="16" spans="1:13" x14ac:dyDescent="0.2">
      <c r="A16" s="1"/>
      <c r="B16" s="145" t="s">
        <v>7</v>
      </c>
      <c r="C16" s="145" t="s">
        <v>1378</v>
      </c>
      <c r="D16" s="1">
        <v>6.19</v>
      </c>
      <c r="E16" s="149">
        <v>451</v>
      </c>
      <c r="F16" s="149">
        <v>15</v>
      </c>
      <c r="G16" s="149">
        <f t="shared" si="0"/>
        <v>6765</v>
      </c>
      <c r="H16" s="145">
        <f t="shared" si="1"/>
        <v>1092.8917609046848</v>
      </c>
      <c r="I16" s="3">
        <v>3500</v>
      </c>
      <c r="J16" s="146">
        <f t="shared" si="2"/>
        <v>3825121.1631663973</v>
      </c>
      <c r="K16" s="147">
        <v>18000</v>
      </c>
      <c r="L16" s="148">
        <f t="shared" si="3"/>
        <v>8118000</v>
      </c>
      <c r="M16" s="147">
        <f t="shared" si="4"/>
        <v>4292878.8368336027</v>
      </c>
    </row>
    <row r="17" spans="1:13" x14ac:dyDescent="0.2">
      <c r="A17" s="1"/>
      <c r="B17" s="145" t="s">
        <v>253</v>
      </c>
      <c r="C17" s="145" t="s">
        <v>253</v>
      </c>
      <c r="D17" s="1">
        <v>6.19</v>
      </c>
      <c r="E17" s="149">
        <v>380</v>
      </c>
      <c r="F17" s="149">
        <v>17</v>
      </c>
      <c r="G17" s="149">
        <f t="shared" si="0"/>
        <v>6460</v>
      </c>
      <c r="H17" s="145">
        <f t="shared" si="1"/>
        <v>1043.6187399030694</v>
      </c>
      <c r="I17" s="3">
        <v>3500</v>
      </c>
      <c r="J17" s="146">
        <f t="shared" si="2"/>
        <v>3652665.5896607423</v>
      </c>
      <c r="K17" s="147">
        <v>18000</v>
      </c>
      <c r="L17" s="148">
        <f t="shared" si="3"/>
        <v>6840000</v>
      </c>
      <c r="M17" s="147">
        <f t="shared" si="4"/>
        <v>3187334.4103392577</v>
      </c>
    </row>
    <row r="18" spans="1:13" x14ac:dyDescent="0.2">
      <c r="A18" s="1"/>
      <c r="B18" s="145" t="s">
        <v>7</v>
      </c>
      <c r="C18" s="145" t="s">
        <v>1279</v>
      </c>
      <c r="D18" s="1">
        <v>6.19</v>
      </c>
      <c r="E18" s="149">
        <v>309</v>
      </c>
      <c r="F18" s="149">
        <v>20</v>
      </c>
      <c r="G18" s="149">
        <f t="shared" si="0"/>
        <v>6180</v>
      </c>
      <c r="H18" s="145">
        <f t="shared" si="1"/>
        <v>998.38449111470106</v>
      </c>
      <c r="I18" s="3">
        <v>3500</v>
      </c>
      <c r="J18" s="146">
        <f t="shared" si="2"/>
        <v>3494345.718901454</v>
      </c>
      <c r="K18" s="147">
        <v>18000</v>
      </c>
      <c r="L18" s="148">
        <f t="shared" si="3"/>
        <v>5562000</v>
      </c>
      <c r="M18" s="147">
        <f t="shared" si="4"/>
        <v>2067654.281098546</v>
      </c>
    </row>
    <row r="19" spans="1:13" x14ac:dyDescent="0.2">
      <c r="A19" s="1"/>
      <c r="B19" s="145" t="s">
        <v>7</v>
      </c>
      <c r="C19" s="145" t="s">
        <v>1379</v>
      </c>
      <c r="D19" s="1">
        <v>6.19</v>
      </c>
      <c r="E19" s="149">
        <v>350</v>
      </c>
      <c r="F19" s="149">
        <v>15</v>
      </c>
      <c r="G19" s="149">
        <f t="shared" si="0"/>
        <v>5250</v>
      </c>
      <c r="H19" s="145">
        <f t="shared" si="1"/>
        <v>848.14216478190622</v>
      </c>
      <c r="I19" s="3">
        <v>3500</v>
      </c>
      <c r="J19" s="146">
        <f t="shared" si="2"/>
        <v>2968497.5767366719</v>
      </c>
      <c r="K19" s="147">
        <v>18000</v>
      </c>
      <c r="L19" s="148">
        <f t="shared" si="3"/>
        <v>6300000</v>
      </c>
      <c r="M19" s="147">
        <f t="shared" si="4"/>
        <v>3331502.4232633281</v>
      </c>
    </row>
    <row r="20" spans="1:13" x14ac:dyDescent="0.2">
      <c r="A20" s="1"/>
      <c r="B20" s="145" t="s">
        <v>7</v>
      </c>
      <c r="C20" s="145" t="s">
        <v>1380</v>
      </c>
      <c r="D20" s="1">
        <v>6.19</v>
      </c>
      <c r="E20" s="149">
        <v>153</v>
      </c>
      <c r="F20" s="149">
        <v>16</v>
      </c>
      <c r="G20" s="149">
        <f t="shared" si="0"/>
        <v>2448</v>
      </c>
      <c r="H20" s="145">
        <f t="shared" si="1"/>
        <v>395.47657512116314</v>
      </c>
      <c r="I20" s="3">
        <v>3500</v>
      </c>
      <c r="J20" s="146">
        <f t="shared" si="2"/>
        <v>1384168.0129240712</v>
      </c>
      <c r="K20" s="147">
        <v>18000</v>
      </c>
      <c r="L20" s="148">
        <f t="shared" si="3"/>
        <v>2754000</v>
      </c>
      <c r="M20" s="147">
        <f t="shared" si="4"/>
        <v>1369831.9870759288</v>
      </c>
    </row>
    <row r="21" spans="1:13" x14ac:dyDescent="0.2">
      <c r="A21" s="1"/>
      <c r="B21" s="145" t="s">
        <v>7</v>
      </c>
      <c r="C21" s="145" t="s">
        <v>1380</v>
      </c>
      <c r="D21" s="1">
        <v>6.19</v>
      </c>
      <c r="E21" s="149">
        <v>274</v>
      </c>
      <c r="F21" s="149">
        <v>17</v>
      </c>
      <c r="G21" s="149">
        <f t="shared" si="0"/>
        <v>4658</v>
      </c>
      <c r="H21" s="145">
        <f t="shared" si="1"/>
        <v>752.50403877221322</v>
      </c>
      <c r="I21" s="3">
        <v>3500</v>
      </c>
      <c r="J21" s="146">
        <f t="shared" si="2"/>
        <v>2633764.135702746</v>
      </c>
      <c r="K21" s="147">
        <v>18000</v>
      </c>
      <c r="L21" s="148">
        <f t="shared" si="3"/>
        <v>4932000</v>
      </c>
      <c r="M21" s="147">
        <f t="shared" si="4"/>
        <v>2298235.864297254</v>
      </c>
    </row>
    <row r="22" spans="1:13" x14ac:dyDescent="0.2">
      <c r="A22" s="1"/>
      <c r="B22" s="145" t="s">
        <v>1381</v>
      </c>
      <c r="C22" s="145" t="s">
        <v>1382</v>
      </c>
      <c r="D22" s="1">
        <v>6.19</v>
      </c>
      <c r="E22" s="149">
        <v>48</v>
      </c>
      <c r="F22" s="149">
        <v>17</v>
      </c>
      <c r="G22" s="149">
        <f t="shared" si="0"/>
        <v>816</v>
      </c>
      <c r="H22" s="145">
        <f t="shared" si="1"/>
        <v>131.8255250403877</v>
      </c>
      <c r="I22" s="3">
        <v>3500</v>
      </c>
      <c r="J22" s="146">
        <f t="shared" si="2"/>
        <v>461389.33764135698</v>
      </c>
      <c r="K22" s="147">
        <v>20000</v>
      </c>
      <c r="L22" s="148">
        <f t="shared" si="3"/>
        <v>960000</v>
      </c>
      <c r="M22" s="147">
        <f t="shared" si="4"/>
        <v>498610.66235864302</v>
      </c>
    </row>
    <row r="23" spans="1:13" x14ac:dyDescent="0.2">
      <c r="A23" s="1"/>
      <c r="B23" s="145" t="s">
        <v>7</v>
      </c>
      <c r="C23" s="145" t="s">
        <v>1383</v>
      </c>
      <c r="D23" s="1">
        <v>6.19</v>
      </c>
      <c r="E23" s="1">
        <v>408</v>
      </c>
      <c r="F23" s="149">
        <v>18</v>
      </c>
      <c r="G23" s="149">
        <f t="shared" si="0"/>
        <v>7344</v>
      </c>
      <c r="H23" s="145">
        <f t="shared" si="1"/>
        <v>1186.4297253634895</v>
      </c>
      <c r="I23" s="3">
        <v>3500</v>
      </c>
      <c r="J23" s="146">
        <f t="shared" si="2"/>
        <v>4152504.0387722128</v>
      </c>
      <c r="K23" s="147">
        <v>20000</v>
      </c>
      <c r="L23" s="148">
        <f t="shared" si="3"/>
        <v>8160000</v>
      </c>
      <c r="M23" s="147">
        <f t="shared" si="4"/>
        <v>4007495.9612277872</v>
      </c>
    </row>
    <row r="24" spans="1:13" x14ac:dyDescent="0.2">
      <c r="A24" s="1"/>
      <c r="B24" s="145" t="s">
        <v>7</v>
      </c>
      <c r="C24" s="1" t="s">
        <v>1384</v>
      </c>
      <c r="D24" s="1">
        <v>6.19</v>
      </c>
      <c r="E24" s="149">
        <v>200</v>
      </c>
      <c r="F24" s="149">
        <v>28</v>
      </c>
      <c r="G24" s="149">
        <f t="shared" si="0"/>
        <v>5600</v>
      </c>
      <c r="H24" s="145">
        <f t="shared" si="1"/>
        <v>904.68497576736661</v>
      </c>
      <c r="I24" s="3">
        <v>3500</v>
      </c>
      <c r="J24" s="146">
        <f t="shared" si="2"/>
        <v>3166397.4151857831</v>
      </c>
      <c r="K24" s="147">
        <v>25000</v>
      </c>
      <c r="L24" s="148">
        <f t="shared" si="3"/>
        <v>5000000</v>
      </c>
      <c r="M24" s="147">
        <f t="shared" si="4"/>
        <v>1833602.5848142169</v>
      </c>
    </row>
    <row r="25" spans="1:13" x14ac:dyDescent="0.2">
      <c r="A25" s="1"/>
      <c r="B25" s="145" t="s">
        <v>253</v>
      </c>
      <c r="C25" s="145" t="s">
        <v>1112</v>
      </c>
      <c r="D25" s="1">
        <v>6.19</v>
      </c>
      <c r="E25" s="149">
        <v>130</v>
      </c>
      <c r="F25" s="149">
        <v>28</v>
      </c>
      <c r="G25" s="158">
        <f t="shared" si="0"/>
        <v>3640</v>
      </c>
      <c r="H25" s="145">
        <f t="shared" si="1"/>
        <v>588.04523424878835</v>
      </c>
      <c r="I25" s="3">
        <v>3500</v>
      </c>
      <c r="J25" s="146">
        <f t="shared" si="2"/>
        <v>2058158.319870759</v>
      </c>
      <c r="K25" s="147">
        <v>25000</v>
      </c>
      <c r="L25" s="148">
        <f t="shared" si="3"/>
        <v>3250000</v>
      </c>
      <c r="M25" s="147">
        <f t="shared" si="4"/>
        <v>1191841.680129241</v>
      </c>
    </row>
    <row r="26" spans="1:13" x14ac:dyDescent="0.2">
      <c r="A26" s="1"/>
      <c r="B26" s="145" t="s">
        <v>1372</v>
      </c>
      <c r="C26" s="145" t="s">
        <v>1385</v>
      </c>
      <c r="D26" s="1">
        <v>6.19</v>
      </c>
      <c r="E26" s="149">
        <v>300</v>
      </c>
      <c r="F26" s="149">
        <v>27</v>
      </c>
      <c r="G26" s="149">
        <f t="shared" si="0"/>
        <v>8100</v>
      </c>
      <c r="H26" s="145">
        <f t="shared" si="1"/>
        <v>1308.562197092084</v>
      </c>
      <c r="I26" s="3">
        <v>3500</v>
      </c>
      <c r="J26" s="146">
        <f t="shared" si="2"/>
        <v>4579967.6898222938</v>
      </c>
      <c r="K26" s="147">
        <v>20000</v>
      </c>
      <c r="L26" s="148">
        <f t="shared" si="3"/>
        <v>6000000</v>
      </c>
      <c r="M26" s="147">
        <f t="shared" si="4"/>
        <v>1420032.3101777062</v>
      </c>
    </row>
    <row r="27" spans="1:13" x14ac:dyDescent="0.2">
      <c r="A27" s="1"/>
      <c r="B27" s="145" t="s">
        <v>7</v>
      </c>
      <c r="C27" s="145" t="s">
        <v>1386</v>
      </c>
      <c r="D27" s="1">
        <v>6.19</v>
      </c>
      <c r="E27" s="149">
        <v>300</v>
      </c>
      <c r="F27" s="149">
        <v>23</v>
      </c>
      <c r="G27" s="149">
        <f t="shared" si="0"/>
        <v>6900</v>
      </c>
      <c r="H27" s="145">
        <f t="shared" si="1"/>
        <v>1114.7011308562196</v>
      </c>
      <c r="I27" s="3">
        <v>3500</v>
      </c>
      <c r="J27" s="146">
        <f t="shared" si="2"/>
        <v>3901453.9579967689</v>
      </c>
      <c r="K27" s="147">
        <v>18000</v>
      </c>
      <c r="L27" s="148">
        <f t="shared" si="3"/>
        <v>5400000</v>
      </c>
      <c r="M27" s="147">
        <f t="shared" si="4"/>
        <v>1498546.0420032311</v>
      </c>
    </row>
    <row r="28" spans="1:13" x14ac:dyDescent="0.2">
      <c r="A28" s="1"/>
      <c r="B28" s="1"/>
      <c r="C28" s="145" t="s">
        <v>1370</v>
      </c>
      <c r="D28" s="1">
        <v>6.19</v>
      </c>
      <c r="E28" s="149">
        <v>200</v>
      </c>
      <c r="F28" s="149">
        <v>23</v>
      </c>
      <c r="G28" s="149">
        <f t="shared" si="0"/>
        <v>4600</v>
      </c>
      <c r="H28" s="145">
        <f t="shared" si="1"/>
        <v>743.13408723747978</v>
      </c>
      <c r="I28" s="3">
        <v>3500</v>
      </c>
      <c r="J28" s="146">
        <f t="shared" si="2"/>
        <v>2600969.3053311794</v>
      </c>
      <c r="K28" s="147">
        <v>18000</v>
      </c>
      <c r="L28" s="148">
        <f t="shared" si="3"/>
        <v>3600000</v>
      </c>
      <c r="M28" s="147">
        <f t="shared" si="4"/>
        <v>999030.69466882059</v>
      </c>
    </row>
    <row r="29" spans="1:13" x14ac:dyDescent="0.2">
      <c r="A29" s="1"/>
      <c r="B29" s="1"/>
      <c r="C29" s="145" t="s">
        <v>1371</v>
      </c>
      <c r="D29" s="1">
        <v>6.19</v>
      </c>
      <c r="E29" s="149">
        <v>200</v>
      </c>
      <c r="F29" s="149">
        <v>23</v>
      </c>
      <c r="G29" s="149">
        <f t="shared" si="0"/>
        <v>4600</v>
      </c>
      <c r="H29" s="145">
        <f t="shared" si="1"/>
        <v>743.13408723747978</v>
      </c>
      <c r="I29" s="3">
        <v>3500</v>
      </c>
      <c r="J29" s="146">
        <f t="shared" si="2"/>
        <v>2600969.3053311794</v>
      </c>
      <c r="K29" s="147">
        <v>18000</v>
      </c>
      <c r="L29" s="148">
        <f t="shared" si="3"/>
        <v>3600000</v>
      </c>
      <c r="M29" s="147">
        <f t="shared" si="4"/>
        <v>999030.69466882059</v>
      </c>
    </row>
    <row r="30" spans="1:13" x14ac:dyDescent="0.2">
      <c r="A30" s="1"/>
      <c r="B30" s="145" t="s">
        <v>1372</v>
      </c>
      <c r="C30" s="145" t="s">
        <v>1387</v>
      </c>
      <c r="D30" s="1">
        <v>6.19</v>
      </c>
      <c r="E30" s="149">
        <v>200</v>
      </c>
      <c r="F30" s="149">
        <v>25</v>
      </c>
      <c r="G30" s="149">
        <f t="shared" si="0"/>
        <v>5000</v>
      </c>
      <c r="H30" s="145">
        <f t="shared" si="1"/>
        <v>807.75444264943451</v>
      </c>
      <c r="I30" s="3">
        <v>3500</v>
      </c>
      <c r="J30" s="146">
        <f t="shared" si="2"/>
        <v>2827140.5492730211</v>
      </c>
      <c r="K30" s="147">
        <v>20000</v>
      </c>
      <c r="L30" s="148">
        <f t="shared" si="3"/>
        <v>4000000</v>
      </c>
      <c r="M30" s="147">
        <f t="shared" si="4"/>
        <v>1172859.4507269789</v>
      </c>
    </row>
    <row r="31" spans="1:13" x14ac:dyDescent="0.2">
      <c r="A31" s="1"/>
      <c r="B31" s="1"/>
      <c r="C31" s="145" t="s">
        <v>1034</v>
      </c>
      <c r="D31" s="1">
        <v>6.19</v>
      </c>
      <c r="E31" s="149">
        <v>200</v>
      </c>
      <c r="F31" s="149">
        <v>25</v>
      </c>
      <c r="G31" s="149">
        <f t="shared" si="0"/>
        <v>5000</v>
      </c>
      <c r="H31" s="145">
        <f t="shared" si="1"/>
        <v>807.75444264943451</v>
      </c>
      <c r="I31" s="3">
        <v>3500</v>
      </c>
      <c r="J31" s="146">
        <f t="shared" si="2"/>
        <v>2827140.5492730211</v>
      </c>
      <c r="K31" s="147">
        <v>20000</v>
      </c>
      <c r="L31" s="148">
        <f t="shared" si="3"/>
        <v>4000000</v>
      </c>
      <c r="M31" s="147">
        <f t="shared" si="4"/>
        <v>1172859.4507269789</v>
      </c>
    </row>
    <row r="32" spans="1:13" x14ac:dyDescent="0.2">
      <c r="E32" s="7">
        <f>SUM(E3:E31)</f>
        <v>9999</v>
      </c>
      <c r="H32" s="156">
        <f>SUM(H3:H31)</f>
        <v>38232.148626817456</v>
      </c>
      <c r="I32" s="3"/>
      <c r="J32" s="159">
        <f>SUM(J3:J31)</f>
        <v>133812520.19386105</v>
      </c>
      <c r="L32" s="95">
        <f>SUM(L3:L31)</f>
        <v>213516000</v>
      </c>
      <c r="M32" s="48">
        <f>SUM(M3:M31)</f>
        <v>79703479.806138948</v>
      </c>
    </row>
    <row r="33" spans="9:10" x14ac:dyDescent="0.2">
      <c r="I33" s="3"/>
    </row>
    <row r="34" spans="9:10" x14ac:dyDescent="0.2">
      <c r="I34" s="3"/>
    </row>
    <row r="37" spans="9:10" x14ac:dyDescent="0.2">
      <c r="I37" s="3" t="s">
        <v>25</v>
      </c>
      <c r="J37" s="15">
        <v>133812520</v>
      </c>
    </row>
    <row r="38" spans="9:10" x14ac:dyDescent="0.2">
      <c r="I38" s="3" t="s">
        <v>27</v>
      </c>
      <c r="J38" s="9">
        <v>5693000</v>
      </c>
    </row>
    <row r="39" spans="9:10" x14ac:dyDescent="0.2">
      <c r="I39" s="3" t="s">
        <v>26</v>
      </c>
      <c r="J39" s="3">
        <v>4759600</v>
      </c>
    </row>
    <row r="40" spans="9:10" x14ac:dyDescent="0.2">
      <c r="I40" s="3" t="s">
        <v>33</v>
      </c>
      <c r="J40" s="3">
        <v>4000000</v>
      </c>
    </row>
    <row r="41" spans="9:10" x14ac:dyDescent="0.2">
      <c r="I41" s="3" t="s">
        <v>31</v>
      </c>
      <c r="J41" s="3">
        <v>6350000</v>
      </c>
    </row>
    <row r="42" spans="9:10" x14ac:dyDescent="0.2">
      <c r="I42" s="3" t="s">
        <v>1434</v>
      </c>
      <c r="J42" s="3">
        <v>1500000</v>
      </c>
    </row>
    <row r="43" spans="9:10" x14ac:dyDescent="0.2">
      <c r="I43" s="3" t="s">
        <v>36</v>
      </c>
      <c r="J43" s="3">
        <v>3410000</v>
      </c>
    </row>
    <row r="44" spans="9:10" x14ac:dyDescent="0.2">
      <c r="I44" s="3" t="s">
        <v>29</v>
      </c>
      <c r="J44" s="23">
        <v>9000000</v>
      </c>
    </row>
    <row r="45" spans="9:10" x14ac:dyDescent="0.2">
      <c r="I45" s="3" t="s">
        <v>34</v>
      </c>
      <c r="J45" s="26">
        <f>SUM(J37:J44)</f>
        <v>168525120</v>
      </c>
    </row>
    <row r="46" spans="9:10" x14ac:dyDescent="0.2">
      <c r="I46" s="3" t="s">
        <v>6</v>
      </c>
      <c r="J46" s="116">
        <v>213366000</v>
      </c>
    </row>
    <row r="47" spans="9:10" ht="18" x14ac:dyDescent="0.35">
      <c r="I47" s="3" t="s">
        <v>35</v>
      </c>
      <c r="J47" s="21">
        <f>J46-J45</f>
        <v>44840880</v>
      </c>
    </row>
    <row r="54" spans="2:13" x14ac:dyDescent="0.2">
      <c r="B54" s="145" t="s">
        <v>7</v>
      </c>
      <c r="C54" s="145" t="s">
        <v>1366</v>
      </c>
      <c r="D54" s="1">
        <v>6.19</v>
      </c>
      <c r="E54" s="149">
        <v>200</v>
      </c>
      <c r="F54" s="149">
        <v>30</v>
      </c>
      <c r="G54" s="149">
        <f t="shared" ref="G54:G63" si="5">E54*F54</f>
        <v>6000</v>
      </c>
      <c r="H54" s="145">
        <f t="shared" ref="H54:H63" si="6">G54/D54</f>
        <v>969.30533117932146</v>
      </c>
      <c r="I54" s="3">
        <v>3260</v>
      </c>
      <c r="J54" s="146">
        <f t="shared" ref="J54:J63" si="7">F54/D54*I54*E54</f>
        <v>3159935.3796445876</v>
      </c>
      <c r="K54" s="147">
        <v>25000</v>
      </c>
      <c r="L54" s="148">
        <f t="shared" ref="L54:L63" si="8">K54*E54</f>
        <v>5000000</v>
      </c>
      <c r="M54" s="147">
        <f t="shared" ref="M54:M63" si="9">L54-J54</f>
        <v>1840064.6203554124</v>
      </c>
    </row>
    <row r="55" spans="2:13" x14ac:dyDescent="0.2">
      <c r="B55" s="145" t="s">
        <v>7</v>
      </c>
      <c r="C55" s="145" t="s">
        <v>1112</v>
      </c>
      <c r="D55" s="1">
        <v>6.19</v>
      </c>
      <c r="E55" s="149">
        <v>200</v>
      </c>
      <c r="F55" s="149">
        <v>30</v>
      </c>
      <c r="G55" s="149">
        <f t="shared" si="5"/>
        <v>6000</v>
      </c>
      <c r="H55" s="145">
        <f t="shared" si="6"/>
        <v>969.30533117932146</v>
      </c>
      <c r="I55" s="3">
        <v>3260</v>
      </c>
      <c r="J55" s="146">
        <f t="shared" si="7"/>
        <v>3159935.3796445876</v>
      </c>
      <c r="K55" s="147">
        <v>25000</v>
      </c>
      <c r="L55" s="148">
        <f t="shared" si="8"/>
        <v>5000000</v>
      </c>
      <c r="M55" s="147">
        <f t="shared" si="9"/>
        <v>1840064.6203554124</v>
      </c>
    </row>
    <row r="56" spans="2:13" x14ac:dyDescent="0.2">
      <c r="B56" s="150" t="s">
        <v>253</v>
      </c>
      <c r="C56" s="150" t="s">
        <v>1344</v>
      </c>
      <c r="D56" s="1">
        <v>6.19</v>
      </c>
      <c r="E56" s="151">
        <v>200</v>
      </c>
      <c r="F56" s="151">
        <v>25</v>
      </c>
      <c r="G56" s="151">
        <f t="shared" si="5"/>
        <v>5000</v>
      </c>
      <c r="H56" s="150">
        <f t="shared" si="6"/>
        <v>807.75444264943451</v>
      </c>
      <c r="I56" s="3">
        <v>3260</v>
      </c>
      <c r="J56" s="152">
        <f t="shared" si="7"/>
        <v>2633279.4830371565</v>
      </c>
      <c r="K56" s="153">
        <v>20000</v>
      </c>
      <c r="L56" s="154">
        <f t="shared" si="8"/>
        <v>4000000</v>
      </c>
      <c r="M56" s="153">
        <f t="shared" si="9"/>
        <v>1366720.5169628435</v>
      </c>
    </row>
    <row r="57" spans="2:13" x14ac:dyDescent="0.2">
      <c r="B57" s="150" t="s">
        <v>253</v>
      </c>
      <c r="C57" s="150" t="s">
        <v>1367</v>
      </c>
      <c r="D57" s="1">
        <v>6.19</v>
      </c>
      <c r="E57" s="151">
        <v>300</v>
      </c>
      <c r="F57" s="151">
        <v>28</v>
      </c>
      <c r="G57" s="151">
        <f t="shared" si="5"/>
        <v>8400</v>
      </c>
      <c r="H57" s="150">
        <f t="shared" si="6"/>
        <v>1357.0274636510501</v>
      </c>
      <c r="I57" s="3">
        <v>3260</v>
      </c>
      <c r="J57" s="152">
        <f t="shared" si="7"/>
        <v>4423909.5315024229</v>
      </c>
      <c r="K57" s="153">
        <v>23000</v>
      </c>
      <c r="L57" s="154">
        <f t="shared" si="8"/>
        <v>6900000</v>
      </c>
      <c r="M57" s="153">
        <f t="shared" si="9"/>
        <v>2476090.4684975771</v>
      </c>
    </row>
    <row r="58" spans="2:13" x14ac:dyDescent="0.2">
      <c r="B58" s="150" t="s">
        <v>253</v>
      </c>
      <c r="C58" s="150" t="s">
        <v>1368</v>
      </c>
      <c r="D58" s="1">
        <v>6.19</v>
      </c>
      <c r="E58" s="151">
        <v>300</v>
      </c>
      <c r="F58" s="151">
        <v>28</v>
      </c>
      <c r="G58" s="151">
        <f t="shared" si="5"/>
        <v>8400</v>
      </c>
      <c r="H58" s="150">
        <f t="shared" si="6"/>
        <v>1357.0274636510501</v>
      </c>
      <c r="I58" s="3">
        <v>3260</v>
      </c>
      <c r="J58" s="152">
        <f t="shared" si="7"/>
        <v>4423909.5315024229</v>
      </c>
      <c r="K58" s="153">
        <v>23000</v>
      </c>
      <c r="L58" s="154">
        <f t="shared" si="8"/>
        <v>6900000</v>
      </c>
      <c r="M58" s="153">
        <f t="shared" si="9"/>
        <v>2476090.4684975771</v>
      </c>
    </row>
    <row r="59" spans="2:13" x14ac:dyDescent="0.2">
      <c r="B59" s="150" t="s">
        <v>7</v>
      </c>
      <c r="C59" s="150" t="s">
        <v>1369</v>
      </c>
      <c r="D59" s="1">
        <v>6.19</v>
      </c>
      <c r="E59" s="151">
        <v>300</v>
      </c>
      <c r="F59" s="151">
        <v>23</v>
      </c>
      <c r="G59" s="151">
        <f t="shared" si="5"/>
        <v>6900</v>
      </c>
      <c r="H59" s="150">
        <f t="shared" si="6"/>
        <v>1114.7011308562196</v>
      </c>
      <c r="I59" s="3">
        <v>3260</v>
      </c>
      <c r="J59" s="152">
        <f t="shared" si="7"/>
        <v>3633925.686591276</v>
      </c>
      <c r="K59" s="153">
        <v>17000</v>
      </c>
      <c r="L59" s="154">
        <f t="shared" si="8"/>
        <v>5100000</v>
      </c>
      <c r="M59" s="153">
        <f t="shared" si="9"/>
        <v>1466074.313408724</v>
      </c>
    </row>
    <row r="60" spans="2:13" x14ac:dyDescent="0.2">
      <c r="B60" s="150" t="s">
        <v>7</v>
      </c>
      <c r="C60" s="150" t="s">
        <v>1370</v>
      </c>
      <c r="D60" s="1">
        <v>6.19</v>
      </c>
      <c r="E60" s="151">
        <v>200</v>
      </c>
      <c r="F60" s="151">
        <v>23</v>
      </c>
      <c r="G60" s="151">
        <f t="shared" si="5"/>
        <v>4600</v>
      </c>
      <c r="H60" s="150">
        <f t="shared" si="6"/>
        <v>743.13408723747978</v>
      </c>
      <c r="I60" s="3">
        <v>3260</v>
      </c>
      <c r="J60" s="152">
        <f t="shared" si="7"/>
        <v>2422617.124394184</v>
      </c>
      <c r="K60" s="153">
        <v>18000</v>
      </c>
      <c r="L60" s="154">
        <f t="shared" si="8"/>
        <v>3600000</v>
      </c>
      <c r="M60" s="153">
        <f t="shared" si="9"/>
        <v>1177382.875605816</v>
      </c>
    </row>
    <row r="61" spans="2:13" x14ac:dyDescent="0.2">
      <c r="B61" s="150" t="s">
        <v>253</v>
      </c>
      <c r="C61" s="150" t="s">
        <v>1371</v>
      </c>
      <c r="D61" s="1">
        <v>6.19</v>
      </c>
      <c r="E61" s="151">
        <v>200</v>
      </c>
      <c r="F61" s="151">
        <v>23</v>
      </c>
      <c r="G61" s="151">
        <f t="shared" si="5"/>
        <v>4600</v>
      </c>
      <c r="H61" s="150">
        <f t="shared" si="6"/>
        <v>743.13408723747978</v>
      </c>
      <c r="I61" s="3">
        <v>3260</v>
      </c>
      <c r="J61" s="152">
        <f t="shared" si="7"/>
        <v>2422617.124394184</v>
      </c>
      <c r="K61" s="153">
        <v>18000</v>
      </c>
      <c r="L61" s="154">
        <f t="shared" si="8"/>
        <v>3600000</v>
      </c>
      <c r="M61" s="153">
        <f t="shared" si="9"/>
        <v>1177382.875605816</v>
      </c>
    </row>
    <row r="62" spans="2:13" x14ac:dyDescent="0.2">
      <c r="B62" s="150" t="s">
        <v>1372</v>
      </c>
      <c r="C62" s="150" t="s">
        <v>1373</v>
      </c>
      <c r="D62" s="1">
        <v>6.19</v>
      </c>
      <c r="E62" s="151">
        <v>200</v>
      </c>
      <c r="F62" s="151">
        <v>25</v>
      </c>
      <c r="G62" s="151">
        <f t="shared" si="5"/>
        <v>5000</v>
      </c>
      <c r="H62" s="150">
        <f t="shared" si="6"/>
        <v>807.75444264943451</v>
      </c>
      <c r="I62" s="3">
        <v>3260</v>
      </c>
      <c r="J62" s="152">
        <f t="shared" si="7"/>
        <v>2633279.4830371565</v>
      </c>
      <c r="K62" s="153">
        <v>20000</v>
      </c>
      <c r="L62" s="154">
        <f t="shared" si="8"/>
        <v>4000000</v>
      </c>
      <c r="M62" s="153">
        <f t="shared" si="9"/>
        <v>1366720.5169628435</v>
      </c>
    </row>
    <row r="63" spans="2:13" x14ac:dyDescent="0.2">
      <c r="B63" s="150" t="s">
        <v>253</v>
      </c>
      <c r="C63" s="150" t="s">
        <v>1374</v>
      </c>
      <c r="D63" s="1">
        <v>6.19</v>
      </c>
      <c r="E63" s="151">
        <v>200</v>
      </c>
      <c r="F63" s="151">
        <v>25</v>
      </c>
      <c r="G63" s="151">
        <f t="shared" si="5"/>
        <v>5000</v>
      </c>
      <c r="H63" s="150">
        <f t="shared" si="6"/>
        <v>807.75444264943451</v>
      </c>
      <c r="I63" s="3">
        <v>3260</v>
      </c>
      <c r="J63" s="152">
        <f t="shared" si="7"/>
        <v>2633279.4830371565</v>
      </c>
      <c r="K63" s="153">
        <v>20000</v>
      </c>
      <c r="L63" s="154">
        <f t="shared" si="8"/>
        <v>4000000</v>
      </c>
      <c r="M63" s="153">
        <f t="shared" si="9"/>
        <v>1366720.5169628435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69"/>
  <sheetViews>
    <sheetView topLeftCell="A20" workbookViewId="0">
      <selection activeCell="B54" sqref="B54"/>
    </sheetView>
  </sheetViews>
  <sheetFormatPr baseColWidth="10" defaultRowHeight="15" x14ac:dyDescent="0.2"/>
  <cols>
    <col min="2" max="2" width="11.33203125" customWidth="1"/>
    <col min="3" max="3" width="24.33203125" customWidth="1"/>
    <col min="8" max="8" width="10.83203125" customWidth="1"/>
    <col min="10" max="10" width="17" customWidth="1"/>
    <col min="12" max="12" width="16.6640625" customWidth="1"/>
    <col min="13" max="13" width="12.33203125" customWidth="1"/>
  </cols>
  <sheetData>
    <row r="1" spans="1:13" ht="31" x14ac:dyDescent="0.35">
      <c r="A1" s="56" t="s">
        <v>1433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145" t="s">
        <v>1389</v>
      </c>
      <c r="B3" s="145" t="s">
        <v>7</v>
      </c>
      <c r="C3" s="145" t="s">
        <v>1390</v>
      </c>
      <c r="D3" s="1">
        <v>6.35</v>
      </c>
      <c r="E3" s="149">
        <v>300</v>
      </c>
      <c r="F3" s="149">
        <v>23</v>
      </c>
      <c r="G3" s="149">
        <f t="shared" ref="G3:G48" si="0">E3*F3</f>
        <v>6900</v>
      </c>
      <c r="H3" s="145">
        <f t="shared" ref="H3:H48" si="1">G3/D3</f>
        <v>1086.6141732283465</v>
      </c>
      <c r="I3" s="3">
        <v>3652</v>
      </c>
      <c r="J3" s="146">
        <f t="shared" ref="J3:J48" si="2">F3/D3*I3*E3</f>
        <v>3968314.9606299214</v>
      </c>
      <c r="K3" s="147">
        <v>20000</v>
      </c>
      <c r="L3" s="148">
        <f t="shared" ref="L3:L48" si="3">K3*E3</f>
        <v>6000000</v>
      </c>
      <c r="M3" s="147">
        <f t="shared" ref="M3:M48" si="4">L3-J3</f>
        <v>2031685.0393700786</v>
      </c>
    </row>
    <row r="4" spans="1:13" x14ac:dyDescent="0.2">
      <c r="A4" s="145"/>
      <c r="B4" s="145" t="s">
        <v>253</v>
      </c>
      <c r="C4" s="145" t="s">
        <v>995</v>
      </c>
      <c r="D4" s="1">
        <v>6.35</v>
      </c>
      <c r="E4" s="149">
        <v>300</v>
      </c>
      <c r="F4" s="149">
        <v>28</v>
      </c>
      <c r="G4" s="149">
        <f t="shared" si="0"/>
        <v>8400</v>
      </c>
      <c r="H4" s="145">
        <f t="shared" si="1"/>
        <v>1322.8346456692914</v>
      </c>
      <c r="I4" s="3">
        <v>3652</v>
      </c>
      <c r="J4" s="146">
        <f t="shared" si="2"/>
        <v>4830992.1259842524</v>
      </c>
      <c r="K4" s="147">
        <v>23000</v>
      </c>
      <c r="L4" s="148">
        <f t="shared" si="3"/>
        <v>6900000</v>
      </c>
      <c r="M4" s="147">
        <f t="shared" si="4"/>
        <v>2069007.8740157476</v>
      </c>
    </row>
    <row r="5" spans="1:13" x14ac:dyDescent="0.2">
      <c r="A5" s="1"/>
      <c r="B5" s="145" t="s">
        <v>7</v>
      </c>
      <c r="C5" s="145" t="s">
        <v>1391</v>
      </c>
      <c r="D5" s="1">
        <v>6.35</v>
      </c>
      <c r="E5" s="149">
        <v>200</v>
      </c>
      <c r="F5" s="149">
        <v>26</v>
      </c>
      <c r="G5" s="149">
        <f t="shared" si="0"/>
        <v>5200</v>
      </c>
      <c r="H5" s="145">
        <f t="shared" si="1"/>
        <v>818.89763779527561</v>
      </c>
      <c r="I5" s="3">
        <v>3652</v>
      </c>
      <c r="J5" s="146">
        <f t="shared" si="2"/>
        <v>2990614.1732283463</v>
      </c>
      <c r="K5" s="147">
        <v>22000</v>
      </c>
      <c r="L5" s="148">
        <f t="shared" si="3"/>
        <v>4400000</v>
      </c>
      <c r="M5" s="147">
        <f t="shared" si="4"/>
        <v>1409385.8267716537</v>
      </c>
    </row>
    <row r="6" spans="1:13" x14ac:dyDescent="0.2">
      <c r="A6" s="1"/>
      <c r="B6" s="145" t="s">
        <v>253</v>
      </c>
      <c r="C6" s="145" t="s">
        <v>1392</v>
      </c>
      <c r="D6" s="1">
        <v>6.35</v>
      </c>
      <c r="E6" s="149">
        <v>200</v>
      </c>
      <c r="F6" s="149">
        <v>26</v>
      </c>
      <c r="G6" s="149">
        <f t="shared" si="0"/>
        <v>5200</v>
      </c>
      <c r="H6" s="145">
        <f t="shared" si="1"/>
        <v>818.89763779527561</v>
      </c>
      <c r="I6" s="3">
        <v>3652</v>
      </c>
      <c r="J6" s="146">
        <f t="shared" si="2"/>
        <v>2990614.1732283463</v>
      </c>
      <c r="K6" s="147">
        <v>22000</v>
      </c>
      <c r="L6" s="148">
        <f t="shared" si="3"/>
        <v>4400000</v>
      </c>
      <c r="M6" s="147">
        <f t="shared" si="4"/>
        <v>1409385.8267716537</v>
      </c>
    </row>
    <row r="7" spans="1:13" x14ac:dyDescent="0.2">
      <c r="A7" s="1"/>
      <c r="B7" s="145" t="s">
        <v>253</v>
      </c>
      <c r="C7" s="145" t="s">
        <v>1393</v>
      </c>
      <c r="D7" s="1">
        <v>6.35</v>
      </c>
      <c r="E7" s="149">
        <v>200</v>
      </c>
      <c r="F7" s="149">
        <v>25</v>
      </c>
      <c r="G7" s="149">
        <f t="shared" si="0"/>
        <v>5000</v>
      </c>
      <c r="H7" s="145">
        <f t="shared" si="1"/>
        <v>787.40157480314963</v>
      </c>
      <c r="I7" s="3">
        <v>3652</v>
      </c>
      <c r="J7" s="146">
        <f t="shared" si="2"/>
        <v>2875590.5511811022</v>
      </c>
      <c r="K7" s="147">
        <v>22000</v>
      </c>
      <c r="L7" s="148">
        <f t="shared" si="3"/>
        <v>4400000</v>
      </c>
      <c r="M7" s="147">
        <f t="shared" si="4"/>
        <v>1524409.4488188978</v>
      </c>
    </row>
    <row r="8" spans="1:13" x14ac:dyDescent="0.2">
      <c r="A8" s="1"/>
      <c r="B8" s="145" t="s">
        <v>7</v>
      </c>
      <c r="C8" s="145" t="s">
        <v>1394</v>
      </c>
      <c r="D8" s="1">
        <v>6.35</v>
      </c>
      <c r="E8" s="149">
        <v>800</v>
      </c>
      <c r="F8" s="149">
        <v>25.5</v>
      </c>
      <c r="G8" s="149">
        <f t="shared" si="0"/>
        <v>20400</v>
      </c>
      <c r="H8" s="145">
        <f t="shared" si="1"/>
        <v>3212.5984251968507</v>
      </c>
      <c r="I8" s="3">
        <v>3652</v>
      </c>
      <c r="J8" s="146">
        <f t="shared" si="2"/>
        <v>11732409.448818898</v>
      </c>
      <c r="K8" s="147">
        <v>22000</v>
      </c>
      <c r="L8" s="148">
        <f t="shared" si="3"/>
        <v>17600000</v>
      </c>
      <c r="M8" s="147">
        <f t="shared" si="4"/>
        <v>5867590.5511811022</v>
      </c>
    </row>
    <row r="9" spans="1:13" x14ac:dyDescent="0.2">
      <c r="A9" s="1"/>
      <c r="B9" s="145" t="s">
        <v>7</v>
      </c>
      <c r="C9" s="145" t="s">
        <v>1399</v>
      </c>
      <c r="D9" s="1">
        <v>6.35</v>
      </c>
      <c r="E9" s="149">
        <v>1000</v>
      </c>
      <c r="F9" s="149">
        <v>26</v>
      </c>
      <c r="G9" s="149">
        <f t="shared" si="0"/>
        <v>26000</v>
      </c>
      <c r="H9" s="145">
        <f t="shared" si="1"/>
        <v>4094.4881889763783</v>
      </c>
      <c r="I9" s="3">
        <v>3652</v>
      </c>
      <c r="J9" s="146">
        <f t="shared" si="2"/>
        <v>14953070.866141733</v>
      </c>
      <c r="K9" s="147">
        <v>22000</v>
      </c>
      <c r="L9" s="148">
        <f t="shared" si="3"/>
        <v>22000000</v>
      </c>
      <c r="M9" s="147">
        <f t="shared" si="4"/>
        <v>7046929.1338582672</v>
      </c>
    </row>
    <row r="10" spans="1:13" x14ac:dyDescent="0.2">
      <c r="A10" s="1"/>
      <c r="B10" s="145" t="s">
        <v>7</v>
      </c>
      <c r="C10" s="145" t="s">
        <v>1365</v>
      </c>
      <c r="D10" s="1">
        <v>6.35</v>
      </c>
      <c r="E10" s="149">
        <v>300</v>
      </c>
      <c r="F10" s="149">
        <v>24</v>
      </c>
      <c r="G10" s="149">
        <f t="shared" si="0"/>
        <v>7200</v>
      </c>
      <c r="H10" s="145">
        <f t="shared" si="1"/>
        <v>1133.8582677165355</v>
      </c>
      <c r="I10" s="3">
        <v>3652</v>
      </c>
      <c r="J10" s="146">
        <f t="shared" si="2"/>
        <v>4140850.3937007878</v>
      </c>
      <c r="K10" s="147">
        <v>22000</v>
      </c>
      <c r="L10" s="148">
        <f t="shared" si="3"/>
        <v>6600000</v>
      </c>
      <c r="M10" s="147">
        <f t="shared" si="4"/>
        <v>2459149.6062992122</v>
      </c>
    </row>
    <row r="11" spans="1:13" x14ac:dyDescent="0.2">
      <c r="B11" s="150" t="s">
        <v>253</v>
      </c>
      <c r="C11" s="150" t="s">
        <v>1395</v>
      </c>
      <c r="D11" s="1">
        <v>6.35</v>
      </c>
      <c r="E11" s="151">
        <v>300</v>
      </c>
      <c r="F11" s="151">
        <v>26.5</v>
      </c>
      <c r="G11" s="151">
        <f t="shared" si="0"/>
        <v>7950</v>
      </c>
      <c r="H11" s="150">
        <f t="shared" si="1"/>
        <v>1251.9685039370079</v>
      </c>
      <c r="I11" s="3">
        <v>3652</v>
      </c>
      <c r="J11" s="152">
        <f t="shared" si="2"/>
        <v>4572188.9763779528</v>
      </c>
      <c r="K11" s="153">
        <v>22000</v>
      </c>
      <c r="L11" s="154">
        <f t="shared" si="3"/>
        <v>6600000</v>
      </c>
      <c r="M11" s="153">
        <f t="shared" si="4"/>
        <v>2027811.0236220472</v>
      </c>
    </row>
    <row r="12" spans="1:13" x14ac:dyDescent="0.2">
      <c r="B12" s="150" t="s">
        <v>253</v>
      </c>
      <c r="C12" s="150" t="s">
        <v>1396</v>
      </c>
      <c r="D12" s="1">
        <v>6.35</v>
      </c>
      <c r="E12" s="151">
        <v>300</v>
      </c>
      <c r="F12" s="151">
        <v>24</v>
      </c>
      <c r="G12" s="151">
        <f t="shared" si="0"/>
        <v>7200</v>
      </c>
      <c r="H12" s="150">
        <f t="shared" si="1"/>
        <v>1133.8582677165355</v>
      </c>
      <c r="I12" s="3">
        <v>3652</v>
      </c>
      <c r="J12" s="152">
        <f t="shared" si="2"/>
        <v>4140850.3937007878</v>
      </c>
      <c r="K12" s="153">
        <v>22000</v>
      </c>
      <c r="L12" s="154">
        <f t="shared" si="3"/>
        <v>6600000</v>
      </c>
      <c r="M12" s="153">
        <f t="shared" si="4"/>
        <v>2459149.6062992122</v>
      </c>
    </row>
    <row r="13" spans="1:13" x14ac:dyDescent="0.2">
      <c r="B13" s="150" t="s">
        <v>7</v>
      </c>
      <c r="C13" s="150" t="s">
        <v>1400</v>
      </c>
      <c r="D13" s="1">
        <v>6.35</v>
      </c>
      <c r="E13" s="151">
        <v>150</v>
      </c>
      <c r="F13" s="151">
        <v>17</v>
      </c>
      <c r="G13" s="151">
        <f t="shared" si="0"/>
        <v>2550</v>
      </c>
      <c r="H13" s="150">
        <f t="shared" si="1"/>
        <v>401.57480314960634</v>
      </c>
      <c r="I13" s="3">
        <v>3652</v>
      </c>
      <c r="J13" s="152">
        <f t="shared" si="2"/>
        <v>1466551.1811023622</v>
      </c>
      <c r="K13" s="153">
        <v>20000</v>
      </c>
      <c r="L13" s="154">
        <f t="shared" si="3"/>
        <v>3000000</v>
      </c>
      <c r="M13" s="153">
        <f t="shared" si="4"/>
        <v>1533448.8188976378</v>
      </c>
    </row>
    <row r="14" spans="1:13" x14ac:dyDescent="0.2">
      <c r="B14" s="150" t="s">
        <v>253</v>
      </c>
      <c r="C14" s="150" t="s">
        <v>1401</v>
      </c>
      <c r="D14" s="1">
        <v>6.35</v>
      </c>
      <c r="E14" s="151">
        <v>150</v>
      </c>
      <c r="F14" s="151">
        <v>17</v>
      </c>
      <c r="G14" s="151">
        <f t="shared" si="0"/>
        <v>2550</v>
      </c>
      <c r="H14" s="150">
        <f t="shared" si="1"/>
        <v>401.57480314960634</v>
      </c>
      <c r="I14" s="3">
        <v>3652</v>
      </c>
      <c r="J14" s="152">
        <f t="shared" si="2"/>
        <v>1466551.1811023622</v>
      </c>
      <c r="K14" s="153">
        <v>20000</v>
      </c>
      <c r="L14" s="154">
        <f t="shared" si="3"/>
        <v>3000000</v>
      </c>
      <c r="M14" s="153">
        <f t="shared" si="4"/>
        <v>1533448.8188976378</v>
      </c>
    </row>
    <row r="15" spans="1:13" x14ac:dyDescent="0.2">
      <c r="B15" s="150" t="s">
        <v>253</v>
      </c>
      <c r="C15" s="150" t="s">
        <v>1397</v>
      </c>
      <c r="D15" s="1">
        <v>6.35</v>
      </c>
      <c r="E15" s="151">
        <v>200</v>
      </c>
      <c r="F15" s="151">
        <v>20</v>
      </c>
      <c r="G15" s="151">
        <f t="shared" si="0"/>
        <v>4000</v>
      </c>
      <c r="H15" s="150">
        <f t="shared" si="1"/>
        <v>629.9212598425197</v>
      </c>
      <c r="I15" s="3">
        <v>3652</v>
      </c>
      <c r="J15" s="152">
        <f t="shared" si="2"/>
        <v>2300472.4409448821</v>
      </c>
      <c r="K15" s="153">
        <v>20000</v>
      </c>
      <c r="L15" s="154">
        <f t="shared" si="3"/>
        <v>4000000</v>
      </c>
      <c r="M15" s="153">
        <f t="shared" si="4"/>
        <v>1699527.5590551179</v>
      </c>
    </row>
    <row r="16" spans="1:13" x14ac:dyDescent="0.2">
      <c r="B16" s="150" t="s">
        <v>253</v>
      </c>
      <c r="C16" s="150" t="s">
        <v>1398</v>
      </c>
      <c r="D16" s="1">
        <v>6.35</v>
      </c>
      <c r="E16" s="151">
        <v>200</v>
      </c>
      <c r="F16" s="151">
        <v>20.5</v>
      </c>
      <c r="G16" s="151">
        <f t="shared" si="0"/>
        <v>4100</v>
      </c>
      <c r="H16" s="150">
        <f t="shared" si="1"/>
        <v>645.66929133858275</v>
      </c>
      <c r="I16" s="3">
        <v>3652</v>
      </c>
      <c r="J16" s="152">
        <f t="shared" si="2"/>
        <v>2357984.2519685039</v>
      </c>
      <c r="K16" s="153">
        <v>20000</v>
      </c>
      <c r="L16" s="154">
        <f t="shared" si="3"/>
        <v>4000000</v>
      </c>
      <c r="M16" s="153">
        <f t="shared" si="4"/>
        <v>1642015.7480314961</v>
      </c>
    </row>
    <row r="17" spans="2:13" x14ac:dyDescent="0.2">
      <c r="B17" s="150" t="s">
        <v>7</v>
      </c>
      <c r="C17" s="150" t="s">
        <v>1409</v>
      </c>
      <c r="D17" s="1">
        <v>6.35</v>
      </c>
      <c r="E17" s="151">
        <v>600</v>
      </c>
      <c r="F17" s="151">
        <v>26</v>
      </c>
      <c r="G17" s="151">
        <f t="shared" si="0"/>
        <v>15600</v>
      </c>
      <c r="H17" s="150">
        <f t="shared" si="1"/>
        <v>2456.6929133858271</v>
      </c>
      <c r="I17" s="3">
        <v>3652</v>
      </c>
      <c r="J17" s="152">
        <f t="shared" si="2"/>
        <v>8971842.5196850393</v>
      </c>
      <c r="K17" s="153">
        <v>23000</v>
      </c>
      <c r="L17" s="154">
        <f t="shared" si="3"/>
        <v>13800000</v>
      </c>
      <c r="M17" s="153">
        <f t="shared" si="4"/>
        <v>4828157.4803149607</v>
      </c>
    </row>
    <row r="18" spans="2:13" x14ac:dyDescent="0.2">
      <c r="B18" s="150" t="s">
        <v>253</v>
      </c>
      <c r="C18" s="150" t="s">
        <v>1402</v>
      </c>
      <c r="D18" s="1">
        <v>6.35</v>
      </c>
      <c r="E18" s="151">
        <v>500</v>
      </c>
      <c r="F18" s="151">
        <v>27</v>
      </c>
      <c r="G18" s="151">
        <f t="shared" si="0"/>
        <v>13500</v>
      </c>
      <c r="H18" s="150">
        <f t="shared" si="1"/>
        <v>2125.9842519685039</v>
      </c>
      <c r="I18" s="3">
        <v>3652</v>
      </c>
      <c r="J18" s="152">
        <f t="shared" si="2"/>
        <v>7764094.4881889774</v>
      </c>
      <c r="K18" s="153">
        <v>23000</v>
      </c>
      <c r="L18" s="154">
        <f t="shared" si="3"/>
        <v>11500000</v>
      </c>
      <c r="M18" s="153">
        <f t="shared" si="4"/>
        <v>3735905.5118110226</v>
      </c>
    </row>
    <row r="19" spans="2:13" x14ac:dyDescent="0.2">
      <c r="B19" s="150" t="s">
        <v>253</v>
      </c>
      <c r="C19" s="150" t="s">
        <v>1403</v>
      </c>
      <c r="D19" s="1">
        <v>6.35</v>
      </c>
      <c r="E19" s="151">
        <v>300</v>
      </c>
      <c r="F19" s="151">
        <v>27</v>
      </c>
      <c r="G19" s="151">
        <f t="shared" si="0"/>
        <v>8100</v>
      </c>
      <c r="H19" s="150">
        <f t="shared" si="1"/>
        <v>1275.5905511811025</v>
      </c>
      <c r="I19" s="3">
        <v>3652</v>
      </c>
      <c r="J19" s="152">
        <f t="shared" si="2"/>
        <v>4658456.692913386</v>
      </c>
      <c r="K19" s="153">
        <v>23000</v>
      </c>
      <c r="L19" s="154">
        <f t="shared" si="3"/>
        <v>6900000</v>
      </c>
      <c r="M19" s="153">
        <f t="shared" si="4"/>
        <v>2241543.307086614</v>
      </c>
    </row>
    <row r="20" spans="2:13" x14ac:dyDescent="0.2">
      <c r="B20" s="150" t="s">
        <v>253</v>
      </c>
      <c r="C20" s="150" t="s">
        <v>1404</v>
      </c>
      <c r="D20" s="1">
        <v>6.35</v>
      </c>
      <c r="E20" s="151">
        <v>300</v>
      </c>
      <c r="F20" s="151">
        <v>26.5</v>
      </c>
      <c r="G20" s="151">
        <f t="shared" si="0"/>
        <v>7950</v>
      </c>
      <c r="H20" s="150">
        <f t="shared" si="1"/>
        <v>1251.9685039370079</v>
      </c>
      <c r="I20" s="3">
        <v>3652</v>
      </c>
      <c r="J20" s="152">
        <f t="shared" si="2"/>
        <v>4572188.9763779528</v>
      </c>
      <c r="K20" s="153">
        <v>23000</v>
      </c>
      <c r="L20" s="154">
        <f t="shared" si="3"/>
        <v>6900000</v>
      </c>
      <c r="M20" s="153">
        <f t="shared" si="4"/>
        <v>2327811.0236220472</v>
      </c>
    </row>
    <row r="21" spans="2:13" x14ac:dyDescent="0.2">
      <c r="B21" s="150" t="s">
        <v>253</v>
      </c>
      <c r="C21" s="150" t="s">
        <v>1405</v>
      </c>
      <c r="D21" s="1">
        <v>6.35</v>
      </c>
      <c r="E21" s="151">
        <v>300</v>
      </c>
      <c r="F21" s="151">
        <v>29</v>
      </c>
      <c r="G21" s="151">
        <f t="shared" si="0"/>
        <v>8700</v>
      </c>
      <c r="H21" s="150">
        <f t="shared" si="1"/>
        <v>1370.0787401574803</v>
      </c>
      <c r="I21" s="3">
        <v>3652</v>
      </c>
      <c r="J21" s="152">
        <f t="shared" si="2"/>
        <v>5003527.5590551179</v>
      </c>
      <c r="K21" s="153">
        <v>25000</v>
      </c>
      <c r="L21" s="154">
        <f t="shared" si="3"/>
        <v>7500000</v>
      </c>
      <c r="M21" s="153">
        <f t="shared" si="4"/>
        <v>2496472.4409448821</v>
      </c>
    </row>
    <row r="22" spans="2:13" x14ac:dyDescent="0.2">
      <c r="B22" s="150" t="s">
        <v>253</v>
      </c>
      <c r="C22" s="150" t="s">
        <v>1406</v>
      </c>
      <c r="D22" s="1">
        <v>6.35</v>
      </c>
      <c r="E22" s="151">
        <v>300</v>
      </c>
      <c r="F22" s="151">
        <v>27</v>
      </c>
      <c r="G22" s="151">
        <f t="shared" si="0"/>
        <v>8100</v>
      </c>
      <c r="H22" s="150">
        <f t="shared" si="1"/>
        <v>1275.5905511811025</v>
      </c>
      <c r="I22" s="3">
        <v>3652</v>
      </c>
      <c r="J22" s="152">
        <f t="shared" si="2"/>
        <v>4658456.692913386</v>
      </c>
      <c r="K22" s="153">
        <v>23000</v>
      </c>
      <c r="L22" s="154">
        <f t="shared" si="3"/>
        <v>6900000</v>
      </c>
      <c r="M22" s="153">
        <f t="shared" si="4"/>
        <v>2241543.307086614</v>
      </c>
    </row>
    <row r="23" spans="2:13" x14ac:dyDescent="0.2">
      <c r="B23" s="150" t="s">
        <v>253</v>
      </c>
      <c r="C23" s="150" t="s">
        <v>1406</v>
      </c>
      <c r="D23" s="1">
        <v>6.35</v>
      </c>
      <c r="E23" s="151">
        <v>300</v>
      </c>
      <c r="F23" s="151">
        <v>27</v>
      </c>
      <c r="G23" s="151">
        <f t="shared" si="0"/>
        <v>8100</v>
      </c>
      <c r="H23" s="150">
        <f t="shared" si="1"/>
        <v>1275.5905511811025</v>
      </c>
      <c r="I23" s="3">
        <v>3652</v>
      </c>
      <c r="J23" s="152">
        <f t="shared" si="2"/>
        <v>4658456.692913386</v>
      </c>
      <c r="K23" s="153">
        <v>23000</v>
      </c>
      <c r="L23" s="154">
        <f t="shared" si="3"/>
        <v>6900000</v>
      </c>
      <c r="M23" s="153">
        <f t="shared" si="4"/>
        <v>2241543.307086614</v>
      </c>
    </row>
    <row r="24" spans="2:13" x14ac:dyDescent="0.2">
      <c r="B24" s="150" t="s">
        <v>253</v>
      </c>
      <c r="C24" s="150" t="s">
        <v>1407</v>
      </c>
      <c r="D24" s="1">
        <v>6.35</v>
      </c>
      <c r="E24" s="151">
        <v>500</v>
      </c>
      <c r="F24" s="151">
        <v>30</v>
      </c>
      <c r="G24" s="151">
        <f t="shared" si="0"/>
        <v>15000</v>
      </c>
      <c r="H24" s="150">
        <f t="shared" si="1"/>
        <v>2362.2047244094488</v>
      </c>
      <c r="I24" s="3">
        <v>3652</v>
      </c>
      <c r="J24" s="152">
        <f t="shared" si="2"/>
        <v>8626771.6535433084</v>
      </c>
      <c r="K24" s="153">
        <v>25000</v>
      </c>
      <c r="L24" s="154">
        <f t="shared" si="3"/>
        <v>12500000</v>
      </c>
      <c r="M24" s="153">
        <f t="shared" si="4"/>
        <v>3873228.3464566916</v>
      </c>
    </row>
    <row r="25" spans="2:13" x14ac:dyDescent="0.2">
      <c r="B25" s="150" t="s">
        <v>253</v>
      </c>
      <c r="C25" s="150" t="s">
        <v>253</v>
      </c>
      <c r="D25" s="1">
        <v>6.35</v>
      </c>
      <c r="E25" s="151">
        <v>500</v>
      </c>
      <c r="F25" s="151">
        <v>30</v>
      </c>
      <c r="G25" s="151">
        <f t="shared" si="0"/>
        <v>15000</v>
      </c>
      <c r="H25" s="150">
        <f t="shared" si="1"/>
        <v>2362.2047244094488</v>
      </c>
      <c r="I25" s="3">
        <v>3652</v>
      </c>
      <c r="J25" s="152">
        <f t="shared" si="2"/>
        <v>8626771.6535433084</v>
      </c>
      <c r="K25" s="153">
        <v>25000</v>
      </c>
      <c r="L25" s="154">
        <f t="shared" si="3"/>
        <v>12500000</v>
      </c>
      <c r="M25" s="153">
        <f t="shared" si="4"/>
        <v>3873228.3464566916</v>
      </c>
    </row>
    <row r="26" spans="2:13" x14ac:dyDescent="0.2">
      <c r="B26" s="150" t="s">
        <v>253</v>
      </c>
      <c r="C26" s="150" t="s">
        <v>1408</v>
      </c>
      <c r="D26" s="1">
        <v>6.35</v>
      </c>
      <c r="E26" s="151">
        <v>300</v>
      </c>
      <c r="F26" s="151">
        <v>28</v>
      </c>
      <c r="G26" s="151">
        <f t="shared" si="0"/>
        <v>8400</v>
      </c>
      <c r="H26" s="150">
        <f t="shared" si="1"/>
        <v>1322.8346456692914</v>
      </c>
      <c r="I26" s="3">
        <v>3652</v>
      </c>
      <c r="J26" s="152">
        <f t="shared" si="2"/>
        <v>4830992.1259842524</v>
      </c>
      <c r="K26" s="153">
        <v>25000</v>
      </c>
      <c r="L26" s="154">
        <f t="shared" si="3"/>
        <v>7500000</v>
      </c>
      <c r="M26" s="153">
        <f t="shared" si="4"/>
        <v>2669007.8740157476</v>
      </c>
    </row>
    <row r="27" spans="2:13" x14ac:dyDescent="0.2">
      <c r="B27" s="150" t="s">
        <v>253</v>
      </c>
      <c r="C27" s="150" t="s">
        <v>1432</v>
      </c>
      <c r="D27" s="1">
        <v>6.35</v>
      </c>
      <c r="E27" s="151">
        <v>500</v>
      </c>
      <c r="F27" s="151">
        <v>32</v>
      </c>
      <c r="G27" s="151">
        <f t="shared" si="0"/>
        <v>16000</v>
      </c>
      <c r="H27" s="150">
        <f t="shared" si="1"/>
        <v>2519.6850393700788</v>
      </c>
      <c r="I27" s="3">
        <v>3652</v>
      </c>
      <c r="J27" s="152">
        <f t="shared" si="2"/>
        <v>9201889.7637795266</v>
      </c>
      <c r="K27" s="153">
        <v>27000</v>
      </c>
      <c r="L27" s="154">
        <f t="shared" si="3"/>
        <v>13500000</v>
      </c>
      <c r="M27" s="153">
        <f t="shared" si="4"/>
        <v>4298110.2362204734</v>
      </c>
    </row>
    <row r="28" spans="2:13" x14ac:dyDescent="0.2">
      <c r="B28" s="150" t="s">
        <v>7</v>
      </c>
      <c r="C28" s="150" t="s">
        <v>1410</v>
      </c>
      <c r="D28" s="1">
        <v>6.35</v>
      </c>
      <c r="E28" s="151">
        <v>400</v>
      </c>
      <c r="F28" s="151">
        <v>24</v>
      </c>
      <c r="G28" s="151">
        <f t="shared" si="0"/>
        <v>9600</v>
      </c>
      <c r="H28" s="150">
        <f t="shared" si="1"/>
        <v>1511.8110236220473</v>
      </c>
      <c r="I28" s="3">
        <v>3652</v>
      </c>
      <c r="J28" s="152">
        <f t="shared" si="2"/>
        <v>5521133.8582677171</v>
      </c>
      <c r="K28" s="153">
        <v>20000</v>
      </c>
      <c r="L28" s="154">
        <f t="shared" si="3"/>
        <v>8000000</v>
      </c>
      <c r="M28" s="153">
        <f t="shared" si="4"/>
        <v>2478866.1417322829</v>
      </c>
    </row>
    <row r="29" spans="2:13" x14ac:dyDescent="0.2">
      <c r="B29" s="150" t="s">
        <v>253</v>
      </c>
      <c r="C29" s="150" t="s">
        <v>1411</v>
      </c>
      <c r="D29" s="1">
        <v>6.35</v>
      </c>
      <c r="E29" s="151">
        <v>320</v>
      </c>
      <c r="F29" s="151">
        <v>28</v>
      </c>
      <c r="G29" s="151">
        <f t="shared" si="0"/>
        <v>8960</v>
      </c>
      <c r="H29" s="150">
        <f t="shared" si="1"/>
        <v>1411.0236220472441</v>
      </c>
      <c r="I29" s="3">
        <v>3652</v>
      </c>
      <c r="J29" s="152">
        <f t="shared" si="2"/>
        <v>5153058.2677165354</v>
      </c>
      <c r="K29" s="153">
        <v>23000</v>
      </c>
      <c r="L29" s="154">
        <f t="shared" si="3"/>
        <v>7360000</v>
      </c>
      <c r="M29" s="153">
        <f t="shared" si="4"/>
        <v>2206941.7322834646</v>
      </c>
    </row>
    <row r="30" spans="2:13" x14ac:dyDescent="0.2">
      <c r="B30" s="150" t="s">
        <v>253</v>
      </c>
      <c r="C30" s="150" t="s">
        <v>1412</v>
      </c>
      <c r="D30" s="1">
        <v>6.35</v>
      </c>
      <c r="E30" s="151">
        <v>290</v>
      </c>
      <c r="F30" s="151">
        <v>23</v>
      </c>
      <c r="G30" s="151">
        <f t="shared" si="0"/>
        <v>6670</v>
      </c>
      <c r="H30" s="150">
        <f t="shared" si="1"/>
        <v>1050.3937007874017</v>
      </c>
      <c r="I30" s="3">
        <v>3652</v>
      </c>
      <c r="J30" s="152">
        <f t="shared" si="2"/>
        <v>3836037.7952755908</v>
      </c>
      <c r="K30" s="153">
        <v>20000</v>
      </c>
      <c r="L30" s="154">
        <f t="shared" si="3"/>
        <v>5800000</v>
      </c>
      <c r="M30" s="153">
        <f t="shared" si="4"/>
        <v>1963962.2047244092</v>
      </c>
    </row>
    <row r="31" spans="2:13" x14ac:dyDescent="0.2">
      <c r="B31" s="150" t="s">
        <v>253</v>
      </c>
      <c r="C31" s="150" t="s">
        <v>1413</v>
      </c>
      <c r="D31" s="1">
        <v>6.35</v>
      </c>
      <c r="E31" s="151">
        <v>200</v>
      </c>
      <c r="F31" s="151">
        <v>23</v>
      </c>
      <c r="G31" s="151">
        <f t="shared" si="0"/>
        <v>4600</v>
      </c>
      <c r="H31" s="150">
        <f t="shared" si="1"/>
        <v>724.40944881889766</v>
      </c>
      <c r="I31" s="3">
        <v>3652</v>
      </c>
      <c r="J31" s="152">
        <f t="shared" si="2"/>
        <v>2645543.3070866144</v>
      </c>
      <c r="K31" s="153">
        <v>20000</v>
      </c>
      <c r="L31" s="154">
        <f t="shared" si="3"/>
        <v>4000000</v>
      </c>
      <c r="M31" s="153">
        <f t="shared" si="4"/>
        <v>1354456.6929133856</v>
      </c>
    </row>
    <row r="32" spans="2:13" x14ac:dyDescent="0.2">
      <c r="B32" s="150" t="s">
        <v>253</v>
      </c>
      <c r="C32" s="150" t="s">
        <v>1414</v>
      </c>
      <c r="D32" s="1">
        <v>6.35</v>
      </c>
      <c r="E32" s="151">
        <v>110</v>
      </c>
      <c r="F32" s="151">
        <v>26.5</v>
      </c>
      <c r="G32" s="151">
        <f t="shared" si="0"/>
        <v>2915</v>
      </c>
      <c r="H32" s="150">
        <f t="shared" si="1"/>
        <v>459.05511811023626</v>
      </c>
      <c r="I32" s="3">
        <v>3652</v>
      </c>
      <c r="J32" s="152">
        <f t="shared" si="2"/>
        <v>1676469.2913385828</v>
      </c>
      <c r="K32" s="153">
        <v>23000</v>
      </c>
      <c r="L32" s="154">
        <f t="shared" si="3"/>
        <v>2530000</v>
      </c>
      <c r="M32" s="153">
        <f t="shared" si="4"/>
        <v>853530.70866141724</v>
      </c>
    </row>
    <row r="33" spans="2:13" x14ac:dyDescent="0.2">
      <c r="B33" s="150" t="s">
        <v>253</v>
      </c>
      <c r="C33" s="150" t="s">
        <v>1416</v>
      </c>
      <c r="D33" s="1">
        <v>6.35</v>
      </c>
      <c r="E33" s="151">
        <v>100</v>
      </c>
      <c r="F33" s="151">
        <v>25</v>
      </c>
      <c r="G33" s="151">
        <f t="shared" si="0"/>
        <v>2500</v>
      </c>
      <c r="H33" s="150">
        <f t="shared" si="1"/>
        <v>393.70078740157481</v>
      </c>
      <c r="I33" s="3">
        <v>3652</v>
      </c>
      <c r="J33" s="152">
        <f t="shared" si="2"/>
        <v>1437795.2755905511</v>
      </c>
      <c r="K33" s="153">
        <v>22000</v>
      </c>
      <c r="L33" s="154">
        <f t="shared" si="3"/>
        <v>2200000</v>
      </c>
      <c r="M33" s="153">
        <f t="shared" si="4"/>
        <v>762204.72440944891</v>
      </c>
    </row>
    <row r="34" spans="2:13" x14ac:dyDescent="0.2">
      <c r="B34" s="150" t="s">
        <v>7</v>
      </c>
      <c r="C34" s="150" t="s">
        <v>1415</v>
      </c>
      <c r="D34" s="1">
        <v>6.35</v>
      </c>
      <c r="E34" s="151">
        <v>320</v>
      </c>
      <c r="F34" s="151">
        <v>18</v>
      </c>
      <c r="G34" s="151">
        <f t="shared" si="0"/>
        <v>5760</v>
      </c>
      <c r="H34" s="150">
        <f t="shared" si="1"/>
        <v>907.08661417322844</v>
      </c>
      <c r="I34" s="3">
        <v>3652</v>
      </c>
      <c r="J34" s="152">
        <f t="shared" si="2"/>
        <v>3312680.3149606306</v>
      </c>
      <c r="K34" s="153">
        <v>20000</v>
      </c>
      <c r="L34" s="154">
        <f t="shared" si="3"/>
        <v>6400000</v>
      </c>
      <c r="M34" s="153">
        <f t="shared" si="4"/>
        <v>3087319.6850393694</v>
      </c>
    </row>
    <row r="35" spans="2:13" x14ac:dyDescent="0.2">
      <c r="B35" s="150" t="s">
        <v>7</v>
      </c>
      <c r="C35" s="150" t="s">
        <v>1417</v>
      </c>
      <c r="D35" s="1">
        <v>6.35</v>
      </c>
      <c r="E35" s="151">
        <v>200</v>
      </c>
      <c r="F35" s="151">
        <v>18</v>
      </c>
      <c r="G35" s="151">
        <f t="shared" si="0"/>
        <v>3600</v>
      </c>
      <c r="H35" s="150">
        <f t="shared" si="1"/>
        <v>566.92913385826773</v>
      </c>
      <c r="I35" s="3">
        <v>3652</v>
      </c>
      <c r="J35" s="152">
        <f t="shared" si="2"/>
        <v>2070425.1968503941</v>
      </c>
      <c r="K35" s="153">
        <v>20000</v>
      </c>
      <c r="L35" s="154">
        <f t="shared" si="3"/>
        <v>4000000</v>
      </c>
      <c r="M35" s="153">
        <f t="shared" si="4"/>
        <v>1929574.8031496059</v>
      </c>
    </row>
    <row r="36" spans="2:13" x14ac:dyDescent="0.2">
      <c r="B36" s="150" t="s">
        <v>253</v>
      </c>
      <c r="C36" s="150" t="s">
        <v>1418</v>
      </c>
      <c r="D36" s="1">
        <v>6.35</v>
      </c>
      <c r="E36" s="151">
        <v>450</v>
      </c>
      <c r="F36" s="151">
        <v>12</v>
      </c>
      <c r="G36" s="151">
        <f t="shared" si="0"/>
        <v>5400</v>
      </c>
      <c r="H36" s="150">
        <f t="shared" si="1"/>
        <v>850.3937007874016</v>
      </c>
      <c r="I36" s="3">
        <v>3652</v>
      </c>
      <c r="J36" s="152">
        <f t="shared" si="2"/>
        <v>3105637.7952755908</v>
      </c>
      <c r="K36" s="153">
        <v>18000</v>
      </c>
      <c r="L36" s="154">
        <f t="shared" si="3"/>
        <v>8100000</v>
      </c>
      <c r="M36" s="153">
        <f t="shared" si="4"/>
        <v>4994362.2047244087</v>
      </c>
    </row>
    <row r="37" spans="2:13" x14ac:dyDescent="0.2">
      <c r="B37" s="150" t="s">
        <v>7</v>
      </c>
      <c r="C37" s="150" t="s">
        <v>1419</v>
      </c>
      <c r="D37" s="1">
        <v>6.35</v>
      </c>
      <c r="E37" s="151">
        <v>300</v>
      </c>
      <c r="F37" s="151">
        <v>26</v>
      </c>
      <c r="G37" s="151">
        <f t="shared" si="0"/>
        <v>7800</v>
      </c>
      <c r="H37" s="150">
        <f t="shared" si="1"/>
        <v>1228.3464566929135</v>
      </c>
      <c r="I37" s="3">
        <v>3652</v>
      </c>
      <c r="J37" s="152">
        <f t="shared" si="2"/>
        <v>4485921.2598425196</v>
      </c>
      <c r="K37" s="153">
        <v>22000</v>
      </c>
      <c r="L37" s="154">
        <f t="shared" si="3"/>
        <v>6600000</v>
      </c>
      <c r="M37" s="153">
        <f t="shared" si="4"/>
        <v>2114078.7401574804</v>
      </c>
    </row>
    <row r="38" spans="2:13" x14ac:dyDescent="0.2">
      <c r="B38" s="150" t="s">
        <v>253</v>
      </c>
      <c r="C38" s="150" t="s">
        <v>1420</v>
      </c>
      <c r="D38" s="1">
        <v>6.35</v>
      </c>
      <c r="E38" s="151">
        <v>100</v>
      </c>
      <c r="F38" s="151">
        <v>26</v>
      </c>
      <c r="G38" s="151">
        <f t="shared" si="0"/>
        <v>2600</v>
      </c>
      <c r="H38" s="150">
        <f t="shared" si="1"/>
        <v>409.44881889763781</v>
      </c>
      <c r="I38" s="3">
        <v>3652</v>
      </c>
      <c r="J38" s="152">
        <f t="shared" si="2"/>
        <v>1495307.0866141731</v>
      </c>
      <c r="K38" s="153">
        <v>22000</v>
      </c>
      <c r="L38" s="154">
        <f t="shared" si="3"/>
        <v>2200000</v>
      </c>
      <c r="M38" s="153">
        <f t="shared" si="4"/>
        <v>704692.91338582686</v>
      </c>
    </row>
    <row r="39" spans="2:13" x14ac:dyDescent="0.2">
      <c r="B39" s="150" t="s">
        <v>253</v>
      </c>
      <c r="C39" s="150" t="s">
        <v>1421</v>
      </c>
      <c r="D39" s="1">
        <v>6.35</v>
      </c>
      <c r="E39" s="151">
        <v>200</v>
      </c>
      <c r="F39" s="151">
        <v>26</v>
      </c>
      <c r="G39" s="151">
        <f t="shared" si="0"/>
        <v>5200</v>
      </c>
      <c r="H39" s="150">
        <f t="shared" si="1"/>
        <v>818.89763779527561</v>
      </c>
      <c r="I39" s="3">
        <v>3652</v>
      </c>
      <c r="J39" s="152">
        <f t="shared" si="2"/>
        <v>2990614.1732283463</v>
      </c>
      <c r="K39" s="153">
        <v>22000</v>
      </c>
      <c r="L39" s="154">
        <f t="shared" si="3"/>
        <v>4400000</v>
      </c>
      <c r="M39" s="153">
        <f t="shared" si="4"/>
        <v>1409385.8267716537</v>
      </c>
    </row>
    <row r="40" spans="2:13" x14ac:dyDescent="0.2">
      <c r="B40" s="150" t="s">
        <v>253</v>
      </c>
      <c r="C40" s="150" t="s">
        <v>1422</v>
      </c>
      <c r="D40" s="1">
        <v>6.35</v>
      </c>
      <c r="E40" s="151">
        <v>200</v>
      </c>
      <c r="F40" s="151">
        <v>26</v>
      </c>
      <c r="G40" s="151">
        <f t="shared" si="0"/>
        <v>5200</v>
      </c>
      <c r="H40" s="150">
        <f t="shared" si="1"/>
        <v>818.89763779527561</v>
      </c>
      <c r="I40" s="3">
        <v>3652</v>
      </c>
      <c r="J40" s="152">
        <f t="shared" si="2"/>
        <v>2990614.1732283463</v>
      </c>
      <c r="K40" s="153">
        <v>22000</v>
      </c>
      <c r="L40" s="154">
        <f t="shared" si="3"/>
        <v>4400000</v>
      </c>
      <c r="M40" s="153">
        <f t="shared" si="4"/>
        <v>1409385.8267716537</v>
      </c>
    </row>
    <row r="41" spans="2:13" x14ac:dyDescent="0.2">
      <c r="B41" s="161" t="s">
        <v>1423</v>
      </c>
      <c r="C41" s="150" t="s">
        <v>1424</v>
      </c>
      <c r="D41" s="1">
        <v>6.35</v>
      </c>
      <c r="E41" s="151">
        <v>200</v>
      </c>
      <c r="F41" s="151">
        <v>26</v>
      </c>
      <c r="G41" s="151">
        <f t="shared" si="0"/>
        <v>5200</v>
      </c>
      <c r="H41" s="150">
        <f t="shared" si="1"/>
        <v>818.89763779527561</v>
      </c>
      <c r="I41" s="3">
        <v>3652</v>
      </c>
      <c r="J41" s="152">
        <f t="shared" si="2"/>
        <v>2990614.1732283463</v>
      </c>
      <c r="K41" s="153">
        <v>22000</v>
      </c>
      <c r="L41" s="154">
        <f t="shared" si="3"/>
        <v>4400000</v>
      </c>
      <c r="M41" s="153">
        <f t="shared" si="4"/>
        <v>1409385.8267716537</v>
      </c>
    </row>
    <row r="42" spans="2:13" x14ac:dyDescent="0.2">
      <c r="B42" s="162" t="s">
        <v>7</v>
      </c>
      <c r="C42" s="150" t="s">
        <v>1425</v>
      </c>
      <c r="D42" s="1">
        <v>6.35</v>
      </c>
      <c r="E42" s="151">
        <v>195</v>
      </c>
      <c r="F42" s="151">
        <v>15</v>
      </c>
      <c r="G42" s="151">
        <f t="shared" si="0"/>
        <v>2925</v>
      </c>
      <c r="H42" s="150">
        <f t="shared" si="1"/>
        <v>460.62992125984255</v>
      </c>
      <c r="I42" s="3">
        <v>3652</v>
      </c>
      <c r="J42" s="152">
        <f t="shared" si="2"/>
        <v>1682220.4724409452</v>
      </c>
      <c r="K42" s="153">
        <v>18000</v>
      </c>
      <c r="L42" s="154">
        <f t="shared" si="3"/>
        <v>3510000</v>
      </c>
      <c r="M42" s="153">
        <f t="shared" si="4"/>
        <v>1827779.5275590548</v>
      </c>
    </row>
    <row r="43" spans="2:13" x14ac:dyDescent="0.2">
      <c r="B43" s="162" t="s">
        <v>253</v>
      </c>
      <c r="C43" s="150" t="s">
        <v>1426</v>
      </c>
      <c r="D43" s="1">
        <v>6.35</v>
      </c>
      <c r="E43" s="151">
        <v>350</v>
      </c>
      <c r="F43" s="151">
        <v>19</v>
      </c>
      <c r="G43" s="151">
        <f t="shared" si="0"/>
        <v>6650</v>
      </c>
      <c r="H43" s="150">
        <f t="shared" si="1"/>
        <v>1047.2440944881891</v>
      </c>
      <c r="I43" s="3">
        <v>3652</v>
      </c>
      <c r="J43" s="152">
        <f t="shared" si="2"/>
        <v>3824535.4330708664</v>
      </c>
      <c r="K43" s="153">
        <v>20000</v>
      </c>
      <c r="L43" s="154">
        <f t="shared" si="3"/>
        <v>7000000</v>
      </c>
      <c r="M43" s="153">
        <f t="shared" si="4"/>
        <v>3175464.5669291336</v>
      </c>
    </row>
    <row r="44" spans="2:13" x14ac:dyDescent="0.2">
      <c r="B44" s="162" t="s">
        <v>253</v>
      </c>
      <c r="C44" s="150" t="s">
        <v>1076</v>
      </c>
      <c r="D44" s="1">
        <v>6.35</v>
      </c>
      <c r="E44" s="151">
        <v>200</v>
      </c>
      <c r="F44" s="151">
        <v>19</v>
      </c>
      <c r="G44" s="151">
        <f t="shared" si="0"/>
        <v>3800</v>
      </c>
      <c r="H44" s="150">
        <f t="shared" si="1"/>
        <v>598.42519685039372</v>
      </c>
      <c r="I44" s="3">
        <v>3652</v>
      </c>
      <c r="J44" s="152">
        <f t="shared" si="2"/>
        <v>2185448.818897638</v>
      </c>
      <c r="K44" s="153">
        <v>20000</v>
      </c>
      <c r="L44" s="154">
        <f t="shared" si="3"/>
        <v>4000000</v>
      </c>
      <c r="M44" s="153">
        <f t="shared" si="4"/>
        <v>1814551.181102362</v>
      </c>
    </row>
    <row r="45" spans="2:13" x14ac:dyDescent="0.2">
      <c r="B45" s="162" t="s">
        <v>1427</v>
      </c>
      <c r="C45" s="150" t="s">
        <v>1428</v>
      </c>
      <c r="D45" s="1">
        <v>6.35</v>
      </c>
      <c r="E45" s="151">
        <v>400</v>
      </c>
      <c r="F45" s="151">
        <v>20</v>
      </c>
      <c r="G45" s="151">
        <f t="shared" si="0"/>
        <v>8000</v>
      </c>
      <c r="H45" s="150">
        <f t="shared" si="1"/>
        <v>1259.8425196850394</v>
      </c>
      <c r="I45" s="3">
        <v>3652</v>
      </c>
      <c r="J45" s="122">
        <f t="shared" si="2"/>
        <v>4600944.8818897642</v>
      </c>
      <c r="K45" s="153">
        <v>23000</v>
      </c>
      <c r="L45" s="8">
        <f t="shared" si="3"/>
        <v>9200000</v>
      </c>
      <c r="M45" s="153">
        <f t="shared" si="4"/>
        <v>4599055.1181102358</v>
      </c>
    </row>
    <row r="46" spans="2:13" x14ac:dyDescent="0.2">
      <c r="B46" s="162" t="s">
        <v>7</v>
      </c>
      <c r="C46" s="150" t="s">
        <v>1429</v>
      </c>
      <c r="D46" s="1">
        <v>6.35</v>
      </c>
      <c r="E46" s="151">
        <v>177</v>
      </c>
      <c r="F46" s="151">
        <v>26</v>
      </c>
      <c r="G46" s="151">
        <f t="shared" si="0"/>
        <v>4602</v>
      </c>
      <c r="H46" s="150">
        <f t="shared" si="1"/>
        <v>724.72440944881896</v>
      </c>
      <c r="I46" s="3">
        <v>3652</v>
      </c>
      <c r="J46" s="152">
        <f t="shared" si="2"/>
        <v>2646693.5433070865</v>
      </c>
      <c r="K46" s="153">
        <v>22000</v>
      </c>
      <c r="L46" s="154">
        <f t="shared" si="3"/>
        <v>3894000</v>
      </c>
      <c r="M46" s="153">
        <f t="shared" si="4"/>
        <v>1247306.4566929135</v>
      </c>
    </row>
    <row r="47" spans="2:13" x14ac:dyDescent="0.2">
      <c r="B47" s="162" t="s">
        <v>253</v>
      </c>
      <c r="C47" s="150" t="s">
        <v>1430</v>
      </c>
      <c r="D47" s="1">
        <v>6.35</v>
      </c>
      <c r="E47" s="151">
        <v>318</v>
      </c>
      <c r="F47" s="151">
        <v>27</v>
      </c>
      <c r="G47" s="151">
        <f t="shared" si="0"/>
        <v>8586</v>
      </c>
      <c r="H47" s="150">
        <f t="shared" si="1"/>
        <v>1352.1259842519685</v>
      </c>
      <c r="I47" s="3">
        <v>3652</v>
      </c>
      <c r="J47" s="152">
        <f t="shared" si="2"/>
        <v>4937964.0944881896</v>
      </c>
      <c r="K47" s="153">
        <v>23000</v>
      </c>
      <c r="L47" s="154">
        <f t="shared" si="3"/>
        <v>7314000</v>
      </c>
      <c r="M47" s="153">
        <f t="shared" si="4"/>
        <v>2376035.9055118104</v>
      </c>
    </row>
    <row r="48" spans="2:13" x14ac:dyDescent="0.2">
      <c r="B48" s="162" t="s">
        <v>253</v>
      </c>
      <c r="C48" s="150" t="s">
        <v>1431</v>
      </c>
      <c r="D48" s="1">
        <v>6.35</v>
      </c>
      <c r="E48" s="151">
        <v>335</v>
      </c>
      <c r="F48" s="151">
        <v>25.5</v>
      </c>
      <c r="G48" s="151">
        <f t="shared" si="0"/>
        <v>8542.5</v>
      </c>
      <c r="H48" s="150">
        <f t="shared" si="1"/>
        <v>1345.2755905511813</v>
      </c>
      <c r="I48" s="3">
        <v>3652</v>
      </c>
      <c r="J48" s="152">
        <f t="shared" si="2"/>
        <v>4912946.4566929135</v>
      </c>
      <c r="K48" s="153">
        <v>22000</v>
      </c>
      <c r="L48" s="154">
        <f t="shared" si="3"/>
        <v>7370000</v>
      </c>
      <c r="M48" s="153">
        <f t="shared" si="4"/>
        <v>2457053.5433070865</v>
      </c>
    </row>
    <row r="49" spans="4:13" x14ac:dyDescent="0.2">
      <c r="D49" s="1">
        <v>6.35</v>
      </c>
      <c r="E49" s="7">
        <f>SUM(E3:E48)</f>
        <v>14365</v>
      </c>
      <c r="H49" s="164">
        <f>SUM(H3:H48)</f>
        <v>56096.141732283482</v>
      </c>
      <c r="I49" s="3">
        <v>3652</v>
      </c>
      <c r="J49" s="135">
        <f>SUM(J3:J48)</f>
        <v>204863109.60629925</v>
      </c>
      <c r="L49" s="163">
        <f>SUM(L3:L48)</f>
        <v>318578000</v>
      </c>
      <c r="M49" s="48">
        <f>SUM(M3:M48)</f>
        <v>113714890.39370079</v>
      </c>
    </row>
    <row r="50" spans="4:13" x14ac:dyDescent="0.2">
      <c r="D50" s="1">
        <v>6.35</v>
      </c>
      <c r="I50" s="3">
        <v>3652</v>
      </c>
    </row>
    <row r="51" spans="4:13" x14ac:dyDescent="0.2">
      <c r="D51" s="1">
        <v>6.35</v>
      </c>
      <c r="I51" s="3">
        <v>3652</v>
      </c>
    </row>
    <row r="52" spans="4:13" x14ac:dyDescent="0.2">
      <c r="D52" s="1">
        <v>6.35</v>
      </c>
      <c r="I52" s="3">
        <v>3652</v>
      </c>
    </row>
    <row r="56" spans="4:13" x14ac:dyDescent="0.2">
      <c r="I56" s="3" t="s">
        <v>25</v>
      </c>
      <c r="J56" s="15">
        <v>204863109</v>
      </c>
    </row>
    <row r="57" spans="4:13" x14ac:dyDescent="0.2">
      <c r="I57" s="3" t="s">
        <v>27</v>
      </c>
      <c r="J57" s="9">
        <v>9314300</v>
      </c>
    </row>
    <row r="58" spans="4:13" x14ac:dyDescent="0.2">
      <c r="I58" s="3" t="s">
        <v>26</v>
      </c>
      <c r="J58" s="3">
        <v>5204300</v>
      </c>
    </row>
    <row r="59" spans="4:13" x14ac:dyDescent="0.2">
      <c r="I59" s="3" t="s">
        <v>33</v>
      </c>
      <c r="J59" s="3">
        <v>4000000</v>
      </c>
    </row>
    <row r="60" spans="4:13" x14ac:dyDescent="0.2">
      <c r="I60" s="3" t="s">
        <v>31</v>
      </c>
      <c r="J60" s="3">
        <v>6350000</v>
      </c>
    </row>
    <row r="61" spans="4:13" x14ac:dyDescent="0.2">
      <c r="I61" s="3" t="s">
        <v>36</v>
      </c>
      <c r="J61" s="3">
        <v>3410000</v>
      </c>
    </row>
    <row r="62" spans="4:13" x14ac:dyDescent="0.2">
      <c r="I62" s="3" t="s">
        <v>29</v>
      </c>
      <c r="J62" s="23">
        <v>15000000</v>
      </c>
    </row>
    <row r="63" spans="4:13" x14ac:dyDescent="0.2">
      <c r="I63" s="3" t="s">
        <v>34</v>
      </c>
      <c r="J63" s="127">
        <f>SUM(J56:J62)</f>
        <v>248141709</v>
      </c>
    </row>
    <row r="64" spans="4:13" x14ac:dyDescent="0.2">
      <c r="I64" s="3" t="s">
        <v>6</v>
      </c>
      <c r="J64" s="165">
        <v>318578000</v>
      </c>
    </row>
    <row r="65" spans="1:10" ht="18" x14ac:dyDescent="0.35">
      <c r="I65" s="3" t="s">
        <v>35</v>
      </c>
      <c r="J65" s="21">
        <f>J64-J63</f>
        <v>70436291</v>
      </c>
    </row>
    <row r="68" spans="1:10" x14ac:dyDescent="0.2">
      <c r="A68" t="s">
        <v>1495</v>
      </c>
      <c r="B68" t="s">
        <v>1496</v>
      </c>
      <c r="C68" t="s">
        <v>1497</v>
      </c>
      <c r="E68">
        <v>300</v>
      </c>
    </row>
    <row r="69" spans="1:10" x14ac:dyDescent="0.2">
      <c r="C69" t="s">
        <v>1498</v>
      </c>
      <c r="E69">
        <v>200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V89"/>
  <sheetViews>
    <sheetView topLeftCell="A26" workbookViewId="0">
      <selection activeCell="C26" sqref="C26"/>
    </sheetView>
  </sheetViews>
  <sheetFormatPr baseColWidth="10" defaultRowHeight="15" x14ac:dyDescent="0.2"/>
  <cols>
    <col min="3" max="3" width="20.83203125" customWidth="1"/>
    <col min="4" max="4" width="8.6640625" customWidth="1"/>
    <col min="6" max="6" width="8.83203125" customWidth="1"/>
    <col min="7" max="7" width="13.33203125" customWidth="1"/>
    <col min="9" max="9" width="19.83203125" customWidth="1"/>
    <col min="10" max="10" width="15.6640625" customWidth="1"/>
    <col min="11" max="11" width="9.5" customWidth="1"/>
    <col min="12" max="12" width="12.83203125" customWidth="1"/>
    <col min="13" max="13" width="17.1640625" customWidth="1"/>
  </cols>
  <sheetData>
    <row r="1" spans="1:22" ht="31" x14ac:dyDescent="0.35">
      <c r="A1" s="56" t="s">
        <v>1481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22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22" x14ac:dyDescent="0.2">
      <c r="A3" s="145" t="s">
        <v>1436</v>
      </c>
      <c r="B3" s="145" t="s">
        <v>7</v>
      </c>
      <c r="C3" s="145" t="s">
        <v>502</v>
      </c>
      <c r="D3" s="1">
        <v>6.34</v>
      </c>
      <c r="E3" s="149">
        <v>300</v>
      </c>
      <c r="F3" s="149">
        <v>28</v>
      </c>
      <c r="G3" s="149">
        <f t="shared" ref="G3:G52" si="0">E3*F3</f>
        <v>8400</v>
      </c>
      <c r="H3" s="145">
        <f t="shared" ref="H3:H52" si="1">G3/D3</f>
        <v>1324.9211356466876</v>
      </c>
      <c r="I3" s="3">
        <v>3642</v>
      </c>
      <c r="J3" s="146">
        <f t="shared" ref="J3:J52" si="2">F3/D3*I3*E3</f>
        <v>4825362.7760252366</v>
      </c>
      <c r="K3" s="147">
        <v>23000</v>
      </c>
      <c r="L3" s="148">
        <f t="shared" ref="L3:L52" si="3">K3*E3</f>
        <v>6900000</v>
      </c>
      <c r="M3" s="147">
        <f t="shared" ref="M3:M52" si="4">L3-J3</f>
        <v>2074637.2239747634</v>
      </c>
    </row>
    <row r="4" spans="1:22" x14ac:dyDescent="0.2">
      <c r="A4" s="145"/>
      <c r="B4" s="145" t="s">
        <v>7</v>
      </c>
      <c r="C4" s="145" t="s">
        <v>1492</v>
      </c>
      <c r="D4" s="1">
        <v>6.34</v>
      </c>
      <c r="E4" s="149">
        <v>700</v>
      </c>
      <c r="F4" s="149">
        <v>20.5</v>
      </c>
      <c r="G4" s="149">
        <f t="shared" si="0"/>
        <v>14350</v>
      </c>
      <c r="H4" s="145">
        <f t="shared" si="1"/>
        <v>2263.4069400630915</v>
      </c>
      <c r="I4" s="3">
        <v>3642</v>
      </c>
      <c r="J4" s="146">
        <f t="shared" si="2"/>
        <v>8243328.0757097788</v>
      </c>
      <c r="K4" s="147">
        <v>20000</v>
      </c>
      <c r="L4" s="148">
        <f t="shared" si="3"/>
        <v>14000000</v>
      </c>
      <c r="M4" s="147">
        <f t="shared" si="4"/>
        <v>5756671.9242902212</v>
      </c>
    </row>
    <row r="5" spans="1:22" x14ac:dyDescent="0.2">
      <c r="A5" s="1"/>
      <c r="B5" s="145" t="s">
        <v>253</v>
      </c>
      <c r="C5" s="145" t="s">
        <v>1437</v>
      </c>
      <c r="D5" s="1">
        <v>6.34</v>
      </c>
      <c r="E5" s="149">
        <v>300</v>
      </c>
      <c r="F5" s="149">
        <v>20</v>
      </c>
      <c r="G5" s="149">
        <f t="shared" si="0"/>
        <v>6000</v>
      </c>
      <c r="H5" s="145">
        <f t="shared" si="1"/>
        <v>946.37223974763413</v>
      </c>
      <c r="I5" s="3">
        <v>3642</v>
      </c>
      <c r="J5" s="146">
        <f t="shared" si="2"/>
        <v>3446687.6971608833</v>
      </c>
      <c r="K5" s="147">
        <v>18000</v>
      </c>
      <c r="L5" s="148">
        <f t="shared" si="3"/>
        <v>5400000</v>
      </c>
      <c r="M5" s="147">
        <f t="shared" si="4"/>
        <v>1953312.3028391167</v>
      </c>
    </row>
    <row r="6" spans="1:22" x14ac:dyDescent="0.2">
      <c r="A6" s="1"/>
      <c r="B6" s="145" t="s">
        <v>7</v>
      </c>
      <c r="C6" s="145" t="s">
        <v>1438</v>
      </c>
      <c r="D6" s="1">
        <v>6.34</v>
      </c>
      <c r="E6" s="149">
        <v>500</v>
      </c>
      <c r="F6" s="149">
        <v>24</v>
      </c>
      <c r="G6" s="149">
        <f t="shared" si="0"/>
        <v>12000</v>
      </c>
      <c r="H6" s="145">
        <f t="shared" si="1"/>
        <v>1892.7444794952683</v>
      </c>
      <c r="I6" s="3">
        <v>3642</v>
      </c>
      <c r="J6" s="146">
        <f t="shared" si="2"/>
        <v>6893375.3943217658</v>
      </c>
      <c r="K6" s="147">
        <v>20000</v>
      </c>
      <c r="L6" s="148">
        <f t="shared" si="3"/>
        <v>10000000</v>
      </c>
      <c r="M6" s="147">
        <f t="shared" si="4"/>
        <v>3106624.6056782342</v>
      </c>
      <c r="T6" t="s">
        <v>1503</v>
      </c>
    </row>
    <row r="7" spans="1:22" x14ac:dyDescent="0.2">
      <c r="A7" s="1"/>
      <c r="B7" s="145" t="s">
        <v>1505</v>
      </c>
      <c r="C7" s="145" t="s">
        <v>1493</v>
      </c>
      <c r="D7" s="1">
        <v>6.34</v>
      </c>
      <c r="E7" s="149">
        <v>700</v>
      </c>
      <c r="F7" s="149">
        <v>23</v>
      </c>
      <c r="G7" s="149">
        <f t="shared" si="0"/>
        <v>16100</v>
      </c>
      <c r="H7" s="145">
        <f t="shared" si="1"/>
        <v>2539.4321766561516</v>
      </c>
      <c r="I7" s="3">
        <v>3642</v>
      </c>
      <c r="J7" s="146">
        <f t="shared" si="2"/>
        <v>9248611.9873817042</v>
      </c>
      <c r="K7" s="147">
        <v>20000</v>
      </c>
      <c r="L7" s="148">
        <f t="shared" si="3"/>
        <v>14000000</v>
      </c>
      <c r="M7" s="147">
        <f t="shared" si="4"/>
        <v>4751388.0126182958</v>
      </c>
      <c r="O7" t="s">
        <v>1499</v>
      </c>
      <c r="S7" t="s">
        <v>1500</v>
      </c>
      <c r="T7" t="s">
        <v>1502</v>
      </c>
      <c r="U7" t="s">
        <v>1501</v>
      </c>
    </row>
    <row r="8" spans="1:22" x14ac:dyDescent="0.2">
      <c r="A8" s="1"/>
      <c r="B8" s="145" t="s">
        <v>7</v>
      </c>
      <c r="C8" s="145" t="s">
        <v>1365</v>
      </c>
      <c r="D8" s="1">
        <v>6.34</v>
      </c>
      <c r="E8" s="149">
        <v>300</v>
      </c>
      <c r="F8" s="149">
        <v>22</v>
      </c>
      <c r="G8" s="149">
        <f t="shared" si="0"/>
        <v>6600</v>
      </c>
      <c r="H8" s="145">
        <f t="shared" si="1"/>
        <v>1041.0094637223974</v>
      </c>
      <c r="I8" s="3">
        <v>3642</v>
      </c>
      <c r="J8" s="146">
        <f t="shared" si="2"/>
        <v>3791356.4668769715</v>
      </c>
      <c r="K8" s="147">
        <v>22000</v>
      </c>
      <c r="L8" s="148">
        <f t="shared" si="3"/>
        <v>6600000</v>
      </c>
      <c r="M8" s="147">
        <f t="shared" si="4"/>
        <v>2808643.5331230285</v>
      </c>
      <c r="V8" t="s">
        <v>1504</v>
      </c>
    </row>
    <row r="9" spans="1:22" x14ac:dyDescent="0.2">
      <c r="A9" s="1"/>
      <c r="B9" s="145" t="s">
        <v>253</v>
      </c>
      <c r="C9" s="145" t="s">
        <v>1440</v>
      </c>
      <c r="D9" s="1">
        <v>6.34</v>
      </c>
      <c r="E9" s="149">
        <v>300</v>
      </c>
      <c r="F9" s="149">
        <v>22</v>
      </c>
      <c r="G9" s="149">
        <f t="shared" si="0"/>
        <v>6600</v>
      </c>
      <c r="H9" s="145">
        <f t="shared" si="1"/>
        <v>1041.0094637223974</v>
      </c>
      <c r="I9" s="3">
        <v>3642</v>
      </c>
      <c r="J9" s="146">
        <f t="shared" si="2"/>
        <v>3791356.4668769715</v>
      </c>
      <c r="K9" s="147">
        <v>22000</v>
      </c>
      <c r="L9" s="148">
        <f t="shared" si="3"/>
        <v>6600000</v>
      </c>
      <c r="M9" s="147">
        <f t="shared" si="4"/>
        <v>2808643.5331230285</v>
      </c>
    </row>
    <row r="10" spans="1:22" x14ac:dyDescent="0.2">
      <c r="A10" s="1"/>
      <c r="B10" s="145" t="s">
        <v>253</v>
      </c>
      <c r="C10" s="145" t="s">
        <v>1441</v>
      </c>
      <c r="D10" s="1">
        <v>6.34</v>
      </c>
      <c r="E10" s="149">
        <v>300</v>
      </c>
      <c r="F10" s="149">
        <v>23</v>
      </c>
      <c r="G10" s="149">
        <f t="shared" si="0"/>
        <v>6900</v>
      </c>
      <c r="H10" s="145">
        <f t="shared" si="1"/>
        <v>1088.3280757097791</v>
      </c>
      <c r="I10" s="3">
        <v>3642</v>
      </c>
      <c r="J10" s="146">
        <f t="shared" si="2"/>
        <v>3963690.8517350159</v>
      </c>
      <c r="K10" s="147">
        <v>22000</v>
      </c>
      <c r="L10" s="148">
        <f t="shared" si="3"/>
        <v>6600000</v>
      </c>
      <c r="M10" s="147">
        <f t="shared" si="4"/>
        <v>2636309.1482649841</v>
      </c>
    </row>
    <row r="11" spans="1:22" x14ac:dyDescent="0.2">
      <c r="A11" s="1"/>
      <c r="B11" s="145" t="s">
        <v>253</v>
      </c>
      <c r="C11" s="145" t="s">
        <v>1442</v>
      </c>
      <c r="D11" s="1">
        <v>6.34</v>
      </c>
      <c r="E11" s="149">
        <v>300</v>
      </c>
      <c r="F11" s="149">
        <v>23</v>
      </c>
      <c r="G11" s="149">
        <f t="shared" si="0"/>
        <v>6900</v>
      </c>
      <c r="H11" s="145">
        <f t="shared" si="1"/>
        <v>1088.3280757097791</v>
      </c>
      <c r="I11" s="3">
        <v>3642</v>
      </c>
      <c r="J11" s="146">
        <f t="shared" si="2"/>
        <v>3963690.8517350159</v>
      </c>
      <c r="K11" s="147">
        <v>22000</v>
      </c>
      <c r="L11" s="148">
        <f t="shared" si="3"/>
        <v>6600000</v>
      </c>
      <c r="M11" s="147">
        <f t="shared" si="4"/>
        <v>2636309.1482649841</v>
      </c>
    </row>
    <row r="12" spans="1:22" x14ac:dyDescent="0.2">
      <c r="A12" s="1"/>
      <c r="B12" s="145" t="s">
        <v>253</v>
      </c>
      <c r="C12" s="145" t="s">
        <v>1443</v>
      </c>
      <c r="D12" s="1">
        <v>6.34</v>
      </c>
      <c r="E12" s="149">
        <v>300</v>
      </c>
      <c r="F12" s="149">
        <v>23</v>
      </c>
      <c r="G12" s="149">
        <f t="shared" si="0"/>
        <v>6900</v>
      </c>
      <c r="H12" s="145">
        <f t="shared" si="1"/>
        <v>1088.3280757097791</v>
      </c>
      <c r="I12" s="3">
        <v>3642</v>
      </c>
      <c r="J12" s="146">
        <f t="shared" si="2"/>
        <v>3963690.8517350159</v>
      </c>
      <c r="K12" s="147">
        <v>22000</v>
      </c>
      <c r="L12" s="148">
        <f t="shared" si="3"/>
        <v>6600000</v>
      </c>
      <c r="M12" s="147">
        <f t="shared" si="4"/>
        <v>2636309.1482649841</v>
      </c>
    </row>
    <row r="13" spans="1:22" x14ac:dyDescent="0.2">
      <c r="A13" s="1"/>
      <c r="B13" s="145" t="s">
        <v>253</v>
      </c>
      <c r="C13" s="145" t="s">
        <v>1444</v>
      </c>
      <c r="D13" s="1">
        <v>6.34</v>
      </c>
      <c r="E13" s="149">
        <v>200</v>
      </c>
      <c r="F13" s="149">
        <v>24</v>
      </c>
      <c r="G13" s="149">
        <f t="shared" si="0"/>
        <v>4800</v>
      </c>
      <c r="H13" s="145">
        <f t="shared" si="1"/>
        <v>757.09779179810732</v>
      </c>
      <c r="I13" s="3">
        <v>3642</v>
      </c>
      <c r="J13" s="146">
        <f t="shared" si="2"/>
        <v>2757350.1577287065</v>
      </c>
      <c r="K13" s="147">
        <v>22000</v>
      </c>
      <c r="L13" s="148">
        <f t="shared" si="3"/>
        <v>4400000</v>
      </c>
      <c r="M13" s="147">
        <f t="shared" si="4"/>
        <v>1642649.8422712935</v>
      </c>
    </row>
    <row r="14" spans="1:22" x14ac:dyDescent="0.2">
      <c r="A14" s="1"/>
      <c r="B14" s="145" t="s">
        <v>253</v>
      </c>
      <c r="C14" s="145" t="s">
        <v>1445</v>
      </c>
      <c r="D14" s="1">
        <v>6.34</v>
      </c>
      <c r="E14" s="149">
        <v>300</v>
      </c>
      <c r="F14" s="149">
        <v>25</v>
      </c>
      <c r="G14" s="149">
        <f t="shared" si="0"/>
        <v>7500</v>
      </c>
      <c r="H14" s="145">
        <f t="shared" si="1"/>
        <v>1182.9652996845425</v>
      </c>
      <c r="I14" s="3">
        <v>3642</v>
      </c>
      <c r="J14" s="146">
        <f t="shared" si="2"/>
        <v>4308359.6214511041</v>
      </c>
      <c r="K14" s="147">
        <v>22000</v>
      </c>
      <c r="L14" s="148">
        <f t="shared" si="3"/>
        <v>6600000</v>
      </c>
      <c r="M14" s="147">
        <f t="shared" si="4"/>
        <v>2291640.3785488959</v>
      </c>
    </row>
    <row r="15" spans="1:22" x14ac:dyDescent="0.2">
      <c r="A15" s="1"/>
      <c r="B15" s="145" t="s">
        <v>253</v>
      </c>
      <c r="C15" s="145" t="s">
        <v>1446</v>
      </c>
      <c r="D15" s="1">
        <v>6.34</v>
      </c>
      <c r="E15" s="149">
        <v>300</v>
      </c>
      <c r="F15" s="149">
        <v>28</v>
      </c>
      <c r="G15" s="149">
        <f t="shared" si="0"/>
        <v>8400</v>
      </c>
      <c r="H15" s="145">
        <f t="shared" si="1"/>
        <v>1324.9211356466876</v>
      </c>
      <c r="I15" s="3">
        <v>3642</v>
      </c>
      <c r="J15" s="146">
        <f t="shared" si="2"/>
        <v>4825362.7760252366</v>
      </c>
      <c r="K15" s="147">
        <v>23000</v>
      </c>
      <c r="L15" s="148">
        <f t="shared" si="3"/>
        <v>6900000</v>
      </c>
      <c r="M15" s="147">
        <f t="shared" si="4"/>
        <v>2074637.2239747634</v>
      </c>
    </row>
    <row r="16" spans="1:22" x14ac:dyDescent="0.2">
      <c r="A16" s="1"/>
      <c r="B16" s="145" t="s">
        <v>253</v>
      </c>
      <c r="C16" s="145" t="s">
        <v>1447</v>
      </c>
      <c r="D16" s="1">
        <v>6.34</v>
      </c>
      <c r="E16" s="149">
        <v>300</v>
      </c>
      <c r="F16" s="149">
        <v>26</v>
      </c>
      <c r="G16" s="149">
        <f t="shared" si="0"/>
        <v>7800</v>
      </c>
      <c r="H16" s="145">
        <f t="shared" si="1"/>
        <v>1230.2839116719242</v>
      </c>
      <c r="I16" s="3">
        <v>3642</v>
      </c>
      <c r="J16" s="146">
        <f t="shared" si="2"/>
        <v>4480694.0063091489</v>
      </c>
      <c r="K16" s="147">
        <v>23000</v>
      </c>
      <c r="L16" s="148">
        <f t="shared" si="3"/>
        <v>6900000</v>
      </c>
      <c r="M16" s="147">
        <f t="shared" si="4"/>
        <v>2419305.9936908511</v>
      </c>
    </row>
    <row r="17" spans="1:13" x14ac:dyDescent="0.2">
      <c r="A17" s="1"/>
      <c r="B17" s="145" t="s">
        <v>7</v>
      </c>
      <c r="C17" s="145" t="s">
        <v>1448</v>
      </c>
      <c r="D17" s="1">
        <v>6.34</v>
      </c>
      <c r="E17" s="149">
        <v>200</v>
      </c>
      <c r="F17" s="149">
        <v>29</v>
      </c>
      <c r="G17" s="149">
        <f t="shared" si="0"/>
        <v>5800</v>
      </c>
      <c r="H17" s="145">
        <f t="shared" si="1"/>
        <v>914.82649842271292</v>
      </c>
      <c r="I17" s="3">
        <v>3642</v>
      </c>
      <c r="J17" s="146">
        <f t="shared" si="2"/>
        <v>3331798.1072555203</v>
      </c>
      <c r="K17" s="147">
        <v>25000</v>
      </c>
      <c r="L17" s="148">
        <f t="shared" si="3"/>
        <v>5000000</v>
      </c>
      <c r="M17" s="147">
        <f t="shared" si="4"/>
        <v>1668201.8927444797</v>
      </c>
    </row>
    <row r="18" spans="1:13" x14ac:dyDescent="0.2">
      <c r="A18" s="1"/>
      <c r="B18" s="145" t="s">
        <v>253</v>
      </c>
      <c r="C18" s="145" t="s">
        <v>1408</v>
      </c>
      <c r="D18" s="1">
        <v>6.34</v>
      </c>
      <c r="E18" s="149">
        <v>200</v>
      </c>
      <c r="F18" s="149">
        <v>28</v>
      </c>
      <c r="G18" s="149">
        <f t="shared" si="0"/>
        <v>5600</v>
      </c>
      <c r="H18" s="145">
        <f t="shared" si="1"/>
        <v>883.28075709779182</v>
      </c>
      <c r="I18" s="3">
        <v>3642</v>
      </c>
      <c r="J18" s="146">
        <f t="shared" si="2"/>
        <v>3216908.5173501577</v>
      </c>
      <c r="K18" s="147">
        <v>25000</v>
      </c>
      <c r="L18" s="148">
        <f t="shared" si="3"/>
        <v>5000000</v>
      </c>
      <c r="M18" s="147">
        <f t="shared" si="4"/>
        <v>1783091.4826498423</v>
      </c>
    </row>
    <row r="19" spans="1:13" x14ac:dyDescent="0.2">
      <c r="A19" s="1"/>
      <c r="B19" s="145" t="s">
        <v>253</v>
      </c>
      <c r="C19" s="145" t="s">
        <v>1449</v>
      </c>
      <c r="D19" s="1">
        <v>6.34</v>
      </c>
      <c r="E19" s="149">
        <v>200</v>
      </c>
      <c r="F19" s="149">
        <v>23</v>
      </c>
      <c r="G19" s="149">
        <f t="shared" si="0"/>
        <v>4600</v>
      </c>
      <c r="H19" s="145">
        <f t="shared" si="1"/>
        <v>725.55205047318611</v>
      </c>
      <c r="I19" s="3">
        <v>3642</v>
      </c>
      <c r="J19" s="146">
        <f t="shared" si="2"/>
        <v>2642460.5678233439</v>
      </c>
      <c r="K19" s="147">
        <v>20000</v>
      </c>
      <c r="L19" s="148">
        <f t="shared" si="3"/>
        <v>4000000</v>
      </c>
      <c r="M19" s="147">
        <f t="shared" si="4"/>
        <v>1357539.4321766561</v>
      </c>
    </row>
    <row r="20" spans="1:13" x14ac:dyDescent="0.2">
      <c r="A20" s="1"/>
      <c r="B20" s="145" t="s">
        <v>253</v>
      </c>
      <c r="C20" s="145" t="s">
        <v>1449</v>
      </c>
      <c r="D20" s="1">
        <v>6.34</v>
      </c>
      <c r="E20" s="149">
        <v>150</v>
      </c>
      <c r="F20" s="149">
        <v>28</v>
      </c>
      <c r="G20" s="149">
        <f t="shared" si="0"/>
        <v>4200</v>
      </c>
      <c r="H20" s="145">
        <f t="shared" si="1"/>
        <v>662.46056782334381</v>
      </c>
      <c r="I20" s="3">
        <v>3642</v>
      </c>
      <c r="J20" s="146">
        <f t="shared" si="2"/>
        <v>2412681.3880126183</v>
      </c>
      <c r="K20" s="147">
        <v>23000</v>
      </c>
      <c r="L20" s="148">
        <f t="shared" si="3"/>
        <v>3450000</v>
      </c>
      <c r="M20" s="147">
        <f t="shared" si="4"/>
        <v>1037318.6119873817</v>
      </c>
    </row>
    <row r="21" spans="1:13" x14ac:dyDescent="0.2">
      <c r="A21" s="1"/>
      <c r="B21" s="145" t="s">
        <v>7</v>
      </c>
      <c r="C21" s="145" t="s">
        <v>1376</v>
      </c>
      <c r="D21" s="1">
        <v>6.34</v>
      </c>
      <c r="E21" s="149">
        <v>300</v>
      </c>
      <c r="F21" s="149">
        <v>31</v>
      </c>
      <c r="G21" s="149">
        <f t="shared" si="0"/>
        <v>9300</v>
      </c>
      <c r="H21" s="145">
        <f t="shared" si="1"/>
        <v>1466.8769716088329</v>
      </c>
      <c r="I21" s="3">
        <v>3642</v>
      </c>
      <c r="J21" s="146">
        <f t="shared" si="2"/>
        <v>5342365.9305993691</v>
      </c>
      <c r="K21" s="147">
        <v>25000</v>
      </c>
      <c r="L21" s="148">
        <f t="shared" si="3"/>
        <v>7500000</v>
      </c>
      <c r="M21" s="147">
        <f t="shared" si="4"/>
        <v>2157634.0694006309</v>
      </c>
    </row>
    <row r="22" spans="1:13" x14ac:dyDescent="0.2">
      <c r="A22" s="1"/>
      <c r="B22" s="1"/>
      <c r="C22" s="145" t="s">
        <v>1450</v>
      </c>
      <c r="D22" s="1">
        <v>6.34</v>
      </c>
      <c r="E22" s="149">
        <v>300</v>
      </c>
      <c r="F22" s="149">
        <v>29</v>
      </c>
      <c r="G22" s="149">
        <f t="shared" si="0"/>
        <v>8700</v>
      </c>
      <c r="H22" s="145">
        <f t="shared" si="1"/>
        <v>1372.2397476340695</v>
      </c>
      <c r="I22" s="3">
        <v>3642</v>
      </c>
      <c r="J22" s="146">
        <f t="shared" si="2"/>
        <v>4997697.1608832804</v>
      </c>
      <c r="K22" s="147">
        <v>25000</v>
      </c>
      <c r="L22" s="148">
        <f t="shared" si="3"/>
        <v>7500000</v>
      </c>
      <c r="M22" s="147">
        <f t="shared" si="4"/>
        <v>2502302.8391167196</v>
      </c>
    </row>
    <row r="23" spans="1:13" x14ac:dyDescent="0.2">
      <c r="A23" s="1"/>
      <c r="B23" s="1"/>
      <c r="C23" s="145" t="s">
        <v>1451</v>
      </c>
      <c r="D23" s="1">
        <v>6.34</v>
      </c>
      <c r="E23" s="149">
        <v>400</v>
      </c>
      <c r="F23" s="149">
        <v>25</v>
      </c>
      <c r="G23" s="149">
        <f t="shared" si="0"/>
        <v>10000</v>
      </c>
      <c r="H23" s="145">
        <f t="shared" si="1"/>
        <v>1577.2870662460568</v>
      </c>
      <c r="I23" s="3">
        <v>3642</v>
      </c>
      <c r="J23" s="146">
        <f t="shared" si="2"/>
        <v>5744479.4952681391</v>
      </c>
      <c r="K23" s="147">
        <v>22000</v>
      </c>
      <c r="L23" s="148">
        <f t="shared" si="3"/>
        <v>8800000</v>
      </c>
      <c r="M23" s="147">
        <f t="shared" si="4"/>
        <v>3055520.5047318609</v>
      </c>
    </row>
    <row r="24" spans="1:13" x14ac:dyDescent="0.2">
      <c r="A24" s="1"/>
      <c r="B24" s="1" t="s">
        <v>1453</v>
      </c>
      <c r="C24" s="145" t="s">
        <v>1494</v>
      </c>
      <c r="D24" s="1">
        <v>6.34</v>
      </c>
      <c r="E24" s="149">
        <v>600</v>
      </c>
      <c r="F24" s="149">
        <v>45</v>
      </c>
      <c r="G24" s="149">
        <f t="shared" si="0"/>
        <v>27000</v>
      </c>
      <c r="H24" s="145">
        <f t="shared" si="1"/>
        <v>4258.6750788643531</v>
      </c>
      <c r="I24" s="3">
        <v>3642</v>
      </c>
      <c r="J24" s="146">
        <f t="shared" si="2"/>
        <v>15510094.637223976</v>
      </c>
      <c r="K24" s="147">
        <v>40000</v>
      </c>
      <c r="L24" s="148">
        <f t="shared" si="3"/>
        <v>24000000</v>
      </c>
      <c r="M24" s="147">
        <f t="shared" si="4"/>
        <v>8489905.3627760243</v>
      </c>
    </row>
    <row r="25" spans="1:13" x14ac:dyDescent="0.2">
      <c r="A25" s="1"/>
      <c r="B25" s="1" t="s">
        <v>1087</v>
      </c>
      <c r="C25" s="145" t="s">
        <v>1454</v>
      </c>
      <c r="D25" s="1">
        <v>6.34</v>
      </c>
      <c r="E25" s="149">
        <v>210</v>
      </c>
      <c r="F25" s="149">
        <v>20</v>
      </c>
      <c r="G25" s="149">
        <f t="shared" si="0"/>
        <v>4200</v>
      </c>
      <c r="H25" s="145">
        <f t="shared" si="1"/>
        <v>662.46056782334381</v>
      </c>
      <c r="I25" s="3">
        <v>3642</v>
      </c>
      <c r="J25" s="146">
        <f t="shared" si="2"/>
        <v>2412681.3880126183</v>
      </c>
      <c r="K25" s="147">
        <v>25000</v>
      </c>
      <c r="L25" s="148">
        <f t="shared" si="3"/>
        <v>5250000</v>
      </c>
      <c r="M25" s="147">
        <f t="shared" si="4"/>
        <v>2837318.6119873817</v>
      </c>
    </row>
    <row r="26" spans="1:13" x14ac:dyDescent="0.2">
      <c r="A26" s="1"/>
      <c r="B26" s="1" t="s">
        <v>1087</v>
      </c>
      <c r="C26" s="145" t="s">
        <v>1455</v>
      </c>
      <c r="D26" s="1">
        <v>6.34</v>
      </c>
      <c r="E26" s="149">
        <v>220</v>
      </c>
      <c r="F26" s="149">
        <v>22</v>
      </c>
      <c r="G26" s="149">
        <f t="shared" si="0"/>
        <v>4840</v>
      </c>
      <c r="H26" s="145">
        <f t="shared" si="1"/>
        <v>763.4069400630915</v>
      </c>
      <c r="I26" s="3">
        <v>3642</v>
      </c>
      <c r="J26" s="146">
        <f t="shared" si="2"/>
        <v>2780328.0757097793</v>
      </c>
      <c r="K26" s="147">
        <v>25000</v>
      </c>
      <c r="L26" s="148">
        <f t="shared" si="3"/>
        <v>5500000</v>
      </c>
      <c r="M26" s="147">
        <f t="shared" si="4"/>
        <v>2719671.9242902207</v>
      </c>
    </row>
    <row r="27" spans="1:13" x14ac:dyDescent="0.2">
      <c r="A27" s="1"/>
      <c r="B27" s="1" t="s">
        <v>1456</v>
      </c>
      <c r="C27" s="145" t="s">
        <v>253</v>
      </c>
      <c r="D27" s="1">
        <v>6.34</v>
      </c>
      <c r="E27" s="149">
        <v>150</v>
      </c>
      <c r="F27" s="149">
        <v>25</v>
      </c>
      <c r="G27" s="149">
        <f t="shared" si="0"/>
        <v>3750</v>
      </c>
      <c r="H27" s="145">
        <f t="shared" si="1"/>
        <v>591.48264984227126</v>
      </c>
      <c r="I27" s="3">
        <v>3642</v>
      </c>
      <c r="J27" s="146">
        <f t="shared" si="2"/>
        <v>2154179.810725552</v>
      </c>
      <c r="K27" s="147">
        <v>25000</v>
      </c>
      <c r="L27" s="148">
        <f t="shared" si="3"/>
        <v>3750000</v>
      </c>
      <c r="M27" s="147">
        <f t="shared" si="4"/>
        <v>1595820.189274448</v>
      </c>
    </row>
    <row r="28" spans="1:13" x14ac:dyDescent="0.2">
      <c r="A28" s="1"/>
      <c r="B28" s="1" t="s">
        <v>1457</v>
      </c>
      <c r="C28" s="145" t="s">
        <v>1458</v>
      </c>
      <c r="D28" s="1">
        <v>6.34</v>
      </c>
      <c r="E28" s="149">
        <v>150</v>
      </c>
      <c r="F28" s="149">
        <v>25</v>
      </c>
      <c r="G28" s="149">
        <f t="shared" si="0"/>
        <v>3750</v>
      </c>
      <c r="H28" s="145">
        <f t="shared" si="1"/>
        <v>591.48264984227126</v>
      </c>
      <c r="I28" s="3">
        <v>3642</v>
      </c>
      <c r="J28" s="146">
        <f t="shared" si="2"/>
        <v>2154179.810725552</v>
      </c>
      <c r="K28" s="147">
        <v>25000</v>
      </c>
      <c r="L28" s="148">
        <f t="shared" si="3"/>
        <v>3750000</v>
      </c>
      <c r="M28" s="147">
        <f t="shared" si="4"/>
        <v>1595820.189274448</v>
      </c>
    </row>
    <row r="29" spans="1:13" x14ac:dyDescent="0.2">
      <c r="A29" s="1"/>
      <c r="B29" s="1" t="s">
        <v>253</v>
      </c>
      <c r="C29" s="145" t="s">
        <v>1459</v>
      </c>
      <c r="D29" s="1">
        <v>6.34</v>
      </c>
      <c r="E29" s="149">
        <v>150</v>
      </c>
      <c r="F29" s="149">
        <v>25</v>
      </c>
      <c r="G29" s="149">
        <f t="shared" si="0"/>
        <v>3750</v>
      </c>
      <c r="H29" s="145">
        <f t="shared" si="1"/>
        <v>591.48264984227126</v>
      </c>
      <c r="I29" s="3">
        <v>3642</v>
      </c>
      <c r="J29" s="146">
        <f t="shared" si="2"/>
        <v>2154179.810725552</v>
      </c>
      <c r="K29" s="147">
        <v>25000</v>
      </c>
      <c r="L29" s="148">
        <f t="shared" si="3"/>
        <v>3750000</v>
      </c>
      <c r="M29" s="147">
        <f t="shared" si="4"/>
        <v>1595820.189274448</v>
      </c>
    </row>
    <row r="30" spans="1:13" x14ac:dyDescent="0.2">
      <c r="A30" s="1"/>
      <c r="B30" s="1" t="s">
        <v>253</v>
      </c>
      <c r="C30" s="145" t="s">
        <v>1460</v>
      </c>
      <c r="D30" s="1">
        <v>6.34</v>
      </c>
      <c r="E30" s="149">
        <v>150</v>
      </c>
      <c r="F30" s="149">
        <v>20</v>
      </c>
      <c r="G30" s="149">
        <f t="shared" si="0"/>
        <v>3000</v>
      </c>
      <c r="H30" s="145">
        <f t="shared" si="1"/>
        <v>473.18611987381706</v>
      </c>
      <c r="I30" s="3">
        <v>3642</v>
      </c>
      <c r="J30" s="146">
        <f t="shared" si="2"/>
        <v>1723343.8485804417</v>
      </c>
      <c r="K30" s="147">
        <v>20000</v>
      </c>
      <c r="L30" s="148">
        <f t="shared" si="3"/>
        <v>3000000</v>
      </c>
      <c r="M30" s="147">
        <f t="shared" si="4"/>
        <v>1276656.1514195583</v>
      </c>
    </row>
    <row r="31" spans="1:13" x14ac:dyDescent="0.2">
      <c r="A31" s="1"/>
      <c r="B31" s="1" t="s">
        <v>253</v>
      </c>
      <c r="C31" s="145" t="s">
        <v>1461</v>
      </c>
      <c r="D31" s="1">
        <v>6.34</v>
      </c>
      <c r="E31" s="149">
        <v>100</v>
      </c>
      <c r="F31" s="149">
        <v>20</v>
      </c>
      <c r="G31" s="149">
        <f t="shared" si="0"/>
        <v>2000</v>
      </c>
      <c r="H31" s="145">
        <f t="shared" si="1"/>
        <v>315.45741324921136</v>
      </c>
      <c r="I31" s="3">
        <v>3642</v>
      </c>
      <c r="J31" s="146">
        <f t="shared" si="2"/>
        <v>1148895.8990536276</v>
      </c>
      <c r="K31" s="147">
        <v>20000</v>
      </c>
      <c r="L31" s="148">
        <f t="shared" si="3"/>
        <v>2000000</v>
      </c>
      <c r="M31" s="147">
        <f t="shared" si="4"/>
        <v>851104.10094637237</v>
      </c>
    </row>
    <row r="32" spans="1:13" x14ac:dyDescent="0.2">
      <c r="A32" s="1"/>
      <c r="B32" s="1" t="s">
        <v>1070</v>
      </c>
      <c r="C32" s="145" t="s">
        <v>1480</v>
      </c>
      <c r="D32" s="1">
        <v>6.34</v>
      </c>
      <c r="E32" s="149">
        <v>355</v>
      </c>
      <c r="F32" s="149">
        <v>18</v>
      </c>
      <c r="G32" s="149">
        <f t="shared" si="0"/>
        <v>6390</v>
      </c>
      <c r="H32" s="145">
        <f t="shared" si="1"/>
        <v>1007.8864353312304</v>
      </c>
      <c r="I32" s="3">
        <v>3642</v>
      </c>
      <c r="J32" s="146">
        <f t="shared" si="2"/>
        <v>3670722.3974763411</v>
      </c>
      <c r="K32" s="147">
        <v>18000</v>
      </c>
      <c r="L32" s="148">
        <f t="shared" si="3"/>
        <v>6390000</v>
      </c>
      <c r="M32" s="147">
        <f t="shared" si="4"/>
        <v>2719277.6025236589</v>
      </c>
    </row>
    <row r="33" spans="1:13" x14ac:dyDescent="0.2">
      <c r="A33" s="1"/>
      <c r="B33" s="1" t="s">
        <v>1070</v>
      </c>
      <c r="C33" s="145" t="s">
        <v>1462</v>
      </c>
      <c r="D33" s="1">
        <v>6.34</v>
      </c>
      <c r="E33" s="149">
        <v>217</v>
      </c>
      <c r="F33" s="149">
        <v>22</v>
      </c>
      <c r="G33" s="149">
        <f t="shared" si="0"/>
        <v>4774</v>
      </c>
      <c r="H33" s="145">
        <f t="shared" si="1"/>
        <v>752.99684542586749</v>
      </c>
      <c r="I33" s="3">
        <v>3642</v>
      </c>
      <c r="J33" s="146">
        <f t="shared" si="2"/>
        <v>2742414.5110410093</v>
      </c>
      <c r="K33" s="147">
        <v>20000</v>
      </c>
      <c r="L33" s="148">
        <f t="shared" si="3"/>
        <v>4340000</v>
      </c>
      <c r="M33" s="147">
        <f t="shared" si="4"/>
        <v>1597585.4889589907</v>
      </c>
    </row>
    <row r="34" spans="1:13" x14ac:dyDescent="0.2">
      <c r="A34" s="1"/>
      <c r="B34" s="1" t="s">
        <v>1155</v>
      </c>
      <c r="C34" s="145" t="s">
        <v>1474</v>
      </c>
      <c r="D34" s="1">
        <v>6.34</v>
      </c>
      <c r="E34" s="149">
        <v>200</v>
      </c>
      <c r="F34" s="149">
        <v>25</v>
      </c>
      <c r="G34" s="149">
        <f t="shared" si="0"/>
        <v>5000</v>
      </c>
      <c r="H34" s="145">
        <f t="shared" si="1"/>
        <v>788.64353312302842</v>
      </c>
      <c r="I34" s="3">
        <v>3642</v>
      </c>
      <c r="J34" s="146">
        <f t="shared" si="2"/>
        <v>2872239.7476340695</v>
      </c>
      <c r="K34" s="147">
        <v>25000</v>
      </c>
      <c r="L34" s="148">
        <f t="shared" si="3"/>
        <v>5000000</v>
      </c>
      <c r="M34" s="147">
        <f t="shared" si="4"/>
        <v>2127760.2523659305</v>
      </c>
    </row>
    <row r="35" spans="1:13" x14ac:dyDescent="0.2">
      <c r="A35" s="1"/>
      <c r="B35" s="1" t="s">
        <v>1475</v>
      </c>
      <c r="C35" s="145" t="s">
        <v>1476</v>
      </c>
      <c r="D35" s="1">
        <v>6.34</v>
      </c>
      <c r="E35" s="149">
        <v>160</v>
      </c>
      <c r="F35" s="149">
        <v>31</v>
      </c>
      <c r="G35" s="149">
        <f t="shared" si="0"/>
        <v>4960</v>
      </c>
      <c r="H35" s="145">
        <f t="shared" si="1"/>
        <v>782.33438485804413</v>
      </c>
      <c r="I35" s="3">
        <v>3642</v>
      </c>
      <c r="J35" s="146">
        <f t="shared" si="2"/>
        <v>2849261.8296529967</v>
      </c>
      <c r="K35" s="147">
        <v>30000</v>
      </c>
      <c r="L35" s="148">
        <f t="shared" si="3"/>
        <v>4800000</v>
      </c>
      <c r="M35" s="147">
        <f t="shared" si="4"/>
        <v>1950738.1703470033</v>
      </c>
    </row>
    <row r="36" spans="1:13" x14ac:dyDescent="0.2">
      <c r="A36" s="1"/>
      <c r="B36" s="1" t="s">
        <v>253</v>
      </c>
      <c r="C36" s="145" t="s">
        <v>1477</v>
      </c>
      <c r="D36" s="1">
        <v>6.34</v>
      </c>
      <c r="E36" s="149">
        <v>89</v>
      </c>
      <c r="F36" s="149">
        <v>28</v>
      </c>
      <c r="G36" s="149">
        <f t="shared" si="0"/>
        <v>2492</v>
      </c>
      <c r="H36" s="145">
        <f t="shared" si="1"/>
        <v>393.05993690851739</v>
      </c>
      <c r="I36" s="3">
        <v>3642</v>
      </c>
      <c r="J36" s="146">
        <f t="shared" si="2"/>
        <v>1431524.2902208203</v>
      </c>
      <c r="K36" s="147">
        <v>30000</v>
      </c>
      <c r="L36" s="148">
        <f t="shared" si="3"/>
        <v>2670000</v>
      </c>
      <c r="M36" s="147">
        <f t="shared" si="4"/>
        <v>1238475.7097791797</v>
      </c>
    </row>
    <row r="37" spans="1:13" x14ac:dyDescent="0.2">
      <c r="A37" s="1"/>
      <c r="B37" s="1" t="s">
        <v>1478</v>
      </c>
      <c r="C37" s="145" t="s">
        <v>1479</v>
      </c>
      <c r="D37" s="1">
        <v>6.34</v>
      </c>
      <c r="E37" s="149">
        <v>190</v>
      </c>
      <c r="F37" s="149">
        <v>20</v>
      </c>
      <c r="G37" s="149">
        <f t="shared" si="0"/>
        <v>3800</v>
      </c>
      <c r="H37" s="145">
        <f t="shared" si="1"/>
        <v>599.36908517350162</v>
      </c>
      <c r="I37" s="3">
        <v>3642</v>
      </c>
      <c r="J37" s="146">
        <f t="shared" si="2"/>
        <v>2182902.2082018927</v>
      </c>
      <c r="K37" s="147">
        <v>20000</v>
      </c>
      <c r="L37" s="148">
        <f t="shared" si="3"/>
        <v>3800000</v>
      </c>
      <c r="M37" s="147">
        <f t="shared" si="4"/>
        <v>1617097.7917981073</v>
      </c>
    </row>
    <row r="38" spans="1:13" x14ac:dyDescent="0.2">
      <c r="A38" s="1"/>
      <c r="B38" s="1" t="s">
        <v>7</v>
      </c>
      <c r="C38" s="145" t="s">
        <v>1471</v>
      </c>
      <c r="D38" s="1">
        <v>6.34</v>
      </c>
      <c r="E38" s="149">
        <v>442</v>
      </c>
      <c r="F38" s="149">
        <v>12</v>
      </c>
      <c r="G38" s="149">
        <f t="shared" si="0"/>
        <v>5304</v>
      </c>
      <c r="H38" s="145">
        <f t="shared" si="1"/>
        <v>836.5930599369085</v>
      </c>
      <c r="I38" s="3">
        <v>3642</v>
      </c>
      <c r="J38" s="146">
        <f t="shared" si="2"/>
        <v>3046871.9242902207</v>
      </c>
      <c r="K38" s="147">
        <v>20000</v>
      </c>
      <c r="L38" s="148">
        <f t="shared" si="3"/>
        <v>8840000</v>
      </c>
      <c r="M38" s="147">
        <f t="shared" si="4"/>
        <v>5793128.0757097788</v>
      </c>
    </row>
    <row r="39" spans="1:13" x14ac:dyDescent="0.2">
      <c r="A39" s="1"/>
      <c r="B39" s="1"/>
      <c r="C39" s="145" t="s">
        <v>1472</v>
      </c>
      <c r="D39" s="1">
        <v>6.34</v>
      </c>
      <c r="E39" s="149">
        <v>320</v>
      </c>
      <c r="F39" s="149">
        <v>15</v>
      </c>
      <c r="G39" s="149">
        <f t="shared" si="0"/>
        <v>4800</v>
      </c>
      <c r="H39" s="145">
        <f t="shared" si="1"/>
        <v>757.09779179810732</v>
      </c>
      <c r="I39" s="3">
        <v>3642</v>
      </c>
      <c r="J39" s="146">
        <f t="shared" si="2"/>
        <v>2757350.157728707</v>
      </c>
      <c r="K39" s="147">
        <v>18000</v>
      </c>
      <c r="L39" s="148">
        <f t="shared" si="3"/>
        <v>5760000</v>
      </c>
      <c r="M39" s="147">
        <f t="shared" si="4"/>
        <v>3002649.842271293</v>
      </c>
    </row>
    <row r="40" spans="1:13" x14ac:dyDescent="0.2">
      <c r="A40" s="1"/>
      <c r="B40" s="1" t="s">
        <v>7</v>
      </c>
      <c r="C40" s="145" t="s">
        <v>1463</v>
      </c>
      <c r="D40" s="1">
        <v>6.34</v>
      </c>
      <c r="E40" s="149">
        <v>180</v>
      </c>
      <c r="F40" s="149">
        <v>22</v>
      </c>
      <c r="G40" s="149">
        <f t="shared" si="0"/>
        <v>3960</v>
      </c>
      <c r="H40" s="145">
        <f t="shared" si="1"/>
        <v>624.60567823343854</v>
      </c>
      <c r="I40" s="3">
        <v>3642</v>
      </c>
      <c r="J40" s="146">
        <f t="shared" si="2"/>
        <v>2274813.8801261829</v>
      </c>
      <c r="K40" s="147">
        <v>20000</v>
      </c>
      <c r="L40" s="148">
        <f t="shared" si="3"/>
        <v>3600000</v>
      </c>
      <c r="M40" s="147">
        <f t="shared" si="4"/>
        <v>1325186.1198738171</v>
      </c>
    </row>
    <row r="41" spans="1:13" x14ac:dyDescent="0.2">
      <c r="A41" s="1"/>
      <c r="B41" s="1" t="s">
        <v>253</v>
      </c>
      <c r="C41" s="145" t="s">
        <v>1464</v>
      </c>
      <c r="D41" s="1">
        <v>6.34</v>
      </c>
      <c r="E41" s="149">
        <v>180</v>
      </c>
      <c r="F41" s="149">
        <v>22</v>
      </c>
      <c r="G41" s="149">
        <f t="shared" si="0"/>
        <v>3960</v>
      </c>
      <c r="H41" s="145">
        <f t="shared" si="1"/>
        <v>624.60567823343854</v>
      </c>
      <c r="I41" s="3">
        <v>3642</v>
      </c>
      <c r="J41" s="146">
        <f t="shared" si="2"/>
        <v>2274813.8801261829</v>
      </c>
      <c r="K41" s="147">
        <v>20000</v>
      </c>
      <c r="L41" s="148">
        <f t="shared" si="3"/>
        <v>3600000</v>
      </c>
      <c r="M41" s="147">
        <f t="shared" si="4"/>
        <v>1325186.1198738171</v>
      </c>
    </row>
    <row r="42" spans="1:13" x14ac:dyDescent="0.2">
      <c r="A42" s="1"/>
      <c r="B42" s="1" t="s">
        <v>253</v>
      </c>
      <c r="C42" s="145" t="s">
        <v>1465</v>
      </c>
      <c r="D42" s="1">
        <v>6.34</v>
      </c>
      <c r="E42" s="149">
        <v>180</v>
      </c>
      <c r="F42" s="149">
        <v>23.5</v>
      </c>
      <c r="G42" s="149">
        <f t="shared" si="0"/>
        <v>4230</v>
      </c>
      <c r="H42" s="145">
        <f t="shared" si="1"/>
        <v>667.19242902208202</v>
      </c>
      <c r="I42" s="3">
        <v>3642</v>
      </c>
      <c r="J42" s="146">
        <f t="shared" si="2"/>
        <v>2429914.8264984228</v>
      </c>
      <c r="K42" s="147">
        <v>22000</v>
      </c>
      <c r="L42" s="148">
        <f t="shared" si="3"/>
        <v>3960000</v>
      </c>
      <c r="M42" s="147">
        <f t="shared" si="4"/>
        <v>1530085.1735015772</v>
      </c>
    </row>
    <row r="43" spans="1:13" x14ac:dyDescent="0.2">
      <c r="A43" s="1"/>
      <c r="B43" s="1" t="s">
        <v>253</v>
      </c>
      <c r="C43" s="145" t="s">
        <v>1466</v>
      </c>
      <c r="D43" s="1">
        <v>6.34</v>
      </c>
      <c r="E43" s="149">
        <v>180</v>
      </c>
      <c r="F43" s="149">
        <v>23.5</v>
      </c>
      <c r="G43" s="149">
        <f t="shared" si="0"/>
        <v>4230</v>
      </c>
      <c r="H43" s="145">
        <f t="shared" si="1"/>
        <v>667.19242902208202</v>
      </c>
      <c r="I43" s="3">
        <v>3642</v>
      </c>
      <c r="J43" s="146">
        <f t="shared" si="2"/>
        <v>2429914.8264984228</v>
      </c>
      <c r="K43" s="147">
        <v>22000</v>
      </c>
      <c r="L43" s="148">
        <f t="shared" si="3"/>
        <v>3960000</v>
      </c>
      <c r="M43" s="147">
        <f t="shared" si="4"/>
        <v>1530085.1735015772</v>
      </c>
    </row>
    <row r="44" spans="1:13" x14ac:dyDescent="0.2">
      <c r="A44" s="1"/>
      <c r="B44" s="1" t="s">
        <v>253</v>
      </c>
      <c r="C44" s="145" t="s">
        <v>1467</v>
      </c>
      <c r="D44" s="1">
        <v>6.34</v>
      </c>
      <c r="E44" s="149">
        <v>180</v>
      </c>
      <c r="F44" s="149">
        <v>23.5</v>
      </c>
      <c r="G44" s="149">
        <f t="shared" si="0"/>
        <v>4230</v>
      </c>
      <c r="H44" s="145">
        <f t="shared" si="1"/>
        <v>667.19242902208202</v>
      </c>
      <c r="I44" s="3">
        <v>3642</v>
      </c>
      <c r="J44" s="146">
        <f t="shared" si="2"/>
        <v>2429914.8264984228</v>
      </c>
      <c r="K44" s="147">
        <v>22000</v>
      </c>
      <c r="L44" s="148">
        <f t="shared" si="3"/>
        <v>3960000</v>
      </c>
      <c r="M44" s="147">
        <f t="shared" si="4"/>
        <v>1530085.1735015772</v>
      </c>
    </row>
    <row r="45" spans="1:13" x14ac:dyDescent="0.2">
      <c r="A45" s="1"/>
      <c r="B45" s="1" t="s">
        <v>253</v>
      </c>
      <c r="C45" s="145" t="s">
        <v>1468</v>
      </c>
      <c r="D45" s="1">
        <v>6.34</v>
      </c>
      <c r="E45" s="149">
        <v>180</v>
      </c>
      <c r="F45" s="149">
        <v>23.5</v>
      </c>
      <c r="G45" s="149">
        <f t="shared" si="0"/>
        <v>4230</v>
      </c>
      <c r="H45" s="145">
        <f t="shared" si="1"/>
        <v>667.19242902208202</v>
      </c>
      <c r="I45" s="3">
        <v>3642</v>
      </c>
      <c r="J45" s="146">
        <f t="shared" si="2"/>
        <v>2429914.8264984228</v>
      </c>
      <c r="K45" s="147">
        <v>22000</v>
      </c>
      <c r="L45" s="148">
        <f t="shared" si="3"/>
        <v>3960000</v>
      </c>
      <c r="M45" s="147">
        <f t="shared" si="4"/>
        <v>1530085.1735015772</v>
      </c>
    </row>
    <row r="46" spans="1:13" x14ac:dyDescent="0.2">
      <c r="A46" s="1"/>
      <c r="B46" s="1" t="s">
        <v>7</v>
      </c>
      <c r="C46" s="145" t="s">
        <v>1473</v>
      </c>
      <c r="D46" s="1">
        <v>6.34</v>
      </c>
      <c r="E46" s="149">
        <v>1185</v>
      </c>
      <c r="F46" s="149">
        <v>25</v>
      </c>
      <c r="G46" s="149">
        <f t="shared" si="0"/>
        <v>29625</v>
      </c>
      <c r="H46" s="145">
        <f t="shared" si="1"/>
        <v>4672.7129337539436</v>
      </c>
      <c r="I46" s="3">
        <v>3642</v>
      </c>
      <c r="J46" s="146">
        <f t="shared" si="2"/>
        <v>17018020.50473186</v>
      </c>
      <c r="K46" s="147">
        <v>22000</v>
      </c>
      <c r="L46" s="148">
        <f t="shared" si="3"/>
        <v>26070000</v>
      </c>
      <c r="M46" s="147">
        <f t="shared" si="4"/>
        <v>9051979.49526814</v>
      </c>
    </row>
    <row r="47" spans="1:13" x14ac:dyDescent="0.2">
      <c r="A47" s="1"/>
      <c r="B47" s="1" t="s">
        <v>7</v>
      </c>
      <c r="C47" s="145" t="s">
        <v>1469</v>
      </c>
      <c r="D47" s="1">
        <v>6.34</v>
      </c>
      <c r="E47" s="149">
        <v>300</v>
      </c>
      <c r="F47" s="149">
        <v>24</v>
      </c>
      <c r="G47" s="149">
        <f t="shared" si="0"/>
        <v>7200</v>
      </c>
      <c r="H47" s="145">
        <f t="shared" si="1"/>
        <v>1135.6466876971608</v>
      </c>
      <c r="I47" s="3">
        <v>3642</v>
      </c>
      <c r="J47" s="146">
        <f t="shared" si="2"/>
        <v>4136025.2365930597</v>
      </c>
      <c r="K47" s="147">
        <v>20000</v>
      </c>
      <c r="L47" s="148">
        <f t="shared" si="3"/>
        <v>6000000</v>
      </c>
      <c r="M47" s="147">
        <f t="shared" si="4"/>
        <v>1863974.7634069403</v>
      </c>
    </row>
    <row r="48" spans="1:13" x14ac:dyDescent="0.2">
      <c r="A48" s="1"/>
      <c r="B48" s="1" t="s">
        <v>253</v>
      </c>
      <c r="C48" s="145" t="s">
        <v>995</v>
      </c>
      <c r="D48" s="1">
        <v>6.34</v>
      </c>
      <c r="E48" s="149">
        <v>300</v>
      </c>
      <c r="F48" s="149">
        <v>27</v>
      </c>
      <c r="G48" s="149">
        <f t="shared" si="0"/>
        <v>8100</v>
      </c>
      <c r="H48" s="145">
        <f t="shared" si="1"/>
        <v>1277.6025236593059</v>
      </c>
      <c r="I48" s="3">
        <v>3642</v>
      </c>
      <c r="J48" s="146">
        <f t="shared" si="2"/>
        <v>4653028.3911671927</v>
      </c>
      <c r="K48" s="147">
        <v>23000</v>
      </c>
      <c r="L48" s="148">
        <f t="shared" si="3"/>
        <v>6900000</v>
      </c>
      <c r="M48" s="147">
        <f t="shared" si="4"/>
        <v>2246971.6088328073</v>
      </c>
    </row>
    <row r="49" spans="1:13" x14ac:dyDescent="0.2">
      <c r="A49" s="1"/>
      <c r="B49" s="1" t="s">
        <v>253</v>
      </c>
      <c r="C49" s="145" t="s">
        <v>1470</v>
      </c>
      <c r="D49" s="1">
        <v>6.34</v>
      </c>
      <c r="E49" s="149">
        <v>300</v>
      </c>
      <c r="F49" s="149">
        <v>28</v>
      </c>
      <c r="G49" s="149">
        <f t="shared" si="0"/>
        <v>8400</v>
      </c>
      <c r="H49" s="145">
        <f t="shared" si="1"/>
        <v>1324.9211356466876</v>
      </c>
      <c r="I49" s="3">
        <v>3642</v>
      </c>
      <c r="J49" s="146">
        <f t="shared" si="2"/>
        <v>4825362.7760252366</v>
      </c>
      <c r="K49" s="147">
        <v>23000</v>
      </c>
      <c r="L49" s="148">
        <f t="shared" si="3"/>
        <v>6900000</v>
      </c>
      <c r="M49" s="147">
        <f t="shared" si="4"/>
        <v>2074637.2239747634</v>
      </c>
    </row>
    <row r="50" spans="1:13" x14ac:dyDescent="0.2">
      <c r="A50" s="1"/>
      <c r="B50" s="1" t="s">
        <v>7</v>
      </c>
      <c r="C50" s="145" t="s">
        <v>1491</v>
      </c>
      <c r="D50" s="1">
        <v>6.34</v>
      </c>
      <c r="E50" s="149">
        <v>119</v>
      </c>
      <c r="F50" s="149">
        <v>24</v>
      </c>
      <c r="G50" s="149">
        <f t="shared" si="0"/>
        <v>2856</v>
      </c>
      <c r="H50" s="145">
        <f t="shared" si="1"/>
        <v>450.47318611987384</v>
      </c>
      <c r="I50" s="3">
        <v>3642</v>
      </c>
      <c r="J50" s="146">
        <f t="shared" si="2"/>
        <v>1640623.3438485803</v>
      </c>
      <c r="K50" s="147">
        <v>20000</v>
      </c>
      <c r="L50" s="148">
        <f t="shared" si="3"/>
        <v>2380000</v>
      </c>
      <c r="M50" s="147">
        <f t="shared" si="4"/>
        <v>739376.65615141974</v>
      </c>
    </row>
    <row r="51" spans="1:13" x14ac:dyDescent="0.2">
      <c r="A51" s="1"/>
      <c r="B51" s="1" t="s">
        <v>253</v>
      </c>
      <c r="C51" s="145" t="s">
        <v>995</v>
      </c>
      <c r="D51" s="1">
        <v>6.34</v>
      </c>
      <c r="E51" s="149">
        <v>100</v>
      </c>
      <c r="F51" s="149">
        <v>27</v>
      </c>
      <c r="G51" s="149">
        <f t="shared" si="0"/>
        <v>2700</v>
      </c>
      <c r="H51" s="145">
        <f t="shared" si="1"/>
        <v>425.86750788643536</v>
      </c>
      <c r="I51" s="3">
        <v>3642</v>
      </c>
      <c r="J51" s="146">
        <f t="shared" si="2"/>
        <v>1551009.4637223976</v>
      </c>
      <c r="K51" s="147">
        <v>23000</v>
      </c>
      <c r="L51" s="148">
        <f t="shared" si="3"/>
        <v>2300000</v>
      </c>
      <c r="M51" s="147">
        <f t="shared" si="4"/>
        <v>748990.53627760243</v>
      </c>
    </row>
    <row r="52" spans="1:13" x14ac:dyDescent="0.2">
      <c r="A52" s="1"/>
      <c r="B52" s="1" t="s">
        <v>253</v>
      </c>
      <c r="C52" s="145" t="s">
        <v>1470</v>
      </c>
      <c r="D52" s="1">
        <v>6.34</v>
      </c>
      <c r="E52" s="149">
        <v>150</v>
      </c>
      <c r="F52" s="149">
        <v>28</v>
      </c>
      <c r="G52" s="149">
        <f t="shared" si="0"/>
        <v>4200</v>
      </c>
      <c r="H52" s="145">
        <f t="shared" si="1"/>
        <v>662.46056782334381</v>
      </c>
      <c r="I52" s="3">
        <v>3642</v>
      </c>
      <c r="J52" s="146">
        <f t="shared" si="2"/>
        <v>2412681.3880126183</v>
      </c>
      <c r="K52" s="147">
        <v>23000</v>
      </c>
      <c r="L52" s="148">
        <f t="shared" si="3"/>
        <v>3450000</v>
      </c>
      <c r="M52" s="147">
        <f t="shared" si="4"/>
        <v>1037318.6119873817</v>
      </c>
    </row>
    <row r="53" spans="1:13" x14ac:dyDescent="0.2">
      <c r="D53" s="118"/>
      <c r="E53" s="7">
        <f>SUM(E3:E52)</f>
        <v>14087</v>
      </c>
      <c r="H53" s="164">
        <f>SUM(H3:H52)</f>
        <v>54444.952681388022</v>
      </c>
      <c r="I53" s="74"/>
      <c r="J53" s="135">
        <f>SUM(J3:J52)</f>
        <v>198288517.66561514</v>
      </c>
      <c r="L53" s="95">
        <f>SUM(L3:L52)</f>
        <v>318990000</v>
      </c>
      <c r="M53" s="48">
        <f>SUM(M3:M52)</f>
        <v>120701482.33438487</v>
      </c>
    </row>
    <row r="54" spans="1:13" x14ac:dyDescent="0.2">
      <c r="D54" s="1"/>
      <c r="I54" s="3"/>
    </row>
    <row r="55" spans="1:13" x14ac:dyDescent="0.2">
      <c r="D55" s="1"/>
      <c r="I55" s="3"/>
    </row>
    <row r="56" spans="1:13" x14ac:dyDescent="0.2">
      <c r="D56" s="1"/>
      <c r="I56" s="3"/>
    </row>
    <row r="59" spans="1:13" x14ac:dyDescent="0.2">
      <c r="I59" s="3" t="s">
        <v>25</v>
      </c>
      <c r="J59" s="15">
        <v>198288517</v>
      </c>
    </row>
    <row r="60" spans="1:13" x14ac:dyDescent="0.2">
      <c r="I60" s="3" t="s">
        <v>27</v>
      </c>
      <c r="J60" s="9">
        <v>9314300</v>
      </c>
    </row>
    <row r="61" spans="1:13" x14ac:dyDescent="0.2">
      <c r="I61" s="3" t="s">
        <v>26</v>
      </c>
      <c r="J61" s="3">
        <v>5204300</v>
      </c>
    </row>
    <row r="62" spans="1:13" x14ac:dyDescent="0.2">
      <c r="I62" s="3" t="s">
        <v>33</v>
      </c>
      <c r="J62" s="3">
        <v>4000000</v>
      </c>
    </row>
    <row r="63" spans="1:13" x14ac:dyDescent="0.2">
      <c r="I63" s="3" t="s">
        <v>31</v>
      </c>
      <c r="J63" s="3">
        <v>6350000</v>
      </c>
    </row>
    <row r="64" spans="1:13" x14ac:dyDescent="0.2">
      <c r="I64" s="3" t="s">
        <v>36</v>
      </c>
      <c r="J64" s="3">
        <v>3410000</v>
      </c>
    </row>
    <row r="65" spans="1:13" x14ac:dyDescent="0.2">
      <c r="I65" s="3" t="s">
        <v>29</v>
      </c>
      <c r="J65" s="23">
        <v>15000000</v>
      </c>
    </row>
    <row r="66" spans="1:13" x14ac:dyDescent="0.2">
      <c r="I66" s="3" t="s">
        <v>34</v>
      </c>
      <c r="J66" s="127">
        <f>SUM(J59:J65)</f>
        <v>241567117</v>
      </c>
    </row>
    <row r="67" spans="1:13" x14ac:dyDescent="0.2">
      <c r="I67" s="3" t="s">
        <v>6</v>
      </c>
      <c r="J67" s="165">
        <v>318990000</v>
      </c>
    </row>
    <row r="68" spans="1:13" ht="18" x14ac:dyDescent="0.35">
      <c r="I68" s="3" t="s">
        <v>35</v>
      </c>
      <c r="J68" s="21">
        <f>J67-J66</f>
        <v>77422883</v>
      </c>
    </row>
    <row r="69" spans="1:13" x14ac:dyDescent="0.2">
      <c r="I69" s="137" t="s">
        <v>33</v>
      </c>
    </row>
    <row r="70" spans="1:13" x14ac:dyDescent="0.2">
      <c r="I70" s="112" t="s">
        <v>1483</v>
      </c>
      <c r="J70" t="s">
        <v>1482</v>
      </c>
    </row>
    <row r="71" spans="1:13" x14ac:dyDescent="0.2">
      <c r="I71" s="112" t="s">
        <v>1484</v>
      </c>
    </row>
    <row r="80" spans="1:13" x14ac:dyDescent="0.2">
      <c r="A80" s="1"/>
      <c r="B80" s="145" t="s">
        <v>7</v>
      </c>
      <c r="C80" s="145" t="s">
        <v>1439</v>
      </c>
      <c r="D80" s="1">
        <v>6.34</v>
      </c>
      <c r="E80" s="149">
        <v>700</v>
      </c>
      <c r="F80" s="149">
        <v>55</v>
      </c>
      <c r="G80" s="149">
        <f>E80*F80</f>
        <v>38500</v>
      </c>
      <c r="H80" s="145">
        <f>G80/D80</f>
        <v>6072.5552050473189</v>
      </c>
      <c r="I80" s="3">
        <v>3642</v>
      </c>
      <c r="J80" s="146">
        <f>F80/D80*I80*E80</f>
        <v>22116246.056782331</v>
      </c>
      <c r="K80" s="147">
        <v>45000</v>
      </c>
      <c r="L80" s="148">
        <f>K80*E80</f>
        <v>31500000</v>
      </c>
      <c r="M80" s="147">
        <f>L80-J80</f>
        <v>9383753.9432176687</v>
      </c>
    </row>
    <row r="81" spans="1:13" x14ac:dyDescent="0.2">
      <c r="C81" s="150" t="s">
        <v>1452</v>
      </c>
      <c r="D81" s="1">
        <v>6.34</v>
      </c>
      <c r="E81" s="151">
        <v>300</v>
      </c>
      <c r="F81" s="151">
        <v>26</v>
      </c>
      <c r="G81" s="151">
        <f>E81*F81</f>
        <v>7800</v>
      </c>
      <c r="H81" s="150">
        <f>G81/D81</f>
        <v>1230.2839116719242</v>
      </c>
      <c r="I81" s="3">
        <v>3642</v>
      </c>
      <c r="J81" s="152">
        <f>F81/D81*I81*E81</f>
        <v>4480694.0063091489</v>
      </c>
      <c r="K81" s="153">
        <v>23000</v>
      </c>
      <c r="L81" s="154">
        <f>K81*E81</f>
        <v>6900000</v>
      </c>
      <c r="M81" s="153">
        <f>L81-J81</f>
        <v>2419305.9936908511</v>
      </c>
    </row>
    <row r="82" spans="1:13" x14ac:dyDescent="0.2">
      <c r="A82" t="s">
        <v>1486</v>
      </c>
    </row>
    <row r="83" spans="1:13" x14ac:dyDescent="0.2">
      <c r="A83" s="1"/>
      <c r="B83" s="145" t="s">
        <v>1156</v>
      </c>
      <c r="C83" s="145" t="s">
        <v>1485</v>
      </c>
      <c r="D83" s="1">
        <v>6.34</v>
      </c>
      <c r="E83" s="149">
        <v>60</v>
      </c>
      <c r="F83" s="149">
        <v>33</v>
      </c>
      <c r="G83" s="149">
        <f>E83*F83</f>
        <v>1980</v>
      </c>
      <c r="H83" s="145">
        <f>G83/D83</f>
        <v>312.30283911671927</v>
      </c>
      <c r="I83" s="3">
        <v>3642</v>
      </c>
      <c r="J83" s="146">
        <f>F83/D83*I83*E83</f>
        <v>1137406.9400630917</v>
      </c>
      <c r="K83" s="147">
        <v>35000</v>
      </c>
      <c r="L83" s="148">
        <f>K83*E83</f>
        <v>2100000</v>
      </c>
      <c r="M83" s="147">
        <f>L83-J83</f>
        <v>962593.05993690831</v>
      </c>
    </row>
    <row r="84" spans="1:13" x14ac:dyDescent="0.2">
      <c r="B84" t="s">
        <v>253</v>
      </c>
      <c r="C84" s="150" t="s">
        <v>1487</v>
      </c>
      <c r="D84" s="1">
        <v>6.34</v>
      </c>
      <c r="E84" s="151">
        <v>70</v>
      </c>
      <c r="F84" s="151">
        <v>18</v>
      </c>
      <c r="G84" s="151">
        <f>E84*F84</f>
        <v>1260</v>
      </c>
      <c r="H84" s="150">
        <f>G84/D84</f>
        <v>198.73817034700315</v>
      </c>
      <c r="I84" s="3">
        <v>3642</v>
      </c>
      <c r="J84" s="152">
        <f>F84/D84*I84*E84</f>
        <v>723804.41640378558</v>
      </c>
      <c r="K84" s="153">
        <v>25000</v>
      </c>
      <c r="L84" s="154">
        <f>K84*E84</f>
        <v>1750000</v>
      </c>
      <c r="M84" s="153">
        <f>L84-J84</f>
        <v>1026195.5835962144</v>
      </c>
    </row>
    <row r="85" spans="1:13" x14ac:dyDescent="0.2">
      <c r="B85" t="s">
        <v>253</v>
      </c>
      <c r="C85" s="150" t="s">
        <v>410</v>
      </c>
      <c r="D85" s="1">
        <v>6.34</v>
      </c>
      <c r="E85" s="151">
        <v>100</v>
      </c>
      <c r="F85" s="151">
        <v>12</v>
      </c>
      <c r="G85" s="151">
        <f t="shared" ref="G85:G88" si="5">E85*F85</f>
        <v>1200</v>
      </c>
      <c r="H85" s="150">
        <f t="shared" ref="H85:H88" si="6">G85/D85</f>
        <v>189.27444794952683</v>
      </c>
      <c r="I85" s="3">
        <v>3642</v>
      </c>
      <c r="J85" s="152">
        <f t="shared" ref="J85:J88" si="7">F85/D85*I85*E85</f>
        <v>689337.53943217662</v>
      </c>
      <c r="K85" s="153">
        <v>18000</v>
      </c>
      <c r="L85" s="154">
        <f t="shared" ref="L85:L88" si="8">K85*E85</f>
        <v>1800000</v>
      </c>
      <c r="M85" s="153">
        <f t="shared" ref="M85:M89" si="9">L85-J85</f>
        <v>1110662.4605678234</v>
      </c>
    </row>
    <row r="86" spans="1:13" x14ac:dyDescent="0.2">
      <c r="B86" t="s">
        <v>253</v>
      </c>
      <c r="C86" s="150" t="s">
        <v>1488</v>
      </c>
      <c r="D86" s="1">
        <v>6.34</v>
      </c>
      <c r="E86" s="151">
        <v>10</v>
      </c>
      <c r="F86" s="151">
        <v>25</v>
      </c>
      <c r="G86" s="151">
        <f t="shared" si="5"/>
        <v>250</v>
      </c>
      <c r="H86" s="150">
        <f t="shared" si="6"/>
        <v>39.43217665615142</v>
      </c>
      <c r="I86" s="3">
        <v>3642</v>
      </c>
      <c r="J86" s="152">
        <f t="shared" si="7"/>
        <v>143611.98738170348</v>
      </c>
      <c r="K86" s="153">
        <v>30000</v>
      </c>
      <c r="L86" s="154">
        <f t="shared" si="8"/>
        <v>300000</v>
      </c>
      <c r="M86" s="153">
        <f t="shared" si="9"/>
        <v>156388.01261829652</v>
      </c>
    </row>
    <row r="87" spans="1:13" x14ac:dyDescent="0.2">
      <c r="B87" t="s">
        <v>253</v>
      </c>
      <c r="C87" s="150" t="s">
        <v>1489</v>
      </c>
      <c r="D87" s="1">
        <v>6.34</v>
      </c>
      <c r="E87" s="151">
        <v>40</v>
      </c>
      <c r="F87" s="151">
        <v>25</v>
      </c>
      <c r="G87" s="151">
        <f t="shared" si="5"/>
        <v>1000</v>
      </c>
      <c r="H87" s="150">
        <f t="shared" si="6"/>
        <v>157.72870662460568</v>
      </c>
      <c r="I87" s="3">
        <v>3642</v>
      </c>
      <c r="J87" s="152">
        <f t="shared" si="7"/>
        <v>574447.94952681393</v>
      </c>
      <c r="K87" s="153">
        <v>23000</v>
      </c>
      <c r="L87" s="154">
        <f t="shared" si="8"/>
        <v>920000</v>
      </c>
      <c r="M87" s="153">
        <f t="shared" si="9"/>
        <v>345552.05047318607</v>
      </c>
    </row>
    <row r="88" spans="1:13" x14ac:dyDescent="0.2">
      <c r="B88" t="s">
        <v>253</v>
      </c>
      <c r="C88" s="150" t="s">
        <v>1490</v>
      </c>
      <c r="D88" s="1">
        <v>6.34</v>
      </c>
      <c r="E88" s="151">
        <v>60</v>
      </c>
      <c r="F88" s="151">
        <v>20</v>
      </c>
      <c r="G88" s="151">
        <f t="shared" si="5"/>
        <v>1200</v>
      </c>
      <c r="H88" s="150">
        <f t="shared" si="6"/>
        <v>189.27444794952683</v>
      </c>
      <c r="I88" s="3">
        <v>3642</v>
      </c>
      <c r="J88" s="152">
        <f t="shared" si="7"/>
        <v>689337.53943217662</v>
      </c>
      <c r="K88" s="153">
        <v>25000</v>
      </c>
      <c r="L88" s="154">
        <f t="shared" si="8"/>
        <v>1500000</v>
      </c>
      <c r="M88" s="153">
        <f t="shared" si="9"/>
        <v>810662.46056782338</v>
      </c>
    </row>
    <row r="89" spans="1:13" x14ac:dyDescent="0.2">
      <c r="D89" s="1"/>
      <c r="H89" s="156">
        <f>SUM(H83:H88)</f>
        <v>1086.7507886435333</v>
      </c>
      <c r="I89" s="3"/>
      <c r="J89" s="159">
        <f>SUM(J83:J88)</f>
        <v>3957946.372239748</v>
      </c>
      <c r="L89" s="95">
        <f>SUM(L83:L88)</f>
        <v>8370000</v>
      </c>
      <c r="M89" s="166">
        <f t="shared" si="9"/>
        <v>4412053.627760252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97"/>
  <sheetViews>
    <sheetView topLeftCell="A40" workbookViewId="0">
      <selection activeCell="C20" sqref="C20"/>
    </sheetView>
  </sheetViews>
  <sheetFormatPr baseColWidth="10" defaultRowHeight="15" x14ac:dyDescent="0.2"/>
  <cols>
    <col min="3" max="3" width="20.5" customWidth="1"/>
    <col min="7" max="7" width="13.5" customWidth="1"/>
    <col min="10" max="10" width="17" customWidth="1"/>
    <col min="11" max="12" width="12.33203125" customWidth="1"/>
    <col min="13" max="13" width="14.83203125" customWidth="1"/>
  </cols>
  <sheetData>
    <row r="1" spans="1:13" ht="31" x14ac:dyDescent="0.35">
      <c r="A1" s="56" t="s">
        <v>1566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145" t="s">
        <v>1506</v>
      </c>
      <c r="B3" s="145" t="s">
        <v>7</v>
      </c>
      <c r="C3" s="145" t="s">
        <v>1507</v>
      </c>
      <c r="D3" s="1">
        <v>6.48</v>
      </c>
      <c r="E3" s="149">
        <v>400</v>
      </c>
      <c r="F3" s="149">
        <v>23</v>
      </c>
      <c r="G3" s="149">
        <f t="shared" ref="G3:G65" si="0">E3*F3</f>
        <v>9200</v>
      </c>
      <c r="H3" s="145">
        <f t="shared" ref="H3:H65" si="1">G3/D3</f>
        <v>1419.7530864197529</v>
      </c>
      <c r="I3" s="3">
        <v>3400</v>
      </c>
      <c r="J3" s="146">
        <f t="shared" ref="J3:J65" si="2">F3/D3*I3*E3</f>
        <v>4827160.4938271604</v>
      </c>
      <c r="K3" s="147">
        <v>20000</v>
      </c>
      <c r="L3" s="148">
        <f t="shared" ref="L3:L65" si="3">K3*E3</f>
        <v>8000000</v>
      </c>
      <c r="M3" s="147">
        <f t="shared" ref="M3:M65" si="4">L3-J3</f>
        <v>3172839.5061728396</v>
      </c>
    </row>
    <row r="4" spans="1:13" x14ac:dyDescent="0.2">
      <c r="A4" s="145"/>
      <c r="B4" s="145" t="s">
        <v>253</v>
      </c>
      <c r="C4" s="145" t="s">
        <v>1337</v>
      </c>
      <c r="D4" s="1">
        <v>6.48</v>
      </c>
      <c r="E4" s="149">
        <v>200</v>
      </c>
      <c r="F4" s="149">
        <v>23</v>
      </c>
      <c r="G4" s="149">
        <f t="shared" si="0"/>
        <v>4600</v>
      </c>
      <c r="H4" s="145">
        <f t="shared" si="1"/>
        <v>709.87654320987644</v>
      </c>
      <c r="I4" s="3">
        <v>3400</v>
      </c>
      <c r="J4" s="146">
        <f t="shared" si="2"/>
        <v>2413580.2469135802</v>
      </c>
      <c r="K4" s="147">
        <v>20000</v>
      </c>
      <c r="L4" s="148">
        <f t="shared" si="3"/>
        <v>4000000</v>
      </c>
      <c r="M4" s="147">
        <f t="shared" si="4"/>
        <v>1586419.7530864198</v>
      </c>
    </row>
    <row r="5" spans="1:13" x14ac:dyDescent="0.2">
      <c r="A5" s="1"/>
      <c r="B5" s="145" t="s">
        <v>253</v>
      </c>
      <c r="C5" s="145" t="s">
        <v>1508</v>
      </c>
      <c r="D5" s="1">
        <v>6.48</v>
      </c>
      <c r="E5" s="149">
        <v>200</v>
      </c>
      <c r="F5" s="149">
        <v>23</v>
      </c>
      <c r="G5" s="149">
        <f t="shared" si="0"/>
        <v>4600</v>
      </c>
      <c r="H5" s="145">
        <f t="shared" si="1"/>
        <v>709.87654320987644</v>
      </c>
      <c r="I5" s="3">
        <v>3400</v>
      </c>
      <c r="J5" s="146">
        <f t="shared" si="2"/>
        <v>2413580.2469135802</v>
      </c>
      <c r="K5" s="147">
        <v>20000</v>
      </c>
      <c r="L5" s="148">
        <f t="shared" si="3"/>
        <v>4000000</v>
      </c>
      <c r="M5" s="147">
        <f t="shared" si="4"/>
        <v>1586419.7530864198</v>
      </c>
    </row>
    <row r="6" spans="1:13" x14ac:dyDescent="0.2">
      <c r="A6" s="1"/>
      <c r="B6" s="145" t="s">
        <v>1306</v>
      </c>
      <c r="C6" s="145" t="s">
        <v>1050</v>
      </c>
      <c r="D6" s="1">
        <v>6.48</v>
      </c>
      <c r="E6" s="149">
        <v>200</v>
      </c>
      <c r="F6" s="149">
        <v>20</v>
      </c>
      <c r="G6" s="149">
        <f t="shared" si="0"/>
        <v>4000</v>
      </c>
      <c r="H6" s="145">
        <f t="shared" si="1"/>
        <v>617.28395061728395</v>
      </c>
      <c r="I6" s="3">
        <v>3400</v>
      </c>
      <c r="J6" s="146">
        <f t="shared" si="2"/>
        <v>2098765.4320987654</v>
      </c>
      <c r="K6" s="147">
        <v>20000</v>
      </c>
      <c r="L6" s="148">
        <f t="shared" si="3"/>
        <v>4000000</v>
      </c>
      <c r="M6" s="147">
        <f t="shared" si="4"/>
        <v>1901234.5679012346</v>
      </c>
    </row>
    <row r="7" spans="1:13" x14ac:dyDescent="0.2">
      <c r="A7" s="1"/>
      <c r="B7" s="145" t="s">
        <v>253</v>
      </c>
      <c r="C7" s="145" t="s">
        <v>1194</v>
      </c>
      <c r="D7" s="1">
        <v>6.48</v>
      </c>
      <c r="E7" s="149">
        <v>200</v>
      </c>
      <c r="F7" s="149">
        <v>20</v>
      </c>
      <c r="G7" s="149">
        <f t="shared" si="0"/>
        <v>4000</v>
      </c>
      <c r="H7" s="145">
        <f t="shared" si="1"/>
        <v>617.28395061728395</v>
      </c>
      <c r="I7" s="3">
        <v>3400</v>
      </c>
      <c r="J7" s="146">
        <f t="shared" si="2"/>
        <v>2098765.4320987654</v>
      </c>
      <c r="K7" s="147">
        <v>20000</v>
      </c>
      <c r="L7" s="148">
        <f t="shared" si="3"/>
        <v>4000000</v>
      </c>
      <c r="M7" s="147">
        <f t="shared" si="4"/>
        <v>1901234.5679012346</v>
      </c>
    </row>
    <row r="8" spans="1:13" x14ac:dyDescent="0.2">
      <c r="A8" s="1"/>
      <c r="B8" s="145" t="s">
        <v>7</v>
      </c>
      <c r="C8" s="145" t="s">
        <v>995</v>
      </c>
      <c r="D8" s="1">
        <v>6.48</v>
      </c>
      <c r="E8" s="149">
        <v>100</v>
      </c>
      <c r="F8" s="149">
        <v>28</v>
      </c>
      <c r="G8" s="149">
        <f t="shared" si="0"/>
        <v>2800</v>
      </c>
      <c r="H8" s="145">
        <f t="shared" si="1"/>
        <v>432.09876543209873</v>
      </c>
      <c r="I8" s="3">
        <v>3400</v>
      </c>
      <c r="J8" s="146">
        <f t="shared" si="2"/>
        <v>1469135.8024691357</v>
      </c>
      <c r="K8" s="147">
        <v>23000</v>
      </c>
      <c r="L8" s="148">
        <f t="shared" si="3"/>
        <v>2300000</v>
      </c>
      <c r="M8" s="147">
        <f t="shared" si="4"/>
        <v>830864.19753086427</v>
      </c>
    </row>
    <row r="9" spans="1:13" x14ac:dyDescent="0.2">
      <c r="A9" s="1"/>
      <c r="B9" s="145" t="s">
        <v>7</v>
      </c>
      <c r="C9" s="145" t="s">
        <v>1509</v>
      </c>
      <c r="D9" s="1">
        <v>6.48</v>
      </c>
      <c r="E9" s="149">
        <v>300</v>
      </c>
      <c r="F9" s="149">
        <v>30</v>
      </c>
      <c r="G9" s="149">
        <f t="shared" si="0"/>
        <v>9000</v>
      </c>
      <c r="H9" s="145">
        <f t="shared" si="1"/>
        <v>1388.8888888888887</v>
      </c>
      <c r="I9" s="3">
        <v>3400</v>
      </c>
      <c r="J9" s="146">
        <f t="shared" si="2"/>
        <v>4722222.222222222</v>
      </c>
      <c r="K9" s="147">
        <v>25000</v>
      </c>
      <c r="L9" s="148">
        <f t="shared" si="3"/>
        <v>7500000</v>
      </c>
      <c r="M9" s="147">
        <f t="shared" si="4"/>
        <v>2777777.777777778</v>
      </c>
    </row>
    <row r="10" spans="1:13" x14ac:dyDescent="0.2">
      <c r="A10" s="1"/>
      <c r="B10" s="145" t="s">
        <v>253</v>
      </c>
      <c r="C10" s="145" t="s">
        <v>1510</v>
      </c>
      <c r="D10" s="1">
        <v>6.48</v>
      </c>
      <c r="E10" s="149">
        <v>300</v>
      </c>
      <c r="F10" s="149">
        <v>28.5</v>
      </c>
      <c r="G10" s="149">
        <f t="shared" si="0"/>
        <v>8550</v>
      </c>
      <c r="H10" s="145">
        <f t="shared" si="1"/>
        <v>1319.4444444444443</v>
      </c>
      <c r="I10" s="3">
        <v>3400</v>
      </c>
      <c r="J10" s="146">
        <f t="shared" si="2"/>
        <v>4486111.111111111</v>
      </c>
      <c r="K10" s="147">
        <v>23000</v>
      </c>
      <c r="L10" s="148">
        <f t="shared" si="3"/>
        <v>6900000</v>
      </c>
      <c r="M10" s="147">
        <f t="shared" si="4"/>
        <v>2413888.888888889</v>
      </c>
    </row>
    <row r="11" spans="1:13" x14ac:dyDescent="0.2">
      <c r="A11" s="1"/>
      <c r="B11" s="145" t="s">
        <v>253</v>
      </c>
      <c r="C11" s="145" t="s">
        <v>1511</v>
      </c>
      <c r="D11" s="1">
        <v>6.48</v>
      </c>
      <c r="E11" s="149">
        <v>200</v>
      </c>
      <c r="F11" s="149">
        <v>29</v>
      </c>
      <c r="G11" s="149">
        <f t="shared" si="0"/>
        <v>5800</v>
      </c>
      <c r="H11" s="145">
        <f t="shared" si="1"/>
        <v>895.06172839506166</v>
      </c>
      <c r="I11" s="3">
        <v>3400</v>
      </c>
      <c r="J11" s="146">
        <f t="shared" si="2"/>
        <v>3043209.8765432099</v>
      </c>
      <c r="K11" s="147">
        <v>25000</v>
      </c>
      <c r="L11" s="148">
        <f t="shared" si="3"/>
        <v>5000000</v>
      </c>
      <c r="M11" s="147">
        <f t="shared" si="4"/>
        <v>1956790.1234567901</v>
      </c>
    </row>
    <row r="12" spans="1:13" x14ac:dyDescent="0.2">
      <c r="A12" s="1"/>
      <c r="B12" s="145" t="s">
        <v>253</v>
      </c>
      <c r="C12" s="145" t="s">
        <v>1512</v>
      </c>
      <c r="D12" s="1">
        <v>6.48</v>
      </c>
      <c r="E12" s="149">
        <v>600</v>
      </c>
      <c r="F12" s="149">
        <v>26</v>
      </c>
      <c r="G12" s="149">
        <f t="shared" si="0"/>
        <v>15600</v>
      </c>
      <c r="H12" s="145">
        <f t="shared" si="1"/>
        <v>2407.4074074074074</v>
      </c>
      <c r="I12" s="3">
        <v>3400</v>
      </c>
      <c r="J12" s="146">
        <f t="shared" si="2"/>
        <v>8185185.1851851847</v>
      </c>
      <c r="K12" s="147">
        <v>22000</v>
      </c>
      <c r="L12" s="148">
        <f t="shared" si="3"/>
        <v>13200000</v>
      </c>
      <c r="M12" s="147">
        <f t="shared" si="4"/>
        <v>5014814.8148148153</v>
      </c>
    </row>
    <row r="13" spans="1:13" x14ac:dyDescent="0.2">
      <c r="A13" s="1"/>
      <c r="B13" s="145" t="s">
        <v>253</v>
      </c>
      <c r="C13" s="145" t="s">
        <v>1513</v>
      </c>
      <c r="D13" s="1">
        <v>6.48</v>
      </c>
      <c r="E13" s="149">
        <v>200</v>
      </c>
      <c r="F13" s="149">
        <v>29</v>
      </c>
      <c r="G13" s="149">
        <f t="shared" si="0"/>
        <v>5800</v>
      </c>
      <c r="H13" s="145">
        <f t="shared" si="1"/>
        <v>895.06172839506166</v>
      </c>
      <c r="I13" s="3">
        <v>3400</v>
      </c>
      <c r="J13" s="146">
        <f t="shared" si="2"/>
        <v>3043209.8765432099</v>
      </c>
      <c r="K13" s="147">
        <v>25000</v>
      </c>
      <c r="L13" s="148">
        <f t="shared" si="3"/>
        <v>5000000</v>
      </c>
      <c r="M13" s="147">
        <f t="shared" si="4"/>
        <v>1956790.1234567901</v>
      </c>
    </row>
    <row r="14" spans="1:13" x14ac:dyDescent="0.2">
      <c r="A14" s="1"/>
      <c r="B14" s="145" t="s">
        <v>7</v>
      </c>
      <c r="C14" s="145" t="s">
        <v>1514</v>
      </c>
      <c r="D14" s="1">
        <v>6.48</v>
      </c>
      <c r="E14" s="149">
        <v>200</v>
      </c>
      <c r="F14" s="149">
        <v>22.5</v>
      </c>
      <c r="G14" s="149">
        <f t="shared" si="0"/>
        <v>4500</v>
      </c>
      <c r="H14" s="145">
        <f t="shared" si="1"/>
        <v>694.44444444444434</v>
      </c>
      <c r="I14" s="3">
        <v>3400</v>
      </c>
      <c r="J14" s="146">
        <f t="shared" si="2"/>
        <v>2361111.111111111</v>
      </c>
      <c r="K14" s="147">
        <v>22000</v>
      </c>
      <c r="L14" s="148">
        <f t="shared" si="3"/>
        <v>4400000</v>
      </c>
      <c r="M14" s="147">
        <f t="shared" si="4"/>
        <v>2038888.888888889</v>
      </c>
    </row>
    <row r="15" spans="1:13" x14ac:dyDescent="0.2">
      <c r="A15" s="1"/>
      <c r="B15" s="145" t="s">
        <v>253</v>
      </c>
      <c r="C15" s="145" t="s">
        <v>1515</v>
      </c>
      <c r="D15" s="1">
        <v>6.48</v>
      </c>
      <c r="E15" s="149">
        <v>100</v>
      </c>
      <c r="F15" s="149">
        <v>22.5</v>
      </c>
      <c r="G15" s="149">
        <f t="shared" si="0"/>
        <v>2250</v>
      </c>
      <c r="H15" s="145">
        <f t="shared" si="1"/>
        <v>347.22222222222217</v>
      </c>
      <c r="I15" s="3">
        <v>3400</v>
      </c>
      <c r="J15" s="146">
        <f t="shared" si="2"/>
        <v>1180555.5555555555</v>
      </c>
      <c r="K15" s="147">
        <v>22000</v>
      </c>
      <c r="L15" s="148">
        <f t="shared" si="3"/>
        <v>2200000</v>
      </c>
      <c r="M15" s="147">
        <f t="shared" si="4"/>
        <v>1019444.4444444445</v>
      </c>
    </row>
    <row r="16" spans="1:13" x14ac:dyDescent="0.2">
      <c r="A16" s="1"/>
      <c r="B16" s="145" t="s">
        <v>253</v>
      </c>
      <c r="C16" s="145" t="s">
        <v>1516</v>
      </c>
      <c r="D16" s="1">
        <v>6.48</v>
      </c>
      <c r="E16" s="149">
        <v>200</v>
      </c>
      <c r="F16" s="149">
        <v>27</v>
      </c>
      <c r="G16" s="149">
        <f t="shared" si="0"/>
        <v>5400</v>
      </c>
      <c r="H16" s="145">
        <f t="shared" si="1"/>
        <v>833.33333333333326</v>
      </c>
      <c r="I16" s="3">
        <v>3400</v>
      </c>
      <c r="J16" s="146">
        <f t="shared" si="2"/>
        <v>2833333.333333333</v>
      </c>
      <c r="K16" s="147">
        <v>23000</v>
      </c>
      <c r="L16" s="148">
        <f t="shared" si="3"/>
        <v>4600000</v>
      </c>
      <c r="M16" s="147">
        <f t="shared" si="4"/>
        <v>1766666.666666667</v>
      </c>
    </row>
    <row r="17" spans="1:13" x14ac:dyDescent="0.2">
      <c r="A17" s="1"/>
      <c r="B17" s="145" t="s">
        <v>253</v>
      </c>
      <c r="C17" s="145" t="s">
        <v>1517</v>
      </c>
      <c r="D17" s="1">
        <v>6.48</v>
      </c>
      <c r="E17" s="149">
        <v>100</v>
      </c>
      <c r="F17" s="149">
        <v>27</v>
      </c>
      <c r="G17" s="149">
        <f t="shared" si="0"/>
        <v>2700</v>
      </c>
      <c r="H17" s="145">
        <f t="shared" si="1"/>
        <v>416.66666666666663</v>
      </c>
      <c r="I17" s="3">
        <v>3400</v>
      </c>
      <c r="J17" s="146">
        <f t="shared" si="2"/>
        <v>1416666.6666666665</v>
      </c>
      <c r="K17" s="147">
        <v>23000</v>
      </c>
      <c r="L17" s="148">
        <f t="shared" si="3"/>
        <v>2300000</v>
      </c>
      <c r="M17" s="147">
        <f t="shared" si="4"/>
        <v>883333.33333333349</v>
      </c>
    </row>
    <row r="18" spans="1:13" x14ac:dyDescent="0.2">
      <c r="A18" s="1"/>
      <c r="B18" s="145" t="s">
        <v>253</v>
      </c>
      <c r="C18" s="145" t="s">
        <v>1518</v>
      </c>
      <c r="D18" s="1">
        <v>6.48</v>
      </c>
      <c r="E18" s="149">
        <v>200</v>
      </c>
      <c r="F18" s="149">
        <v>26</v>
      </c>
      <c r="G18" s="149">
        <f t="shared" si="0"/>
        <v>5200</v>
      </c>
      <c r="H18" s="145">
        <f t="shared" si="1"/>
        <v>802.46913580246905</v>
      </c>
      <c r="I18" s="3">
        <v>3400</v>
      </c>
      <c r="J18" s="146">
        <f t="shared" si="2"/>
        <v>2728395.0617283951</v>
      </c>
      <c r="K18" s="147">
        <v>23000</v>
      </c>
      <c r="L18" s="148">
        <f t="shared" si="3"/>
        <v>4600000</v>
      </c>
      <c r="M18" s="147">
        <f t="shared" si="4"/>
        <v>1871604.9382716049</v>
      </c>
    </row>
    <row r="19" spans="1:13" x14ac:dyDescent="0.2">
      <c r="A19" s="1"/>
      <c r="B19" s="145" t="s">
        <v>253</v>
      </c>
      <c r="C19" s="145" t="s">
        <v>1519</v>
      </c>
      <c r="D19" s="1">
        <v>6.48</v>
      </c>
      <c r="E19" s="149">
        <v>300</v>
      </c>
      <c r="F19" s="149">
        <v>27</v>
      </c>
      <c r="G19" s="149">
        <f t="shared" si="0"/>
        <v>8100</v>
      </c>
      <c r="H19" s="145">
        <f t="shared" si="1"/>
        <v>1250</v>
      </c>
      <c r="I19" s="3">
        <v>3400</v>
      </c>
      <c r="J19" s="146">
        <f t="shared" si="2"/>
        <v>4249999.9999999991</v>
      </c>
      <c r="K19" s="147">
        <v>23000</v>
      </c>
      <c r="L19" s="148">
        <f t="shared" si="3"/>
        <v>6900000</v>
      </c>
      <c r="M19" s="147">
        <f t="shared" si="4"/>
        <v>2650000.0000000009</v>
      </c>
    </row>
    <row r="20" spans="1:13" x14ac:dyDescent="0.2">
      <c r="A20" s="1"/>
      <c r="B20" s="145" t="s">
        <v>7</v>
      </c>
      <c r="C20" s="145" t="s">
        <v>1521</v>
      </c>
      <c r="D20" s="1">
        <v>6.48</v>
      </c>
      <c r="E20" s="149">
        <v>200</v>
      </c>
      <c r="F20" s="149">
        <v>23</v>
      </c>
      <c r="G20" s="149">
        <f t="shared" si="0"/>
        <v>4600</v>
      </c>
      <c r="H20" s="145">
        <f t="shared" si="1"/>
        <v>709.87654320987644</v>
      </c>
      <c r="I20" s="3">
        <v>3400</v>
      </c>
      <c r="J20" s="146">
        <f t="shared" si="2"/>
        <v>2413580.2469135802</v>
      </c>
      <c r="K20" s="147">
        <v>20000</v>
      </c>
      <c r="L20" s="148">
        <f t="shared" si="3"/>
        <v>4000000</v>
      </c>
      <c r="M20" s="147">
        <f t="shared" si="4"/>
        <v>1586419.7530864198</v>
      </c>
    </row>
    <row r="21" spans="1:13" x14ac:dyDescent="0.2">
      <c r="A21" s="1"/>
      <c r="B21" s="1"/>
      <c r="C21" s="145" t="s">
        <v>1520</v>
      </c>
      <c r="D21" s="1">
        <v>6.48</v>
      </c>
      <c r="E21" s="149">
        <v>200</v>
      </c>
      <c r="F21" s="149">
        <v>23</v>
      </c>
      <c r="G21" s="149">
        <f t="shared" si="0"/>
        <v>4600</v>
      </c>
      <c r="H21" s="145">
        <f t="shared" si="1"/>
        <v>709.87654320987644</v>
      </c>
      <c r="I21" s="3">
        <v>3400</v>
      </c>
      <c r="J21" s="146">
        <f t="shared" si="2"/>
        <v>2413580.2469135802</v>
      </c>
      <c r="K21" s="147">
        <v>20000</v>
      </c>
      <c r="L21" s="148">
        <f t="shared" si="3"/>
        <v>4000000</v>
      </c>
      <c r="M21" s="147">
        <f t="shared" si="4"/>
        <v>1586419.7530864198</v>
      </c>
    </row>
    <row r="22" spans="1:13" x14ac:dyDescent="0.2">
      <c r="A22" s="1"/>
      <c r="B22" s="145" t="s">
        <v>7</v>
      </c>
      <c r="C22" s="145" t="s">
        <v>1522</v>
      </c>
      <c r="D22" s="1">
        <v>6.48</v>
      </c>
      <c r="E22" s="149">
        <v>300</v>
      </c>
      <c r="F22" s="149">
        <v>26</v>
      </c>
      <c r="G22" s="149">
        <f t="shared" si="0"/>
        <v>7800</v>
      </c>
      <c r="H22" s="145">
        <f t="shared" si="1"/>
        <v>1203.7037037037037</v>
      </c>
      <c r="I22" s="3">
        <v>3400</v>
      </c>
      <c r="J22" s="146">
        <f t="shared" si="2"/>
        <v>4092592.5925925924</v>
      </c>
      <c r="K22" s="147">
        <v>23000</v>
      </c>
      <c r="L22" s="148">
        <f t="shared" si="3"/>
        <v>6900000</v>
      </c>
      <c r="M22" s="147">
        <f t="shared" si="4"/>
        <v>2807407.4074074076</v>
      </c>
    </row>
    <row r="23" spans="1:13" x14ac:dyDescent="0.2">
      <c r="A23" s="1"/>
      <c r="B23" s="145" t="s">
        <v>253</v>
      </c>
      <c r="C23" s="145" t="s">
        <v>1523</v>
      </c>
      <c r="D23" s="1">
        <v>6.48</v>
      </c>
      <c r="E23" s="149">
        <v>300</v>
      </c>
      <c r="F23" s="149">
        <v>28</v>
      </c>
      <c r="G23" s="149">
        <f t="shared" si="0"/>
        <v>8400</v>
      </c>
      <c r="H23" s="145">
        <f t="shared" si="1"/>
        <v>1296.2962962962963</v>
      </c>
      <c r="I23" s="3">
        <v>3400</v>
      </c>
      <c r="J23" s="146">
        <f t="shared" si="2"/>
        <v>4407407.4074074067</v>
      </c>
      <c r="K23" s="147">
        <v>23000</v>
      </c>
      <c r="L23" s="148">
        <f t="shared" si="3"/>
        <v>6900000</v>
      </c>
      <c r="M23" s="147">
        <f t="shared" si="4"/>
        <v>2492592.5925925933</v>
      </c>
    </row>
    <row r="24" spans="1:13" x14ac:dyDescent="0.2">
      <c r="A24" s="1"/>
      <c r="B24" s="145" t="s">
        <v>253</v>
      </c>
      <c r="C24" s="145" t="s">
        <v>1614</v>
      </c>
      <c r="D24" s="1">
        <v>6.48</v>
      </c>
      <c r="E24" s="149">
        <v>200</v>
      </c>
      <c r="F24" s="149">
        <v>26</v>
      </c>
      <c r="G24" s="149">
        <f t="shared" si="0"/>
        <v>5200</v>
      </c>
      <c r="H24" s="145">
        <f t="shared" si="1"/>
        <v>802.46913580246905</v>
      </c>
      <c r="I24" s="3">
        <v>3400</v>
      </c>
      <c r="J24" s="146">
        <f t="shared" si="2"/>
        <v>2728395.0617283951</v>
      </c>
      <c r="K24" s="147">
        <v>23000</v>
      </c>
      <c r="L24" s="148">
        <f t="shared" si="3"/>
        <v>4600000</v>
      </c>
      <c r="M24" s="147">
        <f t="shared" si="4"/>
        <v>1871604.9382716049</v>
      </c>
    </row>
    <row r="25" spans="1:13" x14ac:dyDescent="0.2">
      <c r="A25" s="1"/>
      <c r="B25" s="145" t="s">
        <v>253</v>
      </c>
      <c r="C25" s="145" t="s">
        <v>1524</v>
      </c>
      <c r="D25" s="1">
        <v>6.48</v>
      </c>
      <c r="E25" s="149">
        <v>300</v>
      </c>
      <c r="F25" s="149">
        <v>24.5</v>
      </c>
      <c r="G25" s="149">
        <f t="shared" si="0"/>
        <v>7350</v>
      </c>
      <c r="H25" s="145">
        <f t="shared" si="1"/>
        <v>1134.2592592592591</v>
      </c>
      <c r="I25" s="3">
        <v>3400</v>
      </c>
      <c r="J25" s="146">
        <f t="shared" si="2"/>
        <v>3856481.4814814809</v>
      </c>
      <c r="K25" s="147">
        <v>22000</v>
      </c>
      <c r="L25" s="148">
        <f t="shared" si="3"/>
        <v>6600000</v>
      </c>
      <c r="M25" s="147">
        <f t="shared" si="4"/>
        <v>2743518.5185185191</v>
      </c>
    </row>
    <row r="26" spans="1:13" x14ac:dyDescent="0.2">
      <c r="A26" s="1"/>
      <c r="B26" s="145" t="s">
        <v>253</v>
      </c>
      <c r="C26" s="145" t="s">
        <v>1525</v>
      </c>
      <c r="D26" s="1">
        <v>6.48</v>
      </c>
      <c r="E26" s="149">
        <v>200</v>
      </c>
      <c r="F26" s="149">
        <v>25</v>
      </c>
      <c r="G26" s="149">
        <f t="shared" si="0"/>
        <v>5000</v>
      </c>
      <c r="H26" s="145">
        <f t="shared" si="1"/>
        <v>771.60493827160485</v>
      </c>
      <c r="I26" s="3">
        <v>3400</v>
      </c>
      <c r="J26" s="146">
        <f t="shared" si="2"/>
        <v>2623456.7901234566</v>
      </c>
      <c r="K26" s="147">
        <v>22000</v>
      </c>
      <c r="L26" s="148">
        <f t="shared" si="3"/>
        <v>4400000</v>
      </c>
      <c r="M26" s="147">
        <f t="shared" si="4"/>
        <v>1776543.2098765434</v>
      </c>
    </row>
    <row r="27" spans="1:13" x14ac:dyDescent="0.2">
      <c r="A27" s="1"/>
      <c r="B27" s="145" t="s">
        <v>253</v>
      </c>
      <c r="C27" s="145" t="s">
        <v>1526</v>
      </c>
      <c r="D27" s="1">
        <v>6.48</v>
      </c>
      <c r="E27" s="149">
        <v>200</v>
      </c>
      <c r="F27" s="149">
        <v>25</v>
      </c>
      <c r="G27" s="149">
        <f t="shared" si="0"/>
        <v>5000</v>
      </c>
      <c r="H27" s="145">
        <f t="shared" si="1"/>
        <v>771.60493827160485</v>
      </c>
      <c r="I27" s="3">
        <v>3400</v>
      </c>
      <c r="J27" s="146">
        <f t="shared" si="2"/>
        <v>2623456.7901234566</v>
      </c>
      <c r="K27" s="147">
        <v>22000</v>
      </c>
      <c r="L27" s="148">
        <f t="shared" si="3"/>
        <v>4400000</v>
      </c>
      <c r="M27" s="147">
        <f t="shared" si="4"/>
        <v>1776543.2098765434</v>
      </c>
    </row>
    <row r="28" spans="1:13" x14ac:dyDescent="0.2">
      <c r="A28" s="1"/>
      <c r="B28" s="145" t="s">
        <v>7</v>
      </c>
      <c r="C28" s="145" t="s">
        <v>1527</v>
      </c>
      <c r="D28" s="1">
        <v>6.48</v>
      </c>
      <c r="E28" s="149">
        <v>200</v>
      </c>
      <c r="F28" s="149">
        <v>28</v>
      </c>
      <c r="G28" s="149">
        <f t="shared" si="0"/>
        <v>5600</v>
      </c>
      <c r="H28" s="145">
        <f t="shared" si="1"/>
        <v>864.19753086419746</v>
      </c>
      <c r="I28" s="3">
        <v>3400</v>
      </c>
      <c r="J28" s="146">
        <f t="shared" si="2"/>
        <v>2938271.6049382715</v>
      </c>
      <c r="K28" s="147">
        <v>25000</v>
      </c>
      <c r="L28" s="148">
        <f t="shared" si="3"/>
        <v>5000000</v>
      </c>
      <c r="M28" s="147">
        <f t="shared" si="4"/>
        <v>2061728.3950617285</v>
      </c>
    </row>
    <row r="29" spans="1:13" x14ac:dyDescent="0.2">
      <c r="A29" s="1"/>
      <c r="B29" s="1"/>
      <c r="C29" s="145" t="s">
        <v>1528</v>
      </c>
      <c r="D29" s="1">
        <v>6.48</v>
      </c>
      <c r="E29" s="1">
        <v>200</v>
      </c>
      <c r="F29" s="149">
        <v>28</v>
      </c>
      <c r="G29" s="149">
        <f t="shared" si="0"/>
        <v>5600</v>
      </c>
      <c r="H29" s="145">
        <f t="shared" si="1"/>
        <v>864.19753086419746</v>
      </c>
      <c r="I29" s="3">
        <v>3400</v>
      </c>
      <c r="J29" s="146">
        <f t="shared" si="2"/>
        <v>2938271.6049382715</v>
      </c>
      <c r="K29" s="147">
        <v>25000</v>
      </c>
      <c r="L29" s="148">
        <f t="shared" si="3"/>
        <v>5000000</v>
      </c>
      <c r="M29" s="147">
        <f t="shared" si="4"/>
        <v>2061728.3950617285</v>
      </c>
    </row>
    <row r="30" spans="1:13" x14ac:dyDescent="0.2">
      <c r="A30" s="1"/>
      <c r="B30" s="1"/>
      <c r="C30" s="145" t="s">
        <v>1529</v>
      </c>
      <c r="D30" s="1">
        <v>6.48</v>
      </c>
      <c r="E30" s="149">
        <v>200</v>
      </c>
      <c r="F30" s="149">
        <v>26</v>
      </c>
      <c r="G30" s="149">
        <f t="shared" si="0"/>
        <v>5200</v>
      </c>
      <c r="H30" s="145">
        <f t="shared" si="1"/>
        <v>802.46913580246905</v>
      </c>
      <c r="I30" s="3">
        <v>3400</v>
      </c>
      <c r="J30" s="146">
        <f t="shared" si="2"/>
        <v>2728395.0617283951</v>
      </c>
      <c r="K30" s="147">
        <v>25000</v>
      </c>
      <c r="L30" s="148">
        <f t="shared" si="3"/>
        <v>5000000</v>
      </c>
      <c r="M30" s="147">
        <f t="shared" si="4"/>
        <v>2271604.9382716049</v>
      </c>
    </row>
    <row r="31" spans="1:13" x14ac:dyDescent="0.2">
      <c r="A31" s="1"/>
      <c r="B31" s="1"/>
      <c r="C31" s="145" t="s">
        <v>1530</v>
      </c>
      <c r="D31" s="1">
        <v>6.48</v>
      </c>
      <c r="E31" s="149">
        <v>200</v>
      </c>
      <c r="F31" s="149">
        <v>25</v>
      </c>
      <c r="G31" s="149">
        <f t="shared" si="0"/>
        <v>5000</v>
      </c>
      <c r="H31" s="145">
        <f t="shared" si="1"/>
        <v>771.60493827160485</v>
      </c>
      <c r="I31" s="3">
        <v>3400</v>
      </c>
      <c r="J31" s="146">
        <f t="shared" si="2"/>
        <v>2623456.7901234566</v>
      </c>
      <c r="K31" s="147">
        <v>22000</v>
      </c>
      <c r="L31" s="148">
        <f t="shared" si="3"/>
        <v>4400000</v>
      </c>
      <c r="M31" s="147">
        <f t="shared" si="4"/>
        <v>1776543.2098765434</v>
      </c>
    </row>
    <row r="32" spans="1:13" x14ac:dyDescent="0.2">
      <c r="A32" s="1"/>
      <c r="B32" s="1"/>
      <c r="C32" s="145" t="s">
        <v>1053</v>
      </c>
      <c r="D32" s="1">
        <v>6.48</v>
      </c>
      <c r="E32" s="149">
        <v>200</v>
      </c>
      <c r="F32" s="149">
        <v>27.5</v>
      </c>
      <c r="G32" s="149">
        <f t="shared" si="0"/>
        <v>5500</v>
      </c>
      <c r="H32" s="145">
        <f t="shared" si="1"/>
        <v>848.76543209876536</v>
      </c>
      <c r="I32" s="3">
        <v>3400</v>
      </c>
      <c r="J32" s="146">
        <f t="shared" si="2"/>
        <v>2885802.4691358022</v>
      </c>
      <c r="K32" s="147">
        <v>23000</v>
      </c>
      <c r="L32" s="148">
        <f t="shared" si="3"/>
        <v>4600000</v>
      </c>
      <c r="M32" s="147">
        <f t="shared" si="4"/>
        <v>1714197.5308641978</v>
      </c>
    </row>
    <row r="33" spans="1:13" x14ac:dyDescent="0.2">
      <c r="A33" s="1"/>
      <c r="B33" s="1"/>
      <c r="C33" s="145" t="s">
        <v>1531</v>
      </c>
      <c r="D33" s="1">
        <v>6.48</v>
      </c>
      <c r="E33" s="149">
        <v>300</v>
      </c>
      <c r="F33" s="149">
        <v>23.5</v>
      </c>
      <c r="G33" s="149">
        <f t="shared" si="0"/>
        <v>7050</v>
      </c>
      <c r="H33" s="145">
        <f t="shared" si="1"/>
        <v>1087.9629629629628</v>
      </c>
      <c r="I33" s="3">
        <v>3400</v>
      </c>
      <c r="J33" s="146">
        <f t="shared" si="2"/>
        <v>3699074.0740740737</v>
      </c>
      <c r="K33" s="147">
        <v>20000</v>
      </c>
      <c r="L33" s="148">
        <f t="shared" si="3"/>
        <v>6000000</v>
      </c>
      <c r="M33" s="147">
        <f t="shared" si="4"/>
        <v>2300925.9259259263</v>
      </c>
    </row>
    <row r="34" spans="1:13" x14ac:dyDescent="0.2">
      <c r="A34" s="1"/>
      <c r="B34" s="1"/>
      <c r="C34" s="145" t="s">
        <v>1193</v>
      </c>
      <c r="D34" s="1">
        <v>6.48</v>
      </c>
      <c r="E34" s="149">
        <v>300</v>
      </c>
      <c r="F34" s="149">
        <v>25</v>
      </c>
      <c r="G34" s="149">
        <f t="shared" si="0"/>
        <v>7500</v>
      </c>
      <c r="H34" s="145">
        <f t="shared" si="1"/>
        <v>1157.4074074074074</v>
      </c>
      <c r="I34" s="3">
        <v>3400</v>
      </c>
      <c r="J34" s="146">
        <f t="shared" si="2"/>
        <v>3935185.1851851852</v>
      </c>
      <c r="K34" s="147">
        <v>23000</v>
      </c>
      <c r="L34" s="148">
        <f t="shared" si="3"/>
        <v>6900000</v>
      </c>
      <c r="M34" s="147">
        <f t="shared" si="4"/>
        <v>2964814.8148148148</v>
      </c>
    </row>
    <row r="35" spans="1:13" x14ac:dyDescent="0.2">
      <c r="A35" s="1"/>
      <c r="B35" s="1" t="s">
        <v>1532</v>
      </c>
      <c r="C35" s="145" t="s">
        <v>1538</v>
      </c>
      <c r="D35" s="1">
        <v>6.48</v>
      </c>
      <c r="E35" s="149">
        <v>200</v>
      </c>
      <c r="F35" s="149">
        <v>31</v>
      </c>
      <c r="G35" s="149">
        <f t="shared" si="0"/>
        <v>6200</v>
      </c>
      <c r="H35" s="145">
        <f t="shared" si="1"/>
        <v>956.79012345679007</v>
      </c>
      <c r="I35" s="3">
        <v>3400</v>
      </c>
      <c r="J35" s="146">
        <f t="shared" si="2"/>
        <v>3253086.4197530858</v>
      </c>
      <c r="K35" s="147">
        <v>28000</v>
      </c>
      <c r="L35" s="148">
        <f t="shared" si="3"/>
        <v>5600000</v>
      </c>
      <c r="M35" s="147">
        <f t="shared" si="4"/>
        <v>2346913.5802469142</v>
      </c>
    </row>
    <row r="36" spans="1:13" x14ac:dyDescent="0.2">
      <c r="A36" s="1"/>
      <c r="B36" s="1"/>
      <c r="C36" s="145" t="s">
        <v>253</v>
      </c>
      <c r="D36" s="1">
        <v>6.48</v>
      </c>
      <c r="E36" s="149">
        <v>400</v>
      </c>
      <c r="F36" s="149">
        <v>30</v>
      </c>
      <c r="G36" s="149">
        <f t="shared" si="0"/>
        <v>12000</v>
      </c>
      <c r="H36" s="145">
        <f t="shared" si="1"/>
        <v>1851.8518518518517</v>
      </c>
      <c r="I36" s="3">
        <v>3400</v>
      </c>
      <c r="J36" s="146">
        <f t="shared" si="2"/>
        <v>6296296.2962962966</v>
      </c>
      <c r="K36" s="147">
        <v>28000</v>
      </c>
      <c r="L36" s="148">
        <f t="shared" si="3"/>
        <v>11200000</v>
      </c>
      <c r="M36" s="147">
        <f t="shared" si="4"/>
        <v>4903703.7037037034</v>
      </c>
    </row>
    <row r="37" spans="1:13" x14ac:dyDescent="0.2">
      <c r="A37" s="1"/>
      <c r="B37" s="1"/>
      <c r="C37" s="145" t="s">
        <v>1539</v>
      </c>
      <c r="D37" s="1">
        <v>6.48</v>
      </c>
      <c r="E37" s="149">
        <v>150</v>
      </c>
      <c r="F37" s="149">
        <v>25</v>
      </c>
      <c r="G37" s="149">
        <f t="shared" si="0"/>
        <v>3750</v>
      </c>
      <c r="H37" s="145">
        <f t="shared" si="1"/>
        <v>578.7037037037037</v>
      </c>
      <c r="I37" s="3">
        <v>3400</v>
      </c>
      <c r="J37" s="146">
        <f t="shared" si="2"/>
        <v>1967592.5925925926</v>
      </c>
      <c r="K37" s="147">
        <v>23000</v>
      </c>
      <c r="L37" s="148">
        <f t="shared" si="3"/>
        <v>3450000</v>
      </c>
      <c r="M37" s="147">
        <f t="shared" si="4"/>
        <v>1482407.4074074074</v>
      </c>
    </row>
    <row r="38" spans="1:13" x14ac:dyDescent="0.2">
      <c r="A38" s="1"/>
      <c r="B38" s="1"/>
      <c r="C38" s="145" t="s">
        <v>253</v>
      </c>
      <c r="D38" s="1">
        <v>6.48</v>
      </c>
      <c r="E38" s="149">
        <v>150</v>
      </c>
      <c r="F38" s="149">
        <v>25</v>
      </c>
      <c r="G38" s="149">
        <f t="shared" si="0"/>
        <v>3750</v>
      </c>
      <c r="H38" s="145">
        <f t="shared" si="1"/>
        <v>578.7037037037037</v>
      </c>
      <c r="I38" s="3">
        <v>3400</v>
      </c>
      <c r="J38" s="146">
        <f t="shared" si="2"/>
        <v>1967592.5925925926</v>
      </c>
      <c r="K38" s="147">
        <v>23000</v>
      </c>
      <c r="L38" s="148">
        <f t="shared" si="3"/>
        <v>3450000</v>
      </c>
      <c r="M38" s="147">
        <f t="shared" si="4"/>
        <v>1482407.4074074074</v>
      </c>
    </row>
    <row r="39" spans="1:13" x14ac:dyDescent="0.2">
      <c r="A39" s="1"/>
      <c r="B39" s="1" t="s">
        <v>1533</v>
      </c>
      <c r="C39" s="145" t="s">
        <v>1534</v>
      </c>
      <c r="D39" s="1">
        <v>6.48</v>
      </c>
      <c r="E39" s="149">
        <v>200</v>
      </c>
      <c r="F39" s="149">
        <v>35</v>
      </c>
      <c r="G39" s="149">
        <f t="shared" si="0"/>
        <v>7000</v>
      </c>
      <c r="H39" s="145">
        <f t="shared" si="1"/>
        <v>1080.2469135802469</v>
      </c>
      <c r="I39" s="3">
        <v>3400</v>
      </c>
      <c r="J39" s="146">
        <f t="shared" si="2"/>
        <v>3672839.5061728391</v>
      </c>
      <c r="K39" s="147">
        <v>40000</v>
      </c>
      <c r="L39" s="148">
        <f t="shared" si="3"/>
        <v>8000000</v>
      </c>
      <c r="M39" s="147">
        <f t="shared" si="4"/>
        <v>4327160.4938271604</v>
      </c>
    </row>
    <row r="40" spans="1:13" x14ac:dyDescent="0.2">
      <c r="A40" s="1"/>
      <c r="B40" s="1" t="s">
        <v>253</v>
      </c>
      <c r="C40" s="145" t="s">
        <v>253</v>
      </c>
      <c r="D40" s="1">
        <v>6.48</v>
      </c>
      <c r="E40" s="149">
        <v>150</v>
      </c>
      <c r="F40" s="149">
        <v>37</v>
      </c>
      <c r="G40" s="149">
        <f t="shared" si="0"/>
        <v>5550</v>
      </c>
      <c r="H40" s="145">
        <f t="shared" si="1"/>
        <v>856.48148148148141</v>
      </c>
      <c r="I40" s="3">
        <v>3400</v>
      </c>
      <c r="J40" s="146">
        <f t="shared" si="2"/>
        <v>2912037.0370370373</v>
      </c>
      <c r="K40" s="147">
        <v>40000</v>
      </c>
      <c r="L40" s="148">
        <f t="shared" si="3"/>
        <v>6000000</v>
      </c>
      <c r="M40" s="147">
        <f t="shared" si="4"/>
        <v>3087962.9629629627</v>
      </c>
    </row>
    <row r="41" spans="1:13" x14ac:dyDescent="0.2">
      <c r="A41" s="1"/>
      <c r="B41" s="1" t="s">
        <v>7</v>
      </c>
      <c r="C41" s="145" t="s">
        <v>1535</v>
      </c>
      <c r="D41" s="1">
        <v>6.48</v>
      </c>
      <c r="E41" s="149">
        <v>300</v>
      </c>
      <c r="F41" s="149">
        <v>20.5</v>
      </c>
      <c r="G41" s="149">
        <f t="shared" si="0"/>
        <v>6150</v>
      </c>
      <c r="H41" s="145">
        <f t="shared" si="1"/>
        <v>949.07407407407402</v>
      </c>
      <c r="I41" s="3">
        <v>3400</v>
      </c>
      <c r="J41" s="146">
        <f t="shared" si="2"/>
        <v>3226851.8518518512</v>
      </c>
      <c r="K41" s="147">
        <v>18000</v>
      </c>
      <c r="L41" s="148">
        <f t="shared" si="3"/>
        <v>5400000</v>
      </c>
      <c r="M41" s="147">
        <f t="shared" si="4"/>
        <v>2173148.1481481488</v>
      </c>
    </row>
    <row r="42" spans="1:13" x14ac:dyDescent="0.2">
      <c r="A42" s="1"/>
      <c r="B42" s="1"/>
      <c r="C42" s="145" t="s">
        <v>1536</v>
      </c>
      <c r="D42" s="1">
        <v>6.48</v>
      </c>
      <c r="E42" s="149">
        <v>300</v>
      </c>
      <c r="F42" s="149">
        <v>21</v>
      </c>
      <c r="G42" s="149">
        <f t="shared" si="0"/>
        <v>6300</v>
      </c>
      <c r="H42" s="145">
        <f t="shared" si="1"/>
        <v>972.22222222222217</v>
      </c>
      <c r="I42" s="3">
        <v>3400</v>
      </c>
      <c r="J42" s="146">
        <f t="shared" si="2"/>
        <v>3305555.5555555555</v>
      </c>
      <c r="K42" s="147">
        <v>18000</v>
      </c>
      <c r="L42" s="148">
        <f t="shared" si="3"/>
        <v>5400000</v>
      </c>
      <c r="M42" s="147">
        <f t="shared" si="4"/>
        <v>2094444.4444444445</v>
      </c>
    </row>
    <row r="43" spans="1:13" x14ac:dyDescent="0.2">
      <c r="A43" s="1"/>
      <c r="B43" s="1"/>
      <c r="C43" s="145" t="s">
        <v>1537</v>
      </c>
      <c r="D43" s="1">
        <v>6.48</v>
      </c>
      <c r="E43" s="149">
        <v>300</v>
      </c>
      <c r="F43" s="149">
        <v>20.5</v>
      </c>
      <c r="G43" s="149">
        <f t="shared" si="0"/>
        <v>6150</v>
      </c>
      <c r="H43" s="145">
        <f t="shared" si="1"/>
        <v>949.07407407407402</v>
      </c>
      <c r="I43" s="3">
        <v>3400</v>
      </c>
      <c r="J43" s="146">
        <f t="shared" si="2"/>
        <v>3226851.8518518512</v>
      </c>
      <c r="K43" s="147">
        <v>18000</v>
      </c>
      <c r="L43" s="148">
        <f t="shared" si="3"/>
        <v>5400000</v>
      </c>
      <c r="M43" s="147">
        <f t="shared" si="4"/>
        <v>2173148.1481481488</v>
      </c>
    </row>
    <row r="44" spans="1:13" x14ac:dyDescent="0.2">
      <c r="A44" s="1"/>
      <c r="B44" s="1" t="s">
        <v>1155</v>
      </c>
      <c r="C44" s="145" t="s">
        <v>1540</v>
      </c>
      <c r="D44" s="1">
        <v>6.48</v>
      </c>
      <c r="E44" s="149">
        <v>120</v>
      </c>
      <c r="F44" s="149">
        <v>22</v>
      </c>
      <c r="G44" s="149">
        <f t="shared" si="0"/>
        <v>2640</v>
      </c>
      <c r="H44" s="145">
        <f t="shared" si="1"/>
        <v>407.40740740740739</v>
      </c>
      <c r="I44" s="3">
        <v>3400</v>
      </c>
      <c r="J44" s="37">
        <f t="shared" si="2"/>
        <v>1385185.1851851852</v>
      </c>
      <c r="K44" s="147">
        <v>25000</v>
      </c>
      <c r="L44" s="17">
        <f t="shared" si="3"/>
        <v>3000000</v>
      </c>
      <c r="M44" s="17">
        <f t="shared" si="4"/>
        <v>1614814.8148148148</v>
      </c>
    </row>
    <row r="45" spans="1:13" x14ac:dyDescent="0.2">
      <c r="A45" s="1"/>
      <c r="B45" s="1" t="s">
        <v>1070</v>
      </c>
      <c r="C45" s="145" t="s">
        <v>1541</v>
      </c>
      <c r="D45" s="1">
        <v>6.48</v>
      </c>
      <c r="E45" s="149">
        <v>100</v>
      </c>
      <c r="F45" s="149">
        <v>22</v>
      </c>
      <c r="G45" s="149">
        <f t="shared" si="0"/>
        <v>2200</v>
      </c>
      <c r="H45" s="145">
        <f t="shared" si="1"/>
        <v>339.50617283950618</v>
      </c>
      <c r="I45" s="3">
        <v>3400</v>
      </c>
      <c r="J45" s="146">
        <f t="shared" si="2"/>
        <v>1154320.9876543209</v>
      </c>
      <c r="K45" s="147">
        <v>25000</v>
      </c>
      <c r="L45" s="148">
        <f t="shared" si="3"/>
        <v>2500000</v>
      </c>
      <c r="M45" s="147">
        <f t="shared" si="4"/>
        <v>1345679.0123456791</v>
      </c>
    </row>
    <row r="46" spans="1:13" x14ac:dyDescent="0.2">
      <c r="A46" s="1"/>
      <c r="B46" s="1" t="s">
        <v>253</v>
      </c>
      <c r="C46" s="145" t="s">
        <v>1545</v>
      </c>
      <c r="D46" s="1">
        <v>6.48</v>
      </c>
      <c r="E46" s="149">
        <v>41</v>
      </c>
      <c r="F46" s="149">
        <v>31</v>
      </c>
      <c r="G46" s="149">
        <f t="shared" si="0"/>
        <v>1271</v>
      </c>
      <c r="H46" s="145">
        <f t="shared" si="1"/>
        <v>196.14197530864197</v>
      </c>
      <c r="I46" s="3">
        <v>3400</v>
      </c>
      <c r="J46" s="146">
        <f t="shared" si="2"/>
        <v>666882.71604938258</v>
      </c>
      <c r="K46" s="147">
        <v>30000</v>
      </c>
      <c r="L46" s="148">
        <f t="shared" si="3"/>
        <v>1230000</v>
      </c>
      <c r="M46" s="147">
        <f t="shared" si="4"/>
        <v>563117.28395061742</v>
      </c>
    </row>
    <row r="47" spans="1:13" x14ac:dyDescent="0.2">
      <c r="A47" s="1"/>
      <c r="B47" s="1" t="s">
        <v>253</v>
      </c>
      <c r="C47" s="145" t="s">
        <v>1542</v>
      </c>
      <c r="D47" s="1">
        <v>6.48</v>
      </c>
      <c r="E47" s="149">
        <v>100</v>
      </c>
      <c r="F47" s="149">
        <v>22</v>
      </c>
      <c r="G47" s="149">
        <f t="shared" si="0"/>
        <v>2200</v>
      </c>
      <c r="H47" s="145">
        <f t="shared" si="1"/>
        <v>339.50617283950618</v>
      </c>
      <c r="I47" s="3">
        <v>3400</v>
      </c>
      <c r="J47" s="146">
        <f t="shared" si="2"/>
        <v>1154320.9876543209</v>
      </c>
      <c r="K47" s="147">
        <v>25000</v>
      </c>
      <c r="L47" s="148">
        <f t="shared" si="3"/>
        <v>2500000</v>
      </c>
      <c r="M47" s="147">
        <f t="shared" si="4"/>
        <v>1345679.0123456791</v>
      </c>
    </row>
    <row r="48" spans="1:13" x14ac:dyDescent="0.2">
      <c r="A48" s="1"/>
      <c r="B48" s="1" t="s">
        <v>253</v>
      </c>
      <c r="C48" s="145" t="s">
        <v>1543</v>
      </c>
      <c r="D48" s="1">
        <v>6.48</v>
      </c>
      <c r="E48" s="149">
        <v>66</v>
      </c>
      <c r="F48" s="149">
        <v>15</v>
      </c>
      <c r="G48" s="149">
        <f t="shared" si="0"/>
        <v>990</v>
      </c>
      <c r="H48" s="145">
        <f t="shared" si="1"/>
        <v>152.77777777777777</v>
      </c>
      <c r="I48" s="3">
        <v>3400</v>
      </c>
      <c r="J48" s="146">
        <f t="shared" si="2"/>
        <v>519444.44444444444</v>
      </c>
      <c r="K48" s="147">
        <v>15000</v>
      </c>
      <c r="L48" s="148">
        <f t="shared" si="3"/>
        <v>990000</v>
      </c>
      <c r="M48" s="147">
        <f t="shared" si="4"/>
        <v>470555.55555555556</v>
      </c>
    </row>
    <row r="49" spans="1:13" x14ac:dyDescent="0.2">
      <c r="A49" s="1"/>
      <c r="B49" s="1" t="s">
        <v>253</v>
      </c>
      <c r="C49" s="145" t="s">
        <v>1544</v>
      </c>
      <c r="D49" s="1">
        <v>6.48</v>
      </c>
      <c r="E49" s="149">
        <v>41</v>
      </c>
      <c r="F49" s="149">
        <v>27</v>
      </c>
      <c r="G49" s="149">
        <f t="shared" si="0"/>
        <v>1107</v>
      </c>
      <c r="H49" s="145">
        <f t="shared" si="1"/>
        <v>170.83333333333331</v>
      </c>
      <c r="I49" s="3">
        <v>3400</v>
      </c>
      <c r="J49" s="146">
        <f t="shared" si="2"/>
        <v>580833.33333333326</v>
      </c>
      <c r="K49" s="147">
        <v>30000</v>
      </c>
      <c r="L49" s="148">
        <f t="shared" si="3"/>
        <v>1230000</v>
      </c>
      <c r="M49" s="147">
        <f t="shared" si="4"/>
        <v>649166.66666666674</v>
      </c>
    </row>
    <row r="50" spans="1:13" x14ac:dyDescent="0.2">
      <c r="A50" s="1"/>
      <c r="B50" s="1" t="s">
        <v>253</v>
      </c>
      <c r="C50" s="145" t="s">
        <v>1313</v>
      </c>
      <c r="D50" s="1">
        <v>6.48</v>
      </c>
      <c r="E50" s="149">
        <v>25</v>
      </c>
      <c r="F50" s="149">
        <v>20</v>
      </c>
      <c r="G50" s="149">
        <f t="shared" si="0"/>
        <v>500</v>
      </c>
      <c r="H50" s="145">
        <f t="shared" si="1"/>
        <v>77.160493827160494</v>
      </c>
      <c r="I50" s="3">
        <v>3400</v>
      </c>
      <c r="J50" s="146">
        <f t="shared" si="2"/>
        <v>262345.67901234567</v>
      </c>
      <c r="K50" s="147">
        <v>25000</v>
      </c>
      <c r="L50" s="148">
        <f t="shared" si="3"/>
        <v>625000</v>
      </c>
      <c r="M50" s="147">
        <f t="shared" si="4"/>
        <v>362654.32098765433</v>
      </c>
    </row>
    <row r="51" spans="1:13" x14ac:dyDescent="0.2">
      <c r="A51" s="1"/>
      <c r="B51" s="1" t="s">
        <v>253</v>
      </c>
      <c r="C51" s="145" t="s">
        <v>1546</v>
      </c>
      <c r="D51" s="1">
        <v>6.48</v>
      </c>
      <c r="E51" s="149">
        <v>120</v>
      </c>
      <c r="F51" s="149">
        <v>22</v>
      </c>
      <c r="G51" s="149">
        <f t="shared" si="0"/>
        <v>2640</v>
      </c>
      <c r="H51" s="145">
        <f t="shared" si="1"/>
        <v>407.40740740740739</v>
      </c>
      <c r="I51" s="3">
        <v>3400</v>
      </c>
      <c r="J51" s="146">
        <f t="shared" si="2"/>
        <v>1385185.1851851852</v>
      </c>
      <c r="K51" s="147">
        <v>25000</v>
      </c>
      <c r="L51" s="148">
        <f t="shared" si="3"/>
        <v>3000000</v>
      </c>
      <c r="M51" s="147">
        <f t="shared" si="4"/>
        <v>1614814.8148148148</v>
      </c>
    </row>
    <row r="52" spans="1:13" x14ac:dyDescent="0.2">
      <c r="A52" s="1"/>
      <c r="B52" s="1" t="s">
        <v>1070</v>
      </c>
      <c r="C52" s="145" t="s">
        <v>1547</v>
      </c>
      <c r="D52" s="1">
        <v>6.48</v>
      </c>
      <c r="E52" s="149">
        <v>150</v>
      </c>
      <c r="F52" s="149">
        <v>12</v>
      </c>
      <c r="G52" s="149">
        <f t="shared" si="0"/>
        <v>1800</v>
      </c>
      <c r="H52" s="145">
        <f t="shared" si="1"/>
        <v>277.77777777777777</v>
      </c>
      <c r="I52" s="3">
        <v>3400</v>
      </c>
      <c r="J52" s="146">
        <f t="shared" si="2"/>
        <v>944444.44444444438</v>
      </c>
      <c r="K52" s="147">
        <v>15000</v>
      </c>
      <c r="L52" s="148">
        <f t="shared" si="3"/>
        <v>2250000</v>
      </c>
      <c r="M52" s="147">
        <f t="shared" si="4"/>
        <v>1305555.5555555555</v>
      </c>
    </row>
    <row r="53" spans="1:13" x14ac:dyDescent="0.2">
      <c r="A53" s="1"/>
      <c r="B53" s="1" t="s">
        <v>253</v>
      </c>
      <c r="C53" s="145" t="s">
        <v>1548</v>
      </c>
      <c r="D53" s="1">
        <v>6.48</v>
      </c>
      <c r="E53" s="149">
        <v>150</v>
      </c>
      <c r="F53" s="149">
        <v>14</v>
      </c>
      <c r="G53" s="149">
        <f t="shared" si="0"/>
        <v>2100</v>
      </c>
      <c r="H53" s="145">
        <f t="shared" si="1"/>
        <v>324.07407407407408</v>
      </c>
      <c r="I53" s="3">
        <v>3400</v>
      </c>
      <c r="J53" s="146">
        <f t="shared" si="2"/>
        <v>1101851.8518518517</v>
      </c>
      <c r="K53" s="147">
        <v>15000</v>
      </c>
      <c r="L53" s="148">
        <f t="shared" si="3"/>
        <v>2250000</v>
      </c>
      <c r="M53" s="147">
        <f t="shared" si="4"/>
        <v>1148148.1481481483</v>
      </c>
    </row>
    <row r="54" spans="1:13" x14ac:dyDescent="0.2">
      <c r="A54" s="1"/>
      <c r="B54" s="1" t="s">
        <v>253</v>
      </c>
      <c r="C54" s="145" t="s">
        <v>1549</v>
      </c>
      <c r="D54" s="1">
        <v>6.48</v>
      </c>
      <c r="E54" s="149">
        <v>150</v>
      </c>
      <c r="F54" s="149">
        <v>14</v>
      </c>
      <c r="G54" s="149">
        <f t="shared" si="0"/>
        <v>2100</v>
      </c>
      <c r="H54" s="145">
        <f t="shared" si="1"/>
        <v>324.07407407407408</v>
      </c>
      <c r="I54" s="3">
        <v>3400</v>
      </c>
      <c r="J54" s="146">
        <f t="shared" si="2"/>
        <v>1101851.8518518517</v>
      </c>
      <c r="K54" s="147">
        <v>15000</v>
      </c>
      <c r="L54" s="148">
        <f t="shared" si="3"/>
        <v>2250000</v>
      </c>
      <c r="M54" s="147">
        <f t="shared" si="4"/>
        <v>1148148.1481481483</v>
      </c>
    </row>
    <row r="55" spans="1:13" x14ac:dyDescent="0.2">
      <c r="A55" s="1"/>
      <c r="B55" s="1" t="s">
        <v>7</v>
      </c>
      <c r="C55" s="145" t="s">
        <v>1550</v>
      </c>
      <c r="D55" s="1">
        <v>6.48</v>
      </c>
      <c r="E55" s="149">
        <v>335</v>
      </c>
      <c r="F55" s="149">
        <v>10</v>
      </c>
      <c r="G55" s="149">
        <f t="shared" si="0"/>
        <v>3350</v>
      </c>
      <c r="H55" s="145">
        <f t="shared" si="1"/>
        <v>516.97530864197529</v>
      </c>
      <c r="I55" s="3">
        <v>3400</v>
      </c>
      <c r="J55" s="146">
        <f t="shared" si="2"/>
        <v>1757716.049382716</v>
      </c>
      <c r="K55" s="147">
        <v>18000</v>
      </c>
      <c r="L55" s="148">
        <f t="shared" si="3"/>
        <v>6030000</v>
      </c>
      <c r="M55" s="147">
        <f t="shared" si="4"/>
        <v>4272283.9506172836</v>
      </c>
    </row>
    <row r="56" spans="1:13" x14ac:dyDescent="0.2">
      <c r="A56" s="1"/>
      <c r="B56" s="1" t="s">
        <v>1076</v>
      </c>
      <c r="C56" s="145" t="s">
        <v>1551</v>
      </c>
      <c r="D56" s="1">
        <v>6.48</v>
      </c>
      <c r="E56" s="149">
        <v>80</v>
      </c>
      <c r="F56" s="149">
        <v>15</v>
      </c>
      <c r="G56" s="149">
        <f t="shared" si="0"/>
        <v>1200</v>
      </c>
      <c r="H56" s="145">
        <f t="shared" si="1"/>
        <v>185.18518518518516</v>
      </c>
      <c r="I56" s="3">
        <v>3400</v>
      </c>
      <c r="J56" s="146">
        <f t="shared" si="2"/>
        <v>629629.62962962966</v>
      </c>
      <c r="K56" s="147">
        <v>20000</v>
      </c>
      <c r="L56" s="148">
        <f t="shared" si="3"/>
        <v>1600000</v>
      </c>
      <c r="M56" s="147">
        <f t="shared" si="4"/>
        <v>970370.37037037034</v>
      </c>
    </row>
    <row r="57" spans="1:13" x14ac:dyDescent="0.2">
      <c r="A57" s="1"/>
      <c r="B57" s="1" t="s">
        <v>1552</v>
      </c>
      <c r="C57" s="145" t="s">
        <v>1553</v>
      </c>
      <c r="D57" s="1">
        <v>6.48</v>
      </c>
      <c r="E57" s="149">
        <v>400</v>
      </c>
      <c r="F57" s="149">
        <v>55</v>
      </c>
      <c r="G57" s="149">
        <f t="shared" si="0"/>
        <v>22000</v>
      </c>
      <c r="H57" s="145">
        <f t="shared" si="1"/>
        <v>3395.0617283950614</v>
      </c>
      <c r="I57" s="3">
        <v>3400</v>
      </c>
      <c r="J57" s="146">
        <f t="shared" si="2"/>
        <v>11543209.876543209</v>
      </c>
      <c r="K57" s="147">
        <v>45000</v>
      </c>
      <c r="L57" s="148">
        <f t="shared" si="3"/>
        <v>18000000</v>
      </c>
      <c r="M57" s="17">
        <f t="shared" si="4"/>
        <v>6456790.123456791</v>
      </c>
    </row>
    <row r="58" spans="1:13" x14ac:dyDescent="0.2">
      <c r="A58" s="1"/>
      <c r="B58" s="1" t="s">
        <v>7</v>
      </c>
      <c r="C58" s="145" t="s">
        <v>1554</v>
      </c>
      <c r="D58" s="1">
        <v>6.48</v>
      </c>
      <c r="E58" s="149">
        <v>300</v>
      </c>
      <c r="F58" s="149">
        <v>25</v>
      </c>
      <c r="G58" s="149">
        <f t="shared" si="0"/>
        <v>7500</v>
      </c>
      <c r="H58" s="145">
        <f t="shared" si="1"/>
        <v>1157.4074074074074</v>
      </c>
      <c r="I58" s="3">
        <v>3400</v>
      </c>
      <c r="J58" s="146">
        <f t="shared" si="2"/>
        <v>3935185.1851851852</v>
      </c>
      <c r="K58" s="147">
        <v>23000</v>
      </c>
      <c r="L58" s="148">
        <f t="shared" si="3"/>
        <v>6900000</v>
      </c>
      <c r="M58" s="17">
        <f t="shared" si="4"/>
        <v>2964814.8148148148</v>
      </c>
    </row>
    <row r="59" spans="1:13" x14ac:dyDescent="0.2">
      <c r="A59" s="1"/>
      <c r="B59" s="1" t="s">
        <v>253</v>
      </c>
      <c r="C59" s="145" t="s">
        <v>1555</v>
      </c>
      <c r="D59" s="1">
        <v>6.48</v>
      </c>
      <c r="E59" s="149">
        <v>910</v>
      </c>
      <c r="F59" s="149">
        <v>20</v>
      </c>
      <c r="G59" s="149">
        <f t="shared" si="0"/>
        <v>18200</v>
      </c>
      <c r="H59" s="145">
        <f t="shared" si="1"/>
        <v>2808.6419753086416</v>
      </c>
      <c r="I59" s="3">
        <v>3400</v>
      </c>
      <c r="J59" s="146">
        <f t="shared" si="2"/>
        <v>9549382.7160493825</v>
      </c>
      <c r="K59" s="147">
        <v>20000</v>
      </c>
      <c r="L59" s="148">
        <f t="shared" si="3"/>
        <v>18200000</v>
      </c>
      <c r="M59" s="17">
        <f t="shared" si="4"/>
        <v>8650617.2839506175</v>
      </c>
    </row>
    <row r="60" spans="1:13" x14ac:dyDescent="0.2">
      <c r="A60" s="1"/>
      <c r="B60" s="1" t="s">
        <v>7</v>
      </c>
      <c r="C60" s="145" t="s">
        <v>1563</v>
      </c>
      <c r="D60" s="1">
        <v>6.48</v>
      </c>
      <c r="E60" s="149">
        <v>200</v>
      </c>
      <c r="F60" s="149">
        <v>20</v>
      </c>
      <c r="G60" s="149">
        <f t="shared" si="0"/>
        <v>4000</v>
      </c>
      <c r="H60" s="145">
        <f t="shared" si="1"/>
        <v>617.28395061728395</v>
      </c>
      <c r="I60" s="3">
        <v>3400</v>
      </c>
      <c r="J60" s="146">
        <f t="shared" si="2"/>
        <v>2098765.4320987654</v>
      </c>
      <c r="K60" s="147">
        <v>22000</v>
      </c>
      <c r="L60" s="148">
        <f t="shared" si="3"/>
        <v>4400000</v>
      </c>
      <c r="M60" s="17">
        <f t="shared" si="4"/>
        <v>2301234.5679012346</v>
      </c>
    </row>
    <row r="61" spans="1:13" x14ac:dyDescent="0.2">
      <c r="A61" s="1"/>
      <c r="B61" s="1" t="s">
        <v>253</v>
      </c>
      <c r="C61" s="145" t="s">
        <v>1050</v>
      </c>
      <c r="D61" s="1">
        <v>6.48</v>
      </c>
      <c r="E61" s="149">
        <v>200</v>
      </c>
      <c r="F61" s="149">
        <v>23</v>
      </c>
      <c r="G61" s="149">
        <f t="shared" si="0"/>
        <v>4600</v>
      </c>
      <c r="H61" s="145">
        <f t="shared" si="1"/>
        <v>709.87654320987644</v>
      </c>
      <c r="I61" s="3">
        <v>3400</v>
      </c>
      <c r="J61" s="146">
        <f t="shared" si="2"/>
        <v>2413580.2469135802</v>
      </c>
      <c r="K61" s="147">
        <v>22000</v>
      </c>
      <c r="L61" s="148">
        <f t="shared" si="3"/>
        <v>4400000</v>
      </c>
      <c r="M61" s="17">
        <f t="shared" si="4"/>
        <v>1986419.7530864198</v>
      </c>
    </row>
    <row r="62" spans="1:13" x14ac:dyDescent="0.2">
      <c r="A62" s="1"/>
      <c r="B62" s="1" t="s">
        <v>7</v>
      </c>
      <c r="C62" s="145" t="s">
        <v>1564</v>
      </c>
      <c r="D62" s="1">
        <v>6.48</v>
      </c>
      <c r="E62" s="149">
        <v>370</v>
      </c>
      <c r="F62" s="149">
        <v>15</v>
      </c>
      <c r="G62" s="149">
        <f t="shared" si="0"/>
        <v>5550</v>
      </c>
      <c r="H62" s="145">
        <f t="shared" si="1"/>
        <v>856.48148148148141</v>
      </c>
      <c r="I62" s="3">
        <v>3400</v>
      </c>
      <c r="J62" s="146">
        <f t="shared" si="2"/>
        <v>2912037.0370370368</v>
      </c>
      <c r="K62" s="147">
        <v>20000</v>
      </c>
      <c r="L62" s="148">
        <f t="shared" si="3"/>
        <v>7400000</v>
      </c>
      <c r="M62" s="17">
        <f t="shared" si="4"/>
        <v>4487962.9629629627</v>
      </c>
    </row>
    <row r="63" spans="1:13" x14ac:dyDescent="0.2">
      <c r="A63" s="1"/>
      <c r="B63" s="1" t="s">
        <v>1565</v>
      </c>
      <c r="C63" s="145" t="s">
        <v>1279</v>
      </c>
      <c r="D63" s="1">
        <v>6.48</v>
      </c>
      <c r="E63" s="149">
        <v>67</v>
      </c>
      <c r="F63" s="149">
        <v>12</v>
      </c>
      <c r="G63" s="149">
        <f t="shared" si="0"/>
        <v>804</v>
      </c>
      <c r="H63" s="145">
        <f t="shared" si="1"/>
        <v>124.07407407407406</v>
      </c>
      <c r="I63" s="3">
        <v>3400</v>
      </c>
      <c r="J63" s="146">
        <f t="shared" si="2"/>
        <v>421851.8518518518</v>
      </c>
      <c r="K63" s="147">
        <v>20000</v>
      </c>
      <c r="L63" s="148">
        <f t="shared" si="3"/>
        <v>1340000</v>
      </c>
      <c r="M63" s="17">
        <f t="shared" si="4"/>
        <v>918148.1481481482</v>
      </c>
    </row>
    <row r="64" spans="1:13" x14ac:dyDescent="0.2">
      <c r="A64" s="1"/>
      <c r="B64" s="1" t="s">
        <v>7</v>
      </c>
      <c r="C64" s="145" t="s">
        <v>1463</v>
      </c>
      <c r="D64" s="1">
        <v>6.48</v>
      </c>
      <c r="E64" s="149">
        <v>530</v>
      </c>
      <c r="F64" s="149">
        <v>22</v>
      </c>
      <c r="G64" s="149">
        <f t="shared" si="0"/>
        <v>11660</v>
      </c>
      <c r="H64" s="145">
        <f t="shared" si="1"/>
        <v>1799.3827160493827</v>
      </c>
      <c r="I64" s="3">
        <v>3400</v>
      </c>
      <c r="J64" s="146">
        <f t="shared" si="2"/>
        <v>6117901.2345679011</v>
      </c>
      <c r="K64" s="147">
        <v>22000</v>
      </c>
      <c r="L64" s="148">
        <f t="shared" si="3"/>
        <v>11660000</v>
      </c>
      <c r="M64" s="17">
        <f t="shared" si="4"/>
        <v>5542098.7654320989</v>
      </c>
    </row>
    <row r="65" spans="1:13" x14ac:dyDescent="0.2">
      <c r="A65" s="1"/>
      <c r="B65" s="1" t="s">
        <v>7</v>
      </c>
      <c r="C65" s="145" t="s">
        <v>1573</v>
      </c>
      <c r="D65" s="1">
        <v>6.48</v>
      </c>
      <c r="E65" s="149">
        <v>315</v>
      </c>
      <c r="F65" s="149">
        <v>16</v>
      </c>
      <c r="G65" s="149">
        <f t="shared" si="0"/>
        <v>5040</v>
      </c>
      <c r="H65" s="145">
        <f t="shared" si="1"/>
        <v>777.77777777777771</v>
      </c>
      <c r="I65" s="3">
        <v>3400</v>
      </c>
      <c r="J65" s="146">
        <f t="shared" si="2"/>
        <v>2644444.4444444445</v>
      </c>
      <c r="K65" s="147">
        <v>20000</v>
      </c>
      <c r="L65" s="148">
        <f t="shared" si="3"/>
        <v>6300000</v>
      </c>
      <c r="M65" s="17">
        <f t="shared" si="4"/>
        <v>3655555.5555555555</v>
      </c>
    </row>
    <row r="66" spans="1:13" x14ac:dyDescent="0.2">
      <c r="A66" s="1"/>
      <c r="B66" s="1"/>
      <c r="C66" s="1"/>
      <c r="D66" s="1"/>
      <c r="E66" s="92">
        <f>SUM(E3:E65)</f>
        <v>14420</v>
      </c>
      <c r="F66" s="1"/>
      <c r="G66" s="1"/>
      <c r="H66" s="172">
        <f>SUM(H3:H65)</f>
        <v>54290.432098765436</v>
      </c>
      <c r="I66" s="3"/>
      <c r="J66" s="141">
        <f>SUM(J3:J65)</f>
        <v>184587469.13580251</v>
      </c>
      <c r="K66" s="1"/>
      <c r="L66" s="84">
        <f>SUM(L3:L65)</f>
        <v>329555000</v>
      </c>
      <c r="M66" s="20">
        <f>SUM(M3:M65)</f>
        <v>144967530.86419755</v>
      </c>
    </row>
    <row r="67" spans="1:13" x14ac:dyDescent="0.2">
      <c r="D67" s="118"/>
      <c r="I67" s="74"/>
    </row>
    <row r="77" spans="1:13" x14ac:dyDescent="0.2">
      <c r="I77" s="3" t="s">
        <v>25</v>
      </c>
      <c r="J77" s="169">
        <v>184587469</v>
      </c>
    </row>
    <row r="78" spans="1:13" x14ac:dyDescent="0.2">
      <c r="I78" s="3" t="s">
        <v>27</v>
      </c>
      <c r="J78" s="9">
        <v>9314300</v>
      </c>
    </row>
    <row r="79" spans="1:13" x14ac:dyDescent="0.2">
      <c r="I79" s="3" t="s">
        <v>26</v>
      </c>
      <c r="J79" s="3">
        <v>3726000</v>
      </c>
    </row>
    <row r="80" spans="1:13" x14ac:dyDescent="0.2">
      <c r="I80" s="3" t="s">
        <v>33</v>
      </c>
      <c r="J80" s="3">
        <v>4000000</v>
      </c>
    </row>
    <row r="81" spans="9:12" x14ac:dyDescent="0.2">
      <c r="I81" s="3" t="s">
        <v>31</v>
      </c>
      <c r="J81" s="3">
        <v>6350000</v>
      </c>
    </row>
    <row r="82" spans="9:12" x14ac:dyDescent="0.2">
      <c r="I82" s="3" t="s">
        <v>36</v>
      </c>
      <c r="J82" s="3">
        <v>3410000</v>
      </c>
    </row>
    <row r="83" spans="9:12" x14ac:dyDescent="0.2">
      <c r="I83" s="3" t="s">
        <v>29</v>
      </c>
      <c r="J83" s="23">
        <v>15000000</v>
      </c>
    </row>
    <row r="84" spans="9:12" x14ac:dyDescent="0.2">
      <c r="I84" s="3" t="s">
        <v>34</v>
      </c>
      <c r="J84" s="127">
        <f>SUM(J77:J83)</f>
        <v>226387769</v>
      </c>
    </row>
    <row r="85" spans="9:12" x14ac:dyDescent="0.2">
      <c r="I85" s="3" t="s">
        <v>6</v>
      </c>
      <c r="J85" s="165">
        <v>329555000</v>
      </c>
    </row>
    <row r="86" spans="9:12" ht="18" x14ac:dyDescent="0.35">
      <c r="I86" s="3" t="s">
        <v>35</v>
      </c>
      <c r="J86" s="21">
        <f>J85-J84</f>
        <v>103167231</v>
      </c>
    </row>
    <row r="87" spans="9:12" x14ac:dyDescent="0.2">
      <c r="I87" s="137" t="s">
        <v>33</v>
      </c>
    </row>
    <row r="88" spans="9:12" x14ac:dyDescent="0.2">
      <c r="I88" s="112"/>
    </row>
    <row r="89" spans="9:12" x14ac:dyDescent="0.2">
      <c r="I89" s="112" t="s">
        <v>1484</v>
      </c>
    </row>
    <row r="90" spans="9:12" x14ac:dyDescent="0.2">
      <c r="I90" s="112" t="s">
        <v>1561</v>
      </c>
      <c r="J90" t="s">
        <v>1567</v>
      </c>
      <c r="K90" t="s">
        <v>1557</v>
      </c>
    </row>
    <row r="91" spans="9:12" x14ac:dyDescent="0.2">
      <c r="I91" s="112" t="s">
        <v>1562</v>
      </c>
      <c r="J91" t="s">
        <v>1556</v>
      </c>
      <c r="K91" t="s">
        <v>1558</v>
      </c>
    </row>
    <row r="92" spans="9:12" x14ac:dyDescent="0.2">
      <c r="I92" s="112" t="s">
        <v>1561</v>
      </c>
      <c r="J92" t="s">
        <v>1559</v>
      </c>
      <c r="K92" t="s">
        <v>1560</v>
      </c>
    </row>
    <row r="94" spans="9:12" x14ac:dyDescent="0.2">
      <c r="K94" t="s">
        <v>1568</v>
      </c>
      <c r="L94" t="s">
        <v>1569</v>
      </c>
    </row>
    <row r="95" spans="9:12" x14ac:dyDescent="0.2">
      <c r="K95" t="s">
        <v>1570</v>
      </c>
    </row>
    <row r="96" spans="9:12" x14ac:dyDescent="0.2">
      <c r="K96" t="s">
        <v>1571</v>
      </c>
    </row>
    <row r="97" spans="11:11" x14ac:dyDescent="0.2">
      <c r="K97" t="s">
        <v>1572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70"/>
  <sheetViews>
    <sheetView workbookViewId="0">
      <selection activeCell="D2" sqref="D2"/>
    </sheetView>
  </sheetViews>
  <sheetFormatPr baseColWidth="10" defaultRowHeight="15" x14ac:dyDescent="0.2"/>
  <cols>
    <col min="1" max="1" width="9.83203125" customWidth="1"/>
    <col min="3" max="3" width="17.6640625" customWidth="1"/>
    <col min="10" max="10" width="17.5" customWidth="1"/>
    <col min="12" max="12" width="14.5" customWidth="1"/>
    <col min="13" max="13" width="13.1640625" customWidth="1"/>
  </cols>
  <sheetData>
    <row r="1" spans="1:13" ht="31" x14ac:dyDescent="0.35">
      <c r="A1" s="56" t="s">
        <v>1594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145" t="s">
        <v>1595</v>
      </c>
      <c r="B3" s="145" t="s">
        <v>7</v>
      </c>
      <c r="C3" s="145" t="s">
        <v>1574</v>
      </c>
      <c r="D3" s="1">
        <v>6.56</v>
      </c>
      <c r="E3" s="149">
        <v>320</v>
      </c>
      <c r="F3" s="149">
        <v>26</v>
      </c>
      <c r="G3" s="149">
        <f t="shared" ref="G3:G44" si="0">E3*F3</f>
        <v>8320</v>
      </c>
      <c r="H3" s="145">
        <f t="shared" ref="H3:H44" si="1">G3/D3</f>
        <v>1268.2926829268295</v>
      </c>
      <c r="I3" s="3">
        <v>3475</v>
      </c>
      <c r="J3" s="146">
        <f t="shared" ref="J3:J44" si="2">F3/D3*I3*E3</f>
        <v>4407317.0731707318</v>
      </c>
      <c r="K3" s="147">
        <v>22000</v>
      </c>
      <c r="L3" s="148">
        <f t="shared" ref="L3:L44" si="3">K3*E3</f>
        <v>7040000</v>
      </c>
      <c r="M3" s="147">
        <f t="shared" ref="M3:M44" si="4">L3-J3</f>
        <v>2632682.9268292682</v>
      </c>
    </row>
    <row r="4" spans="1:13" x14ac:dyDescent="0.2">
      <c r="A4" s="145"/>
      <c r="B4" s="145" t="s">
        <v>253</v>
      </c>
      <c r="C4" s="145" t="s">
        <v>1575</v>
      </c>
      <c r="D4" s="1">
        <v>6.56</v>
      </c>
      <c r="E4" s="149">
        <v>300</v>
      </c>
      <c r="F4" s="149">
        <v>26</v>
      </c>
      <c r="G4" s="149">
        <f t="shared" si="0"/>
        <v>7800</v>
      </c>
      <c r="H4" s="145">
        <f t="shared" si="1"/>
        <v>1189.0243902439024</v>
      </c>
      <c r="I4" s="3">
        <v>3475</v>
      </c>
      <c r="J4" s="146">
        <f t="shared" si="2"/>
        <v>4131859.7560975612</v>
      </c>
      <c r="K4" s="147">
        <v>22000</v>
      </c>
      <c r="L4" s="148">
        <f t="shared" si="3"/>
        <v>6600000</v>
      </c>
      <c r="M4" s="147">
        <f t="shared" si="4"/>
        <v>2468140.2439024388</v>
      </c>
    </row>
    <row r="5" spans="1:13" x14ac:dyDescent="0.2">
      <c r="A5" s="1"/>
      <c r="B5" s="145" t="s">
        <v>253</v>
      </c>
      <c r="C5" s="145" t="s">
        <v>1576</v>
      </c>
      <c r="D5" s="1">
        <v>6.56</v>
      </c>
      <c r="E5" s="149">
        <v>300</v>
      </c>
      <c r="F5" s="149">
        <v>23</v>
      </c>
      <c r="G5" s="149">
        <f t="shared" si="0"/>
        <v>6900</v>
      </c>
      <c r="H5" s="145">
        <f t="shared" si="1"/>
        <v>1051.8292682926831</v>
      </c>
      <c r="I5" s="3">
        <v>3475</v>
      </c>
      <c r="J5" s="146">
        <f t="shared" si="2"/>
        <v>3655106.7073170738</v>
      </c>
      <c r="K5" s="147">
        <v>20000</v>
      </c>
      <c r="L5" s="148">
        <f t="shared" si="3"/>
        <v>6000000</v>
      </c>
      <c r="M5" s="147">
        <f t="shared" si="4"/>
        <v>2344893.2926829262</v>
      </c>
    </row>
    <row r="6" spans="1:13" x14ac:dyDescent="0.2">
      <c r="A6" s="1"/>
      <c r="B6" s="145" t="s">
        <v>253</v>
      </c>
      <c r="C6" s="145" t="s">
        <v>1577</v>
      </c>
      <c r="D6" s="1">
        <v>6.56</v>
      </c>
      <c r="E6" s="149">
        <v>200</v>
      </c>
      <c r="F6" s="149">
        <v>25</v>
      </c>
      <c r="G6" s="149">
        <f t="shared" si="0"/>
        <v>5000</v>
      </c>
      <c r="H6" s="145">
        <f t="shared" si="1"/>
        <v>762.19512195121956</v>
      </c>
      <c r="I6" s="3">
        <v>3475</v>
      </c>
      <c r="J6" s="146">
        <f t="shared" si="2"/>
        <v>2648628.0487804879</v>
      </c>
      <c r="K6" s="147">
        <v>20000</v>
      </c>
      <c r="L6" s="148">
        <f t="shared" si="3"/>
        <v>4000000</v>
      </c>
      <c r="M6" s="147">
        <f t="shared" si="4"/>
        <v>1351371.9512195121</v>
      </c>
    </row>
    <row r="7" spans="1:13" x14ac:dyDescent="0.2">
      <c r="A7" s="1"/>
      <c r="B7" s="145" t="s">
        <v>253</v>
      </c>
      <c r="C7" s="145" t="s">
        <v>1578</v>
      </c>
      <c r="D7" s="1">
        <v>6.56</v>
      </c>
      <c r="E7" s="149">
        <v>200</v>
      </c>
      <c r="F7" s="149">
        <v>25</v>
      </c>
      <c r="G7" s="149">
        <f t="shared" si="0"/>
        <v>5000</v>
      </c>
      <c r="H7" s="145">
        <f t="shared" si="1"/>
        <v>762.19512195121956</v>
      </c>
      <c r="I7" s="3">
        <v>3475</v>
      </c>
      <c r="J7" s="146">
        <f t="shared" si="2"/>
        <v>2648628.0487804879</v>
      </c>
      <c r="K7" s="147">
        <v>20000</v>
      </c>
      <c r="L7" s="148">
        <f t="shared" si="3"/>
        <v>4000000</v>
      </c>
      <c r="M7" s="147">
        <f t="shared" si="4"/>
        <v>1351371.9512195121</v>
      </c>
    </row>
    <row r="8" spans="1:13" x14ac:dyDescent="0.2">
      <c r="A8" s="1"/>
      <c r="B8" s="145" t="s">
        <v>1533</v>
      </c>
      <c r="C8" s="145" t="s">
        <v>1579</v>
      </c>
      <c r="D8" s="1">
        <v>6.56</v>
      </c>
      <c r="E8" s="149">
        <v>172</v>
      </c>
      <c r="F8" s="149">
        <v>37</v>
      </c>
      <c r="G8" s="149">
        <f t="shared" si="0"/>
        <v>6364</v>
      </c>
      <c r="H8" s="145">
        <f t="shared" si="1"/>
        <v>970.1219512195122</v>
      </c>
      <c r="I8" s="3">
        <v>3475</v>
      </c>
      <c r="J8" s="146">
        <f t="shared" si="2"/>
        <v>3371173.7804878047</v>
      </c>
      <c r="K8" s="147">
        <v>30000</v>
      </c>
      <c r="L8" s="148">
        <f t="shared" si="3"/>
        <v>5160000</v>
      </c>
      <c r="M8" s="147">
        <f t="shared" si="4"/>
        <v>1788826.2195121953</v>
      </c>
    </row>
    <row r="9" spans="1:13" x14ac:dyDescent="0.2">
      <c r="A9" s="1"/>
      <c r="B9" s="145" t="s">
        <v>1456</v>
      </c>
      <c r="C9" s="145" t="s">
        <v>1580</v>
      </c>
      <c r="D9" s="1">
        <v>6.56</v>
      </c>
      <c r="E9" s="149">
        <v>207</v>
      </c>
      <c r="F9" s="149">
        <v>22</v>
      </c>
      <c r="G9" s="149">
        <f t="shared" si="0"/>
        <v>4554</v>
      </c>
      <c r="H9" s="145">
        <f t="shared" si="1"/>
        <v>694.20731707317077</v>
      </c>
      <c r="I9" s="3">
        <v>3475</v>
      </c>
      <c r="J9" s="146">
        <f t="shared" si="2"/>
        <v>2412370.4268292682</v>
      </c>
      <c r="K9" s="147">
        <v>25000</v>
      </c>
      <c r="L9" s="148">
        <f t="shared" si="3"/>
        <v>5175000</v>
      </c>
      <c r="M9" s="147">
        <f t="shared" si="4"/>
        <v>2762629.5731707318</v>
      </c>
    </row>
    <row r="10" spans="1:13" x14ac:dyDescent="0.2">
      <c r="A10" s="1"/>
      <c r="B10" s="145" t="s">
        <v>253</v>
      </c>
      <c r="C10" s="145" t="s">
        <v>1581</v>
      </c>
      <c r="D10" s="1">
        <v>6.56</v>
      </c>
      <c r="E10" s="149">
        <v>200</v>
      </c>
      <c r="F10" s="149">
        <v>17.5</v>
      </c>
      <c r="G10" s="149">
        <f t="shared" si="0"/>
        <v>3500</v>
      </c>
      <c r="H10" s="145">
        <f t="shared" si="1"/>
        <v>533.53658536585374</v>
      </c>
      <c r="I10" s="3">
        <v>3475</v>
      </c>
      <c r="J10" s="146">
        <f t="shared" si="2"/>
        <v>1854039.6341463416</v>
      </c>
      <c r="K10" s="147">
        <v>20000</v>
      </c>
      <c r="L10" s="148">
        <f t="shared" si="3"/>
        <v>4000000</v>
      </c>
      <c r="M10" s="147">
        <f t="shared" si="4"/>
        <v>2145960.3658536584</v>
      </c>
    </row>
    <row r="11" spans="1:13" x14ac:dyDescent="0.2">
      <c r="A11" s="1"/>
      <c r="B11" s="145" t="s">
        <v>253</v>
      </c>
      <c r="C11" s="145" t="s">
        <v>1582</v>
      </c>
      <c r="D11" s="1">
        <v>6.56</v>
      </c>
      <c r="E11" s="149">
        <v>200</v>
      </c>
      <c r="F11" s="149">
        <v>17.5</v>
      </c>
      <c r="G11" s="149">
        <f t="shared" si="0"/>
        <v>3500</v>
      </c>
      <c r="H11" s="145">
        <f t="shared" si="1"/>
        <v>533.53658536585374</v>
      </c>
      <c r="I11" s="3">
        <v>3475</v>
      </c>
      <c r="J11" s="146">
        <f t="shared" si="2"/>
        <v>1854039.6341463416</v>
      </c>
      <c r="K11" s="147">
        <v>20000</v>
      </c>
      <c r="L11" s="148">
        <f t="shared" si="3"/>
        <v>4000000</v>
      </c>
      <c r="M11" s="147">
        <f t="shared" si="4"/>
        <v>2145960.3658536584</v>
      </c>
    </row>
    <row r="12" spans="1:13" x14ac:dyDescent="0.2">
      <c r="A12" s="1"/>
      <c r="B12" s="145" t="s">
        <v>7</v>
      </c>
      <c r="C12" s="145" t="s">
        <v>1583</v>
      </c>
      <c r="D12" s="1">
        <v>6.56</v>
      </c>
      <c r="E12" s="149">
        <v>210</v>
      </c>
      <c r="F12" s="149">
        <v>25</v>
      </c>
      <c r="G12" s="149">
        <f t="shared" si="0"/>
        <v>5250</v>
      </c>
      <c r="H12" s="145">
        <f t="shared" si="1"/>
        <v>800.30487804878055</v>
      </c>
      <c r="I12" s="3">
        <v>3475</v>
      </c>
      <c r="J12" s="146">
        <f t="shared" si="2"/>
        <v>2781059.4512195121</v>
      </c>
      <c r="K12" s="147">
        <v>22000</v>
      </c>
      <c r="L12" s="148">
        <f t="shared" si="3"/>
        <v>4620000</v>
      </c>
      <c r="M12" s="147">
        <f t="shared" si="4"/>
        <v>1838940.5487804879</v>
      </c>
    </row>
    <row r="13" spans="1:13" x14ac:dyDescent="0.2">
      <c r="B13" s="150" t="s">
        <v>253</v>
      </c>
      <c r="C13" s="150" t="s">
        <v>1584</v>
      </c>
      <c r="D13" s="1">
        <v>6.56</v>
      </c>
      <c r="E13" s="151">
        <v>200</v>
      </c>
      <c r="F13" s="151">
        <v>25</v>
      </c>
      <c r="G13" s="151">
        <f t="shared" si="0"/>
        <v>5000</v>
      </c>
      <c r="H13" s="150">
        <f t="shared" si="1"/>
        <v>762.19512195121956</v>
      </c>
      <c r="I13" s="3">
        <v>3475</v>
      </c>
      <c r="J13" s="152">
        <f t="shared" si="2"/>
        <v>2648628.0487804879</v>
      </c>
      <c r="K13" s="153">
        <v>22000</v>
      </c>
      <c r="L13" s="154">
        <f t="shared" si="3"/>
        <v>4400000</v>
      </c>
      <c r="M13" s="153">
        <f t="shared" si="4"/>
        <v>1751371.9512195121</v>
      </c>
    </row>
    <row r="14" spans="1:13" x14ac:dyDescent="0.2">
      <c r="B14" s="150" t="s">
        <v>253</v>
      </c>
      <c r="C14" s="150" t="s">
        <v>1585</v>
      </c>
      <c r="D14" s="1">
        <v>6.56</v>
      </c>
      <c r="E14" s="151">
        <v>235</v>
      </c>
      <c r="F14" s="151">
        <v>24.5</v>
      </c>
      <c r="G14" s="151">
        <f t="shared" si="0"/>
        <v>5757.5</v>
      </c>
      <c r="H14" s="150">
        <f t="shared" si="1"/>
        <v>877.66768292682934</v>
      </c>
      <c r="I14" s="3">
        <v>3475</v>
      </c>
      <c r="J14" s="152">
        <f t="shared" si="2"/>
        <v>3049895.1981707318</v>
      </c>
      <c r="K14" s="153">
        <v>22000</v>
      </c>
      <c r="L14" s="154">
        <f t="shared" si="3"/>
        <v>5170000</v>
      </c>
      <c r="M14" s="153">
        <f t="shared" si="4"/>
        <v>2120104.8018292682</v>
      </c>
    </row>
    <row r="15" spans="1:13" x14ac:dyDescent="0.2">
      <c r="B15" s="150" t="s">
        <v>253</v>
      </c>
      <c r="C15" s="150" t="s">
        <v>1586</v>
      </c>
      <c r="D15" s="1">
        <v>6.56</v>
      </c>
      <c r="E15" s="151">
        <v>220</v>
      </c>
      <c r="F15" s="151">
        <v>26</v>
      </c>
      <c r="G15" s="151">
        <f t="shared" si="0"/>
        <v>5720</v>
      </c>
      <c r="H15" s="150">
        <f t="shared" si="1"/>
        <v>871.95121951219517</v>
      </c>
      <c r="I15" s="3">
        <v>3475</v>
      </c>
      <c r="J15" s="152">
        <f t="shared" si="2"/>
        <v>3030030.487804878</v>
      </c>
      <c r="K15" s="153">
        <v>22000</v>
      </c>
      <c r="L15" s="154">
        <f t="shared" si="3"/>
        <v>4840000</v>
      </c>
      <c r="M15" s="153">
        <f t="shared" si="4"/>
        <v>1809969.512195122</v>
      </c>
    </row>
    <row r="16" spans="1:13" x14ac:dyDescent="0.2">
      <c r="B16" s="150" t="s">
        <v>253</v>
      </c>
      <c r="C16" s="150" t="s">
        <v>1587</v>
      </c>
      <c r="D16" s="1">
        <v>6.56</v>
      </c>
      <c r="E16" s="151">
        <v>200</v>
      </c>
      <c r="F16" s="151">
        <v>25</v>
      </c>
      <c r="G16" s="151">
        <f t="shared" si="0"/>
        <v>5000</v>
      </c>
      <c r="H16" s="150">
        <f t="shared" si="1"/>
        <v>762.19512195121956</v>
      </c>
      <c r="I16" s="3">
        <v>3475</v>
      </c>
      <c r="J16" s="152">
        <f t="shared" si="2"/>
        <v>2648628.0487804879</v>
      </c>
      <c r="K16" s="153">
        <v>22000</v>
      </c>
      <c r="L16" s="154">
        <f t="shared" si="3"/>
        <v>4400000</v>
      </c>
      <c r="M16" s="153">
        <f t="shared" si="4"/>
        <v>1751371.9512195121</v>
      </c>
    </row>
    <row r="17" spans="2:13" x14ac:dyDescent="0.2">
      <c r="B17" s="150" t="s">
        <v>253</v>
      </c>
      <c r="C17" s="150" t="s">
        <v>1588</v>
      </c>
      <c r="D17" s="1">
        <v>6.56</v>
      </c>
      <c r="E17" s="151">
        <v>240</v>
      </c>
      <c r="F17" s="151">
        <v>25.5</v>
      </c>
      <c r="G17" s="151">
        <f t="shared" si="0"/>
        <v>6120</v>
      </c>
      <c r="H17" s="150">
        <f t="shared" si="1"/>
        <v>932.92682926829275</v>
      </c>
      <c r="I17" s="3">
        <v>3475</v>
      </c>
      <c r="J17" s="152">
        <f t="shared" si="2"/>
        <v>3241920.7317073168</v>
      </c>
      <c r="K17" s="153">
        <v>22000</v>
      </c>
      <c r="L17" s="154">
        <f t="shared" si="3"/>
        <v>5280000</v>
      </c>
      <c r="M17" s="153">
        <f t="shared" si="4"/>
        <v>2038079.2682926832</v>
      </c>
    </row>
    <row r="18" spans="2:13" x14ac:dyDescent="0.2">
      <c r="B18" s="150" t="s">
        <v>7</v>
      </c>
      <c r="C18" s="150" t="s">
        <v>1589</v>
      </c>
      <c r="D18" s="1">
        <v>6.56</v>
      </c>
      <c r="E18" s="151">
        <v>322</v>
      </c>
      <c r="F18" s="151">
        <v>24</v>
      </c>
      <c r="G18" s="151">
        <f t="shared" si="0"/>
        <v>7728</v>
      </c>
      <c r="H18" s="150">
        <f t="shared" si="1"/>
        <v>1178.0487804878051</v>
      </c>
      <c r="I18" s="3">
        <v>3475</v>
      </c>
      <c r="J18" s="152">
        <f t="shared" si="2"/>
        <v>4093719.512195122</v>
      </c>
      <c r="K18" s="153">
        <v>20000</v>
      </c>
      <c r="L18" s="154">
        <f t="shared" si="3"/>
        <v>6440000</v>
      </c>
      <c r="M18" s="153">
        <f t="shared" si="4"/>
        <v>2346280.487804878</v>
      </c>
    </row>
    <row r="19" spans="2:13" x14ac:dyDescent="0.2">
      <c r="B19" s="150" t="s">
        <v>253</v>
      </c>
      <c r="C19" s="150" t="s">
        <v>476</v>
      </c>
      <c r="D19" s="1">
        <v>6.56</v>
      </c>
      <c r="E19" s="151">
        <v>300</v>
      </c>
      <c r="F19" s="151">
        <v>28</v>
      </c>
      <c r="G19" s="151">
        <f t="shared" si="0"/>
        <v>8400</v>
      </c>
      <c r="H19" s="150">
        <f t="shared" si="1"/>
        <v>1280.4878048780488</v>
      </c>
      <c r="I19" s="3">
        <v>3475</v>
      </c>
      <c r="J19" s="152">
        <f t="shared" si="2"/>
        <v>4449695.1219512196</v>
      </c>
      <c r="K19" s="153">
        <v>23000</v>
      </c>
      <c r="L19" s="154">
        <f t="shared" si="3"/>
        <v>6900000</v>
      </c>
      <c r="M19" s="153">
        <f t="shared" si="4"/>
        <v>2450304.8780487804</v>
      </c>
    </row>
    <row r="20" spans="2:13" x14ac:dyDescent="0.2">
      <c r="B20" s="150" t="s">
        <v>253</v>
      </c>
      <c r="C20" s="150" t="s">
        <v>1590</v>
      </c>
      <c r="D20" s="1">
        <v>6.56</v>
      </c>
      <c r="E20" s="151">
        <v>200</v>
      </c>
      <c r="F20" s="151">
        <v>26</v>
      </c>
      <c r="G20" s="151">
        <f t="shared" si="0"/>
        <v>5200</v>
      </c>
      <c r="H20" s="150">
        <f t="shared" si="1"/>
        <v>792.68292682926835</v>
      </c>
      <c r="I20" s="3">
        <v>3475</v>
      </c>
      <c r="J20" s="152">
        <f t="shared" si="2"/>
        <v>2754573.1707317075</v>
      </c>
      <c r="K20" s="153">
        <v>23000</v>
      </c>
      <c r="L20" s="154">
        <f t="shared" si="3"/>
        <v>4600000</v>
      </c>
      <c r="M20" s="153">
        <f t="shared" si="4"/>
        <v>1845426.8292682925</v>
      </c>
    </row>
    <row r="21" spans="2:13" x14ac:dyDescent="0.2">
      <c r="B21" s="150" t="s">
        <v>253</v>
      </c>
      <c r="C21" s="150" t="s">
        <v>1591</v>
      </c>
      <c r="D21" s="1">
        <v>6.56</v>
      </c>
      <c r="E21" s="151">
        <v>200</v>
      </c>
      <c r="F21" s="151">
        <v>26</v>
      </c>
      <c r="G21" s="151">
        <f t="shared" si="0"/>
        <v>5200</v>
      </c>
      <c r="H21" s="150">
        <f t="shared" si="1"/>
        <v>792.68292682926835</v>
      </c>
      <c r="I21" s="3">
        <v>3475</v>
      </c>
      <c r="J21" s="152">
        <f t="shared" si="2"/>
        <v>2754573.1707317075</v>
      </c>
      <c r="K21" s="153">
        <v>23000</v>
      </c>
      <c r="L21" s="154">
        <f t="shared" si="3"/>
        <v>4600000</v>
      </c>
      <c r="M21" s="153">
        <f t="shared" si="4"/>
        <v>1845426.8292682925</v>
      </c>
    </row>
    <row r="22" spans="2:13" x14ac:dyDescent="0.2">
      <c r="B22" s="150" t="s">
        <v>253</v>
      </c>
      <c r="C22" s="150" t="s">
        <v>1592</v>
      </c>
      <c r="D22" s="1">
        <v>6.56</v>
      </c>
      <c r="E22" s="151">
        <v>200</v>
      </c>
      <c r="F22" s="151">
        <v>26</v>
      </c>
      <c r="G22" s="151">
        <f t="shared" si="0"/>
        <v>5200</v>
      </c>
      <c r="H22" s="150">
        <f t="shared" si="1"/>
        <v>792.68292682926835</v>
      </c>
      <c r="I22" s="3">
        <v>3475</v>
      </c>
      <c r="J22" s="152">
        <f t="shared" si="2"/>
        <v>2754573.1707317075</v>
      </c>
      <c r="K22" s="153">
        <v>23000</v>
      </c>
      <c r="L22" s="154">
        <f t="shared" si="3"/>
        <v>4600000</v>
      </c>
      <c r="M22" s="153">
        <f t="shared" si="4"/>
        <v>1845426.8292682925</v>
      </c>
    </row>
    <row r="23" spans="2:13" x14ac:dyDescent="0.2">
      <c r="B23" s="150" t="s">
        <v>7</v>
      </c>
      <c r="C23" s="150" t="s">
        <v>1593</v>
      </c>
      <c r="D23" s="1">
        <v>6.56</v>
      </c>
      <c r="E23" s="151">
        <v>400</v>
      </c>
      <c r="F23" s="151">
        <v>25</v>
      </c>
      <c r="G23" s="151">
        <f t="shared" si="0"/>
        <v>10000</v>
      </c>
      <c r="H23" s="150">
        <f t="shared" si="1"/>
        <v>1524.3902439024391</v>
      </c>
      <c r="I23" s="3">
        <v>3475</v>
      </c>
      <c r="J23" s="152">
        <f t="shared" si="2"/>
        <v>5297256.0975609757</v>
      </c>
      <c r="K23" s="153">
        <v>20000</v>
      </c>
      <c r="L23" s="154">
        <f t="shared" si="3"/>
        <v>8000000</v>
      </c>
      <c r="M23" s="153">
        <f t="shared" si="4"/>
        <v>2702743.9024390243</v>
      </c>
    </row>
    <row r="24" spans="2:13" x14ac:dyDescent="0.2">
      <c r="C24" s="150" t="s">
        <v>995</v>
      </c>
      <c r="D24" s="1">
        <v>6.56</v>
      </c>
      <c r="E24" s="151">
        <v>300</v>
      </c>
      <c r="F24" s="151">
        <v>28</v>
      </c>
      <c r="G24" s="151">
        <f t="shared" si="0"/>
        <v>8400</v>
      </c>
      <c r="H24" s="150">
        <f t="shared" si="1"/>
        <v>1280.4878048780488</v>
      </c>
      <c r="I24" s="3">
        <v>3475</v>
      </c>
      <c r="J24" s="152">
        <f t="shared" si="2"/>
        <v>4449695.1219512196</v>
      </c>
      <c r="K24" s="153">
        <v>23000</v>
      </c>
      <c r="L24" s="154">
        <f t="shared" si="3"/>
        <v>6900000</v>
      </c>
      <c r="M24" s="153">
        <f t="shared" si="4"/>
        <v>2450304.8780487804</v>
      </c>
    </row>
    <row r="25" spans="2:13" x14ac:dyDescent="0.2">
      <c r="C25" s="150" t="s">
        <v>1034</v>
      </c>
      <c r="D25" s="1">
        <v>6.56</v>
      </c>
      <c r="E25" s="151">
        <v>313</v>
      </c>
      <c r="F25" s="151">
        <v>24</v>
      </c>
      <c r="G25" s="151">
        <f t="shared" si="0"/>
        <v>7512</v>
      </c>
      <c r="H25" s="150">
        <f t="shared" si="1"/>
        <v>1145.1219512195123</v>
      </c>
      <c r="I25" s="3">
        <v>3475</v>
      </c>
      <c r="J25" s="152">
        <f t="shared" si="2"/>
        <v>3979298.7804878051</v>
      </c>
      <c r="K25" s="153">
        <v>20000</v>
      </c>
      <c r="L25" s="154">
        <f t="shared" si="3"/>
        <v>6260000</v>
      </c>
      <c r="M25" s="153">
        <f t="shared" si="4"/>
        <v>2280701.2195121949</v>
      </c>
    </row>
    <row r="26" spans="2:13" x14ac:dyDescent="0.2">
      <c r="C26" s="150" t="s">
        <v>1411</v>
      </c>
      <c r="D26" s="1">
        <v>6.56</v>
      </c>
      <c r="E26" s="151">
        <v>200</v>
      </c>
      <c r="F26" s="151">
        <v>26</v>
      </c>
      <c r="G26" s="151">
        <f t="shared" si="0"/>
        <v>5200</v>
      </c>
      <c r="H26" s="150">
        <f t="shared" si="1"/>
        <v>792.68292682926835</v>
      </c>
      <c r="I26" s="3">
        <v>3475</v>
      </c>
      <c r="J26" s="152">
        <f t="shared" si="2"/>
        <v>2754573.1707317075</v>
      </c>
      <c r="K26" s="153">
        <v>23000</v>
      </c>
      <c r="L26" s="154">
        <f t="shared" si="3"/>
        <v>4600000</v>
      </c>
      <c r="M26" s="153">
        <f t="shared" si="4"/>
        <v>1845426.8292682925</v>
      </c>
    </row>
    <row r="27" spans="2:13" x14ac:dyDescent="0.2">
      <c r="B27" t="s">
        <v>1070</v>
      </c>
      <c r="C27" s="150" t="s">
        <v>1596</v>
      </c>
      <c r="D27" s="1">
        <v>6.56</v>
      </c>
      <c r="E27" s="151">
        <v>300</v>
      </c>
      <c r="F27" s="151">
        <v>17</v>
      </c>
      <c r="G27" s="151">
        <f t="shared" si="0"/>
        <v>5100</v>
      </c>
      <c r="H27" s="150">
        <f t="shared" si="1"/>
        <v>777.43902439024396</v>
      </c>
      <c r="I27" s="3">
        <v>3475</v>
      </c>
      <c r="J27" s="152">
        <f t="shared" si="2"/>
        <v>2701600.6097560981</v>
      </c>
      <c r="K27" s="153">
        <v>20000</v>
      </c>
      <c r="L27" s="154">
        <f t="shared" si="3"/>
        <v>6000000</v>
      </c>
      <c r="M27" s="153">
        <f t="shared" si="4"/>
        <v>3298399.3902439019</v>
      </c>
    </row>
    <row r="28" spans="2:13" x14ac:dyDescent="0.2">
      <c r="B28" t="s">
        <v>7</v>
      </c>
      <c r="C28" s="150" t="s">
        <v>1597</v>
      </c>
      <c r="D28" s="1">
        <v>6.56</v>
      </c>
      <c r="E28" s="151">
        <v>233</v>
      </c>
      <c r="F28" s="151">
        <v>22</v>
      </c>
      <c r="G28" s="151">
        <f t="shared" si="0"/>
        <v>5126</v>
      </c>
      <c r="H28" s="150">
        <f t="shared" si="1"/>
        <v>781.40243902439033</v>
      </c>
      <c r="I28" s="3">
        <v>3475</v>
      </c>
      <c r="J28" s="152">
        <f t="shared" si="2"/>
        <v>2715373.4756097561</v>
      </c>
      <c r="K28" s="153">
        <v>22000</v>
      </c>
      <c r="L28" s="154">
        <f t="shared" si="3"/>
        <v>5126000</v>
      </c>
      <c r="M28" s="8">
        <f t="shared" si="4"/>
        <v>2410626.5243902439</v>
      </c>
    </row>
    <row r="29" spans="2:13" x14ac:dyDescent="0.2">
      <c r="B29" t="s">
        <v>253</v>
      </c>
      <c r="C29" s="150" t="s">
        <v>1598</v>
      </c>
      <c r="D29" s="1">
        <v>6.56</v>
      </c>
      <c r="E29" s="151">
        <v>293</v>
      </c>
      <c r="F29" s="151">
        <v>8</v>
      </c>
      <c r="G29" s="151">
        <f t="shared" si="0"/>
        <v>2344</v>
      </c>
      <c r="H29" s="150">
        <f t="shared" si="1"/>
        <v>357.3170731707317</v>
      </c>
      <c r="I29" s="3">
        <v>3475</v>
      </c>
      <c r="J29" s="152">
        <f t="shared" si="2"/>
        <v>1241676.8292682928</v>
      </c>
      <c r="K29" s="153">
        <v>18000</v>
      </c>
      <c r="L29" s="154">
        <f t="shared" si="3"/>
        <v>5274000</v>
      </c>
      <c r="M29" s="170">
        <f t="shared" si="4"/>
        <v>4032323.1707317075</v>
      </c>
    </row>
    <row r="30" spans="2:13" x14ac:dyDescent="0.2">
      <c r="B30" t="s">
        <v>253</v>
      </c>
      <c r="C30" s="150" t="s">
        <v>1599</v>
      </c>
      <c r="D30" s="1">
        <v>6.56</v>
      </c>
      <c r="E30" s="151">
        <v>677</v>
      </c>
      <c r="F30" s="151">
        <v>12</v>
      </c>
      <c r="G30" s="151">
        <f t="shared" si="0"/>
        <v>8124</v>
      </c>
      <c r="H30" s="150">
        <f t="shared" si="1"/>
        <v>1238.4146341463415</v>
      </c>
      <c r="I30" s="3">
        <v>3475</v>
      </c>
      <c r="J30" s="152">
        <f t="shared" si="2"/>
        <v>4303490.8536585364</v>
      </c>
      <c r="K30" s="153">
        <v>20000</v>
      </c>
      <c r="L30" s="154">
        <f t="shared" si="3"/>
        <v>13540000</v>
      </c>
      <c r="M30" s="170">
        <f t="shared" si="4"/>
        <v>9236509.1463414636</v>
      </c>
    </row>
    <row r="31" spans="2:13" x14ac:dyDescent="0.2">
      <c r="B31" t="s">
        <v>7</v>
      </c>
      <c r="C31" s="150" t="s">
        <v>1600</v>
      </c>
      <c r="D31" s="1">
        <v>6.56</v>
      </c>
      <c r="E31" s="151">
        <v>500</v>
      </c>
      <c r="F31" s="151">
        <v>24</v>
      </c>
      <c r="G31" s="151">
        <f t="shared" si="0"/>
        <v>12000</v>
      </c>
      <c r="H31" s="150">
        <f t="shared" si="1"/>
        <v>1829.268292682927</v>
      </c>
      <c r="I31" s="3">
        <v>3475</v>
      </c>
      <c r="J31" s="152">
        <f t="shared" si="2"/>
        <v>6356707.317073171</v>
      </c>
      <c r="K31" s="153">
        <v>22000</v>
      </c>
      <c r="L31" s="154">
        <f t="shared" si="3"/>
        <v>11000000</v>
      </c>
      <c r="M31" s="170">
        <f t="shared" si="4"/>
        <v>4643292.682926829</v>
      </c>
    </row>
    <row r="32" spans="2:13" x14ac:dyDescent="0.2">
      <c r="B32" t="s">
        <v>1070</v>
      </c>
      <c r="C32" s="150" t="s">
        <v>1601</v>
      </c>
      <c r="D32" s="1">
        <v>6.56</v>
      </c>
      <c r="E32" s="151">
        <v>208</v>
      </c>
      <c r="F32" s="151">
        <v>15</v>
      </c>
      <c r="G32" s="151">
        <f t="shared" si="0"/>
        <v>3120</v>
      </c>
      <c r="H32" s="150">
        <f t="shared" si="1"/>
        <v>475.60975609756099</v>
      </c>
      <c r="I32" s="3">
        <v>3475</v>
      </c>
      <c r="J32" s="152">
        <f t="shared" si="2"/>
        <v>1652743.9024390245</v>
      </c>
      <c r="K32" s="153">
        <v>18000</v>
      </c>
      <c r="L32" s="154">
        <f t="shared" si="3"/>
        <v>3744000</v>
      </c>
      <c r="M32" s="170">
        <f t="shared" si="4"/>
        <v>2091256.0975609755</v>
      </c>
    </row>
    <row r="33" spans="2:13" x14ac:dyDescent="0.2">
      <c r="B33" t="s">
        <v>7</v>
      </c>
      <c r="C33" s="150" t="s">
        <v>1602</v>
      </c>
      <c r="D33" s="1">
        <v>6.56</v>
      </c>
      <c r="E33" s="151">
        <v>420</v>
      </c>
      <c r="F33" s="151">
        <v>15</v>
      </c>
      <c r="G33" s="151">
        <f t="shared" si="0"/>
        <v>6300</v>
      </c>
      <c r="H33" s="150">
        <f t="shared" si="1"/>
        <v>960.36585365853659</v>
      </c>
      <c r="I33" s="3">
        <v>3475</v>
      </c>
      <c r="J33" s="152">
        <f t="shared" si="2"/>
        <v>3337271.341463415</v>
      </c>
      <c r="K33" s="153">
        <v>18000</v>
      </c>
      <c r="L33" s="154">
        <f t="shared" si="3"/>
        <v>7560000</v>
      </c>
      <c r="M33" s="170">
        <f t="shared" si="4"/>
        <v>4222728.658536585</v>
      </c>
    </row>
    <row r="34" spans="2:13" x14ac:dyDescent="0.2">
      <c r="B34" t="s">
        <v>7</v>
      </c>
      <c r="C34" s="150" t="s">
        <v>1603</v>
      </c>
      <c r="D34" s="1">
        <v>6.56</v>
      </c>
      <c r="E34" s="151">
        <v>400</v>
      </c>
      <c r="F34" s="151">
        <v>10</v>
      </c>
      <c r="G34" s="151">
        <f t="shared" si="0"/>
        <v>4000</v>
      </c>
      <c r="H34" s="150">
        <f t="shared" si="1"/>
        <v>609.7560975609756</v>
      </c>
      <c r="I34" s="3">
        <v>3475</v>
      </c>
      <c r="J34" s="152">
        <f t="shared" si="2"/>
        <v>2118902.4390243902</v>
      </c>
      <c r="K34" s="153">
        <v>18000</v>
      </c>
      <c r="L34" s="8">
        <f t="shared" si="3"/>
        <v>7200000</v>
      </c>
      <c r="M34" s="8">
        <f t="shared" si="4"/>
        <v>5081097.5609756093</v>
      </c>
    </row>
    <row r="35" spans="2:13" x14ac:dyDescent="0.2">
      <c r="B35" t="s">
        <v>7</v>
      </c>
      <c r="C35" s="150" t="s">
        <v>1604</v>
      </c>
      <c r="D35" s="1">
        <v>6.56</v>
      </c>
      <c r="E35" s="151">
        <v>591</v>
      </c>
      <c r="F35" s="151">
        <v>18</v>
      </c>
      <c r="G35" s="151">
        <f t="shared" si="0"/>
        <v>10638</v>
      </c>
      <c r="H35" s="150">
        <f t="shared" si="1"/>
        <v>1621.6463414634147</v>
      </c>
      <c r="I35" s="3">
        <v>3475</v>
      </c>
      <c r="J35" s="152">
        <f t="shared" si="2"/>
        <v>5635221.0365853664</v>
      </c>
      <c r="K35" s="153">
        <v>20000</v>
      </c>
      <c r="L35" s="167">
        <f t="shared" si="3"/>
        <v>11820000</v>
      </c>
      <c r="M35" s="168">
        <f t="shared" si="4"/>
        <v>6184778.9634146336</v>
      </c>
    </row>
    <row r="36" spans="2:13" x14ac:dyDescent="0.2">
      <c r="B36" t="s">
        <v>7</v>
      </c>
      <c r="C36" s="150" t="s">
        <v>1605</v>
      </c>
      <c r="D36" s="1">
        <v>6.56</v>
      </c>
      <c r="E36" s="151">
        <v>204</v>
      </c>
      <c r="F36" s="151">
        <v>16</v>
      </c>
      <c r="G36" s="151">
        <f t="shared" si="0"/>
        <v>3264</v>
      </c>
      <c r="H36" s="150">
        <f t="shared" si="1"/>
        <v>497.5609756097561</v>
      </c>
      <c r="I36" s="3">
        <v>3475</v>
      </c>
      <c r="J36" s="152">
        <f t="shared" si="2"/>
        <v>1729024.3902439026</v>
      </c>
      <c r="K36" s="153">
        <v>18000</v>
      </c>
      <c r="L36" s="8">
        <f t="shared" si="3"/>
        <v>3672000</v>
      </c>
      <c r="M36" s="8">
        <f t="shared" si="4"/>
        <v>1942975.6097560974</v>
      </c>
    </row>
    <row r="37" spans="2:13" x14ac:dyDescent="0.2">
      <c r="B37" t="s">
        <v>7</v>
      </c>
      <c r="C37" s="150" t="s">
        <v>1606</v>
      </c>
      <c r="D37" s="1">
        <v>6.56</v>
      </c>
      <c r="E37" s="151">
        <v>280</v>
      </c>
      <c r="F37" s="151">
        <v>15</v>
      </c>
      <c r="G37" s="151">
        <f t="shared" si="0"/>
        <v>4200</v>
      </c>
      <c r="H37" s="150">
        <f t="shared" si="1"/>
        <v>640.2439024390244</v>
      </c>
      <c r="I37" s="3">
        <v>3475</v>
      </c>
      <c r="J37" s="152">
        <f t="shared" si="2"/>
        <v>2224847.5609756098</v>
      </c>
      <c r="K37" s="153">
        <v>20000</v>
      </c>
      <c r="L37" s="167">
        <f t="shared" si="3"/>
        <v>5600000</v>
      </c>
      <c r="M37" s="168">
        <f t="shared" si="4"/>
        <v>3375152.4390243902</v>
      </c>
    </row>
    <row r="38" spans="2:13" x14ac:dyDescent="0.2">
      <c r="B38" t="s">
        <v>7</v>
      </c>
      <c r="C38" s="150" t="s">
        <v>1607</v>
      </c>
      <c r="D38" s="1">
        <v>6.56</v>
      </c>
      <c r="E38" s="151">
        <v>56</v>
      </c>
      <c r="F38" s="151">
        <v>20</v>
      </c>
      <c r="G38" s="151">
        <f t="shared" si="0"/>
        <v>1120</v>
      </c>
      <c r="H38" s="150">
        <f t="shared" si="1"/>
        <v>170.73170731707319</v>
      </c>
      <c r="I38" s="3">
        <v>3475</v>
      </c>
      <c r="J38" s="152">
        <f t="shared" si="2"/>
        <v>593292.68292682932</v>
      </c>
      <c r="K38" s="153">
        <v>20000</v>
      </c>
      <c r="L38" s="8">
        <f t="shared" si="3"/>
        <v>1120000</v>
      </c>
      <c r="M38" s="8">
        <f t="shared" si="4"/>
        <v>526707.31707317068</v>
      </c>
    </row>
    <row r="39" spans="2:13" x14ac:dyDescent="0.2">
      <c r="B39" t="s">
        <v>253</v>
      </c>
      <c r="C39" s="150" t="s">
        <v>1608</v>
      </c>
      <c r="D39" s="1">
        <v>6.56</v>
      </c>
      <c r="E39" s="151">
        <v>258</v>
      </c>
      <c r="F39" s="151">
        <v>12</v>
      </c>
      <c r="G39" s="151">
        <f t="shared" si="0"/>
        <v>3096</v>
      </c>
      <c r="H39" s="150">
        <f t="shared" si="1"/>
        <v>471.95121951219517</v>
      </c>
      <c r="I39" s="3">
        <v>3475</v>
      </c>
      <c r="J39" s="152">
        <f t="shared" si="2"/>
        <v>1640030.487804878</v>
      </c>
      <c r="K39" s="153">
        <v>20000</v>
      </c>
      <c r="L39" s="167">
        <f t="shared" si="3"/>
        <v>5160000</v>
      </c>
      <c r="M39" s="168">
        <f t="shared" si="4"/>
        <v>3519969.512195122</v>
      </c>
    </row>
    <row r="40" spans="2:13" x14ac:dyDescent="0.2">
      <c r="B40" t="s">
        <v>253</v>
      </c>
      <c r="C40" s="150" t="s">
        <v>1609</v>
      </c>
      <c r="D40" s="1">
        <v>6.56</v>
      </c>
      <c r="E40" s="151">
        <v>138</v>
      </c>
      <c r="F40" s="151">
        <v>12</v>
      </c>
      <c r="G40" s="151">
        <f t="shared" si="0"/>
        <v>1656</v>
      </c>
      <c r="H40" s="150">
        <f t="shared" si="1"/>
        <v>252.43902439024393</v>
      </c>
      <c r="I40" s="3">
        <v>3475</v>
      </c>
      <c r="J40" s="152">
        <f t="shared" si="2"/>
        <v>877225.60975609755</v>
      </c>
      <c r="K40" s="153">
        <v>20000</v>
      </c>
      <c r="L40" s="8">
        <f t="shared" si="3"/>
        <v>2760000</v>
      </c>
      <c r="M40" s="8">
        <f t="shared" si="4"/>
        <v>1882774.3902439023</v>
      </c>
    </row>
    <row r="41" spans="2:13" x14ac:dyDescent="0.2">
      <c r="B41" t="s">
        <v>253</v>
      </c>
      <c r="C41" s="150" t="s">
        <v>1610</v>
      </c>
      <c r="D41" s="1">
        <v>6.56</v>
      </c>
      <c r="E41" s="151">
        <v>363</v>
      </c>
      <c r="F41" s="151">
        <v>10</v>
      </c>
      <c r="G41" s="151">
        <f t="shared" si="0"/>
        <v>3630</v>
      </c>
      <c r="H41" s="150">
        <f t="shared" si="1"/>
        <v>553.35365853658539</v>
      </c>
      <c r="I41" s="3">
        <v>3475</v>
      </c>
      <c r="J41" s="152">
        <f t="shared" si="2"/>
        <v>1922903.9634146341</v>
      </c>
      <c r="K41" s="153">
        <v>18000</v>
      </c>
      <c r="L41" s="167">
        <f t="shared" si="3"/>
        <v>6534000</v>
      </c>
      <c r="M41" s="168">
        <f t="shared" si="4"/>
        <v>4611096.0365853664</v>
      </c>
    </row>
    <row r="42" spans="2:13" x14ac:dyDescent="0.2">
      <c r="B42" t="s">
        <v>253</v>
      </c>
      <c r="C42" s="150" t="s">
        <v>1611</v>
      </c>
      <c r="D42" s="1">
        <v>6.56</v>
      </c>
      <c r="E42" s="151">
        <v>287</v>
      </c>
      <c r="F42" s="151">
        <v>18</v>
      </c>
      <c r="G42" s="151">
        <f t="shared" si="0"/>
        <v>5166</v>
      </c>
      <c r="H42" s="150">
        <f t="shared" si="1"/>
        <v>787.5</v>
      </c>
      <c r="I42" s="3">
        <v>3475</v>
      </c>
      <c r="J42" s="152">
        <f t="shared" si="2"/>
        <v>2736562.5</v>
      </c>
      <c r="K42" s="153">
        <v>20000</v>
      </c>
      <c r="L42" s="8">
        <f t="shared" si="3"/>
        <v>5740000</v>
      </c>
      <c r="M42" s="8">
        <f t="shared" si="4"/>
        <v>3003437.5</v>
      </c>
    </row>
    <row r="43" spans="2:13" x14ac:dyDescent="0.2">
      <c r="B43" t="s">
        <v>253</v>
      </c>
      <c r="C43" s="150" t="s">
        <v>1612</v>
      </c>
      <c r="D43" s="1">
        <v>6.56</v>
      </c>
      <c r="E43" s="151">
        <v>137</v>
      </c>
      <c r="F43" s="151">
        <v>17</v>
      </c>
      <c r="G43" s="151">
        <f t="shared" si="0"/>
        <v>2329</v>
      </c>
      <c r="H43" s="150">
        <f t="shared" si="1"/>
        <v>355.03048780487808</v>
      </c>
      <c r="I43" s="3">
        <v>3475</v>
      </c>
      <c r="J43" s="152">
        <f t="shared" si="2"/>
        <v>1233730.9451219514</v>
      </c>
      <c r="K43" s="153">
        <v>20000</v>
      </c>
      <c r="L43" s="167">
        <f t="shared" si="3"/>
        <v>2740000</v>
      </c>
      <c r="M43" s="168">
        <f t="shared" si="4"/>
        <v>1506269.0548780486</v>
      </c>
    </row>
    <row r="44" spans="2:13" x14ac:dyDescent="0.2">
      <c r="B44" t="s">
        <v>7</v>
      </c>
      <c r="C44" s="150" t="s">
        <v>1613</v>
      </c>
      <c r="D44" s="1">
        <v>6.56</v>
      </c>
      <c r="E44" s="151">
        <v>450</v>
      </c>
      <c r="F44" s="151">
        <v>10</v>
      </c>
      <c r="G44" s="151">
        <f t="shared" si="0"/>
        <v>4500</v>
      </c>
      <c r="H44" s="150">
        <f t="shared" si="1"/>
        <v>685.97560975609758</v>
      </c>
      <c r="I44" s="3">
        <v>3475</v>
      </c>
      <c r="J44" s="152">
        <f t="shared" si="2"/>
        <v>2383765.2439024393</v>
      </c>
      <c r="K44" s="153">
        <v>18000</v>
      </c>
      <c r="L44" s="8">
        <f t="shared" si="3"/>
        <v>8100000</v>
      </c>
      <c r="M44" s="8">
        <f t="shared" si="4"/>
        <v>5716234.7560975607</v>
      </c>
    </row>
    <row r="45" spans="2:13" x14ac:dyDescent="0.2">
      <c r="D45" s="1"/>
      <c r="E45" s="7">
        <f>SUM(E3:E44)</f>
        <v>11634</v>
      </c>
      <c r="H45" s="156">
        <f>SUM(H3:H44)</f>
        <v>35417.454268292684</v>
      </c>
      <c r="I45" s="3"/>
      <c r="J45" s="159">
        <f>SUM(J3:J44)</f>
        <v>123075653.58231708</v>
      </c>
      <c r="L45" s="115">
        <f>SUM(L3:L44)</f>
        <v>240275000</v>
      </c>
      <c r="M45" s="48">
        <f>SUM(M3:M44)</f>
        <v>117199346.41768292</v>
      </c>
    </row>
    <row r="46" spans="2:13" x14ac:dyDescent="0.2">
      <c r="D46" s="1"/>
      <c r="E46" s="41"/>
      <c r="H46" s="171"/>
      <c r="I46" s="3"/>
      <c r="J46" s="102"/>
      <c r="L46" s="63"/>
      <c r="M46" s="63"/>
    </row>
    <row r="47" spans="2:13" x14ac:dyDescent="0.2">
      <c r="D47" s="1"/>
      <c r="I47" s="3"/>
    </row>
    <row r="48" spans="2:13" x14ac:dyDescent="0.2">
      <c r="D48" s="1"/>
      <c r="I48" s="3"/>
    </row>
    <row r="49" spans="4:11" x14ac:dyDescent="0.2">
      <c r="D49" s="1"/>
      <c r="I49" s="3"/>
    </row>
    <row r="50" spans="4:11" x14ac:dyDescent="0.2">
      <c r="D50" s="1"/>
      <c r="I50" s="3" t="s">
        <v>25</v>
      </c>
      <c r="J50" s="169">
        <v>123057653</v>
      </c>
    </row>
    <row r="51" spans="4:11" x14ac:dyDescent="0.2">
      <c r="D51" s="1"/>
      <c r="I51" s="3" t="s">
        <v>27</v>
      </c>
      <c r="J51" s="9">
        <v>7000000</v>
      </c>
    </row>
    <row r="52" spans="4:11" x14ac:dyDescent="0.2">
      <c r="I52" s="3" t="s">
        <v>26</v>
      </c>
      <c r="J52" s="3">
        <v>5100000</v>
      </c>
    </row>
    <row r="53" spans="4:11" x14ac:dyDescent="0.2">
      <c r="I53" s="3" t="s">
        <v>33</v>
      </c>
      <c r="J53" s="3">
        <v>4000000</v>
      </c>
    </row>
    <row r="54" spans="4:11" x14ac:dyDescent="0.2">
      <c r="I54" s="3" t="s">
        <v>31</v>
      </c>
      <c r="J54" s="3">
        <v>7000000</v>
      </c>
    </row>
    <row r="55" spans="4:11" x14ac:dyDescent="0.2">
      <c r="I55" s="3" t="s">
        <v>36</v>
      </c>
      <c r="J55" s="3">
        <v>3410000</v>
      </c>
    </row>
    <row r="56" spans="4:11" x14ac:dyDescent="0.2">
      <c r="I56" s="3" t="s">
        <v>29</v>
      </c>
      <c r="J56" s="23">
        <v>8500000</v>
      </c>
    </row>
    <row r="57" spans="4:11" x14ac:dyDescent="0.2">
      <c r="I57" s="3" t="s">
        <v>34</v>
      </c>
      <c r="J57" s="127">
        <f>SUM(J50:J56)</f>
        <v>158067653</v>
      </c>
    </row>
    <row r="58" spans="4:11" x14ac:dyDescent="0.2">
      <c r="I58" s="3" t="s">
        <v>6</v>
      </c>
      <c r="J58" s="165">
        <v>241675000</v>
      </c>
    </row>
    <row r="59" spans="4:11" ht="18" x14ac:dyDescent="0.35">
      <c r="I59" s="3" t="s">
        <v>35</v>
      </c>
      <c r="J59" s="21">
        <f>J58-J57</f>
        <v>83607347</v>
      </c>
    </row>
    <row r="60" spans="4:11" x14ac:dyDescent="0.2">
      <c r="I60" s="137" t="s">
        <v>33</v>
      </c>
    </row>
    <row r="61" spans="4:11" x14ac:dyDescent="0.2">
      <c r="I61" s="112"/>
    </row>
    <row r="62" spans="4:11" x14ac:dyDescent="0.2">
      <c r="I62" s="112" t="s">
        <v>1484</v>
      </c>
    </row>
    <row r="63" spans="4:11" x14ac:dyDescent="0.2">
      <c r="I63" s="112" t="s">
        <v>1561</v>
      </c>
      <c r="J63" t="s">
        <v>1567</v>
      </c>
      <c r="K63" t="s">
        <v>1557</v>
      </c>
    </row>
    <row r="64" spans="4:11" x14ac:dyDescent="0.2">
      <c r="I64" s="112" t="s">
        <v>1562</v>
      </c>
      <c r="J64" t="s">
        <v>1556</v>
      </c>
      <c r="K64" t="s">
        <v>1558</v>
      </c>
    </row>
    <row r="65" spans="9:12" x14ac:dyDescent="0.2">
      <c r="I65" s="112" t="s">
        <v>1561</v>
      </c>
      <c r="J65" t="s">
        <v>1559</v>
      </c>
      <c r="K65" t="s">
        <v>1560</v>
      </c>
    </row>
    <row r="67" spans="9:12" x14ac:dyDescent="0.2">
      <c r="K67" t="s">
        <v>1568</v>
      </c>
      <c r="L67" t="s">
        <v>1569</v>
      </c>
    </row>
    <row r="68" spans="9:12" x14ac:dyDescent="0.2">
      <c r="K68" t="s">
        <v>1570</v>
      </c>
    </row>
    <row r="69" spans="9:12" x14ac:dyDescent="0.2">
      <c r="K69" t="s">
        <v>1571</v>
      </c>
    </row>
    <row r="70" spans="9:12" x14ac:dyDescent="0.2">
      <c r="K70" t="s">
        <v>1572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81"/>
  <sheetViews>
    <sheetView topLeftCell="A65" workbookViewId="0">
      <selection activeCell="I72" sqref="I72:J81"/>
    </sheetView>
  </sheetViews>
  <sheetFormatPr baseColWidth="10" defaultRowHeight="15" x14ac:dyDescent="0.2"/>
  <cols>
    <col min="2" max="2" width="12.33203125" customWidth="1"/>
    <col min="3" max="3" width="21.5" customWidth="1"/>
    <col min="10" max="10" width="16.6640625" customWidth="1"/>
    <col min="12" max="12" width="14.1640625" customWidth="1"/>
    <col min="13" max="13" width="15" customWidth="1"/>
  </cols>
  <sheetData>
    <row r="1" spans="1:13" ht="31" x14ac:dyDescent="0.35">
      <c r="A1" s="56" t="s">
        <v>1660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145" t="s">
        <v>1615</v>
      </c>
      <c r="B3" s="145" t="s">
        <v>7</v>
      </c>
      <c r="C3" s="145" t="s">
        <v>1616</v>
      </c>
      <c r="D3" s="1">
        <v>6.48</v>
      </c>
      <c r="E3" s="149">
        <v>150</v>
      </c>
      <c r="F3" s="149">
        <v>26</v>
      </c>
      <c r="G3" s="149">
        <f t="shared" ref="G3:G65" si="0">E3*F3</f>
        <v>3900</v>
      </c>
      <c r="H3" s="145">
        <f t="shared" ref="H3:H65" si="1">G3/D3</f>
        <v>601.85185185185185</v>
      </c>
      <c r="I3" s="3">
        <v>3310</v>
      </c>
      <c r="J3" s="146">
        <f t="shared" ref="J3:J65" si="2">F3/D3*I3*E3</f>
        <v>1992129.6296296297</v>
      </c>
      <c r="K3" s="147">
        <v>23000</v>
      </c>
      <c r="L3" s="148">
        <f t="shared" ref="L3:L65" si="3">K3*E3</f>
        <v>3450000</v>
      </c>
      <c r="M3" s="147">
        <f t="shared" ref="M3:M65" si="4">L3-J3</f>
        <v>1457870.3703703703</v>
      </c>
    </row>
    <row r="4" spans="1:13" x14ac:dyDescent="0.2">
      <c r="A4" s="145"/>
      <c r="B4" s="145" t="s">
        <v>253</v>
      </c>
      <c r="C4" s="145" t="s">
        <v>1451</v>
      </c>
      <c r="D4" s="1">
        <v>6.48</v>
      </c>
      <c r="E4" s="149">
        <v>440</v>
      </c>
      <c r="F4" s="149">
        <v>25</v>
      </c>
      <c r="G4" s="149">
        <f t="shared" si="0"/>
        <v>11000</v>
      </c>
      <c r="H4" s="145">
        <f t="shared" si="1"/>
        <v>1697.5308641975307</v>
      </c>
      <c r="I4" s="3">
        <v>3310</v>
      </c>
      <c r="J4" s="146">
        <f t="shared" si="2"/>
        <v>5618827.1604938274</v>
      </c>
      <c r="K4" s="147">
        <v>22000</v>
      </c>
      <c r="L4" s="148">
        <f t="shared" si="3"/>
        <v>9680000</v>
      </c>
      <c r="M4" s="147">
        <f t="shared" si="4"/>
        <v>4061172.8395061726</v>
      </c>
    </row>
    <row r="5" spans="1:13" x14ac:dyDescent="0.2">
      <c r="A5" s="1"/>
      <c r="B5" s="145" t="s">
        <v>253</v>
      </c>
      <c r="C5" s="145" t="s">
        <v>1617</v>
      </c>
      <c r="D5" s="1">
        <v>6.48</v>
      </c>
      <c r="E5" s="149">
        <v>440</v>
      </c>
      <c r="F5" s="149">
        <v>26</v>
      </c>
      <c r="G5" s="149">
        <f t="shared" si="0"/>
        <v>11440</v>
      </c>
      <c r="H5" s="145">
        <f t="shared" si="1"/>
        <v>1765.4320987654319</v>
      </c>
      <c r="I5" s="3">
        <v>3310</v>
      </c>
      <c r="J5" s="146">
        <f t="shared" si="2"/>
        <v>5843580.2469135802</v>
      </c>
      <c r="K5" s="147">
        <v>22000</v>
      </c>
      <c r="L5" s="148">
        <f t="shared" si="3"/>
        <v>9680000</v>
      </c>
      <c r="M5" s="147">
        <f t="shared" si="4"/>
        <v>3836419.7530864198</v>
      </c>
    </row>
    <row r="6" spans="1:13" x14ac:dyDescent="0.2">
      <c r="A6" s="1"/>
      <c r="B6" s="145" t="s">
        <v>253</v>
      </c>
      <c r="C6" s="145" t="s">
        <v>461</v>
      </c>
      <c r="D6" s="1">
        <v>6.48</v>
      </c>
      <c r="E6" s="149">
        <v>280</v>
      </c>
      <c r="F6" s="149">
        <v>26</v>
      </c>
      <c r="G6" s="149">
        <f t="shared" si="0"/>
        <v>7280</v>
      </c>
      <c r="H6" s="145">
        <f t="shared" si="1"/>
        <v>1123.4567901234568</v>
      </c>
      <c r="I6" s="3">
        <v>3310</v>
      </c>
      <c r="J6" s="146">
        <f t="shared" si="2"/>
        <v>3718641.9753086418</v>
      </c>
      <c r="K6" s="147">
        <v>22000</v>
      </c>
      <c r="L6" s="148">
        <f t="shared" si="3"/>
        <v>6160000</v>
      </c>
      <c r="M6" s="147">
        <f t="shared" si="4"/>
        <v>2441358.0246913582</v>
      </c>
    </row>
    <row r="7" spans="1:13" x14ac:dyDescent="0.2">
      <c r="A7" s="1"/>
      <c r="B7" s="145" t="s">
        <v>253</v>
      </c>
      <c r="C7" s="145" t="s">
        <v>1618</v>
      </c>
      <c r="D7" s="1">
        <v>6.48</v>
      </c>
      <c r="E7" s="149">
        <v>135</v>
      </c>
      <c r="F7" s="149">
        <v>26</v>
      </c>
      <c r="G7" s="149">
        <f t="shared" si="0"/>
        <v>3510</v>
      </c>
      <c r="H7" s="145">
        <f t="shared" si="1"/>
        <v>541.66666666666663</v>
      </c>
      <c r="I7" s="3">
        <v>3310</v>
      </c>
      <c r="J7" s="146">
        <f t="shared" si="2"/>
        <v>1792916.6666666665</v>
      </c>
      <c r="K7" s="147">
        <v>22000</v>
      </c>
      <c r="L7" s="148">
        <f t="shared" si="3"/>
        <v>2970000</v>
      </c>
      <c r="M7" s="147">
        <f t="shared" si="4"/>
        <v>1177083.3333333335</v>
      </c>
    </row>
    <row r="8" spans="1:13" x14ac:dyDescent="0.2">
      <c r="A8" s="1"/>
      <c r="B8" s="145" t="s">
        <v>253</v>
      </c>
      <c r="C8" s="145" t="s">
        <v>1619</v>
      </c>
      <c r="D8" s="1">
        <v>6.48</v>
      </c>
      <c r="E8" s="149">
        <v>115</v>
      </c>
      <c r="F8" s="149">
        <v>26</v>
      </c>
      <c r="G8" s="149">
        <f t="shared" si="0"/>
        <v>2990</v>
      </c>
      <c r="H8" s="145">
        <f t="shared" si="1"/>
        <v>461.41975308641975</v>
      </c>
      <c r="I8" s="3">
        <v>3310</v>
      </c>
      <c r="J8" s="146">
        <f t="shared" si="2"/>
        <v>1527299.3827160494</v>
      </c>
      <c r="K8" s="147">
        <v>22000</v>
      </c>
      <c r="L8" s="148">
        <f t="shared" si="3"/>
        <v>2530000</v>
      </c>
      <c r="M8" s="147">
        <f t="shared" si="4"/>
        <v>1002700.6172839506</v>
      </c>
    </row>
    <row r="9" spans="1:13" x14ac:dyDescent="0.2">
      <c r="A9" s="1"/>
      <c r="B9" s="145"/>
      <c r="C9" s="1" t="s">
        <v>1201</v>
      </c>
      <c r="D9" s="1">
        <v>6.48</v>
      </c>
      <c r="E9" s="149">
        <v>210</v>
      </c>
      <c r="F9" s="149">
        <v>25</v>
      </c>
      <c r="G9" s="149">
        <f t="shared" si="0"/>
        <v>5250</v>
      </c>
      <c r="H9" s="145">
        <f t="shared" si="1"/>
        <v>810.18518518518511</v>
      </c>
      <c r="I9" s="3">
        <v>3310</v>
      </c>
      <c r="J9" s="146">
        <f t="shared" si="2"/>
        <v>2681712.9629629627</v>
      </c>
      <c r="K9" s="147">
        <v>22000</v>
      </c>
      <c r="L9" s="148">
        <f t="shared" si="3"/>
        <v>4620000</v>
      </c>
      <c r="M9" s="147">
        <f t="shared" si="4"/>
        <v>1938287.0370370373</v>
      </c>
    </row>
    <row r="10" spans="1:13" x14ac:dyDescent="0.2">
      <c r="A10" s="1"/>
      <c r="B10" s="145" t="s">
        <v>253</v>
      </c>
      <c r="C10" s="145" t="s">
        <v>1653</v>
      </c>
      <c r="D10" s="1">
        <v>6.48</v>
      </c>
      <c r="E10" s="149">
        <v>225</v>
      </c>
      <c r="F10" s="149">
        <v>25</v>
      </c>
      <c r="G10" s="149">
        <f t="shared" si="0"/>
        <v>5625</v>
      </c>
      <c r="H10" s="145">
        <f t="shared" si="1"/>
        <v>868.05555555555554</v>
      </c>
      <c r="I10" s="3">
        <v>3310</v>
      </c>
      <c r="J10" s="146">
        <f t="shared" si="2"/>
        <v>2873263.888888889</v>
      </c>
      <c r="K10" s="147">
        <v>22000</v>
      </c>
      <c r="L10" s="148">
        <f t="shared" si="3"/>
        <v>4950000</v>
      </c>
      <c r="M10" s="147">
        <f t="shared" si="4"/>
        <v>2076736.111111111</v>
      </c>
    </row>
    <row r="11" spans="1:13" x14ac:dyDescent="0.2">
      <c r="A11" s="1"/>
      <c r="B11" s="145" t="s">
        <v>7</v>
      </c>
      <c r="C11" s="145" t="s">
        <v>1620</v>
      </c>
      <c r="D11" s="1">
        <v>6.48</v>
      </c>
      <c r="E11" s="149">
        <v>750</v>
      </c>
      <c r="F11" s="149">
        <v>23</v>
      </c>
      <c r="G11" s="149">
        <f t="shared" si="0"/>
        <v>17250</v>
      </c>
      <c r="H11" s="145">
        <f t="shared" si="1"/>
        <v>2662.037037037037</v>
      </c>
      <c r="I11" s="3">
        <v>3310</v>
      </c>
      <c r="J11" s="146">
        <f t="shared" si="2"/>
        <v>8811342.5925925933</v>
      </c>
      <c r="K11" s="147">
        <v>20000</v>
      </c>
      <c r="L11" s="148">
        <f t="shared" si="3"/>
        <v>15000000</v>
      </c>
      <c r="M11" s="147">
        <f t="shared" si="4"/>
        <v>6188657.4074074067</v>
      </c>
    </row>
    <row r="12" spans="1:13" x14ac:dyDescent="0.2">
      <c r="A12" s="1"/>
      <c r="B12" s="145" t="s">
        <v>253</v>
      </c>
      <c r="C12" s="145" t="s">
        <v>1621</v>
      </c>
      <c r="D12" s="1">
        <v>6.48</v>
      </c>
      <c r="E12" s="149">
        <v>400</v>
      </c>
      <c r="F12" s="149">
        <v>22</v>
      </c>
      <c r="G12" s="149">
        <f t="shared" si="0"/>
        <v>8800</v>
      </c>
      <c r="H12" s="145">
        <f t="shared" si="1"/>
        <v>1358.0246913580247</v>
      </c>
      <c r="I12" s="3">
        <v>3310</v>
      </c>
      <c r="J12" s="146">
        <f t="shared" si="2"/>
        <v>4495061.7283950616</v>
      </c>
      <c r="K12" s="147">
        <v>20000</v>
      </c>
      <c r="L12" s="148">
        <f t="shared" si="3"/>
        <v>8000000</v>
      </c>
      <c r="M12" s="147">
        <f t="shared" si="4"/>
        <v>3504938.2716049384</v>
      </c>
    </row>
    <row r="13" spans="1:13" x14ac:dyDescent="0.2">
      <c r="A13" s="1"/>
      <c r="B13" s="145" t="s">
        <v>7</v>
      </c>
      <c r="C13" s="145" t="s">
        <v>1654</v>
      </c>
      <c r="D13" s="1">
        <v>6.48</v>
      </c>
      <c r="E13" s="149">
        <v>200</v>
      </c>
      <c r="F13" s="149">
        <v>24.5</v>
      </c>
      <c r="G13" s="149">
        <f t="shared" si="0"/>
        <v>4900</v>
      </c>
      <c r="H13" s="145">
        <f t="shared" si="1"/>
        <v>756.17283950617275</v>
      </c>
      <c r="I13" s="3">
        <v>3310</v>
      </c>
      <c r="J13" s="146">
        <f t="shared" si="2"/>
        <v>2502932.0987654319</v>
      </c>
      <c r="K13" s="147">
        <v>23000</v>
      </c>
      <c r="L13" s="148">
        <f t="shared" si="3"/>
        <v>4600000</v>
      </c>
      <c r="M13" s="147">
        <f t="shared" si="4"/>
        <v>2097067.9012345681</v>
      </c>
    </row>
    <row r="14" spans="1:13" x14ac:dyDescent="0.2">
      <c r="A14" s="1"/>
      <c r="B14" s="145" t="s">
        <v>253</v>
      </c>
      <c r="C14" s="145" t="s">
        <v>1622</v>
      </c>
      <c r="D14" s="1">
        <v>6.48</v>
      </c>
      <c r="E14" s="149">
        <v>200</v>
      </c>
      <c r="F14" s="149">
        <v>26</v>
      </c>
      <c r="G14" s="149">
        <f t="shared" si="0"/>
        <v>5200</v>
      </c>
      <c r="H14" s="145">
        <f t="shared" si="1"/>
        <v>802.46913580246905</v>
      </c>
      <c r="I14" s="3">
        <v>3310</v>
      </c>
      <c r="J14" s="146">
        <f t="shared" si="2"/>
        <v>2656172.8395061726</v>
      </c>
      <c r="K14" s="147">
        <v>23000</v>
      </c>
      <c r="L14" s="148">
        <f t="shared" si="3"/>
        <v>4600000</v>
      </c>
      <c r="M14" s="147">
        <f t="shared" si="4"/>
        <v>1943827.1604938274</v>
      </c>
    </row>
    <row r="15" spans="1:13" x14ac:dyDescent="0.2">
      <c r="A15" s="1"/>
      <c r="B15" s="145" t="s">
        <v>253</v>
      </c>
      <c r="C15" s="145" t="s">
        <v>1623</v>
      </c>
      <c r="D15" s="1">
        <v>6.48</v>
      </c>
      <c r="E15" s="149">
        <v>350</v>
      </c>
      <c r="F15" s="149">
        <v>25</v>
      </c>
      <c r="G15" s="149">
        <f t="shared" si="0"/>
        <v>8750</v>
      </c>
      <c r="H15" s="145">
        <f t="shared" si="1"/>
        <v>1350.3086419753085</v>
      </c>
      <c r="I15" s="3">
        <v>3310</v>
      </c>
      <c r="J15" s="146">
        <f t="shared" si="2"/>
        <v>4469521.6049382715</v>
      </c>
      <c r="K15" s="147">
        <v>23000</v>
      </c>
      <c r="L15" s="148">
        <f t="shared" si="3"/>
        <v>8050000</v>
      </c>
      <c r="M15" s="147">
        <f t="shared" si="4"/>
        <v>3580478.3950617285</v>
      </c>
    </row>
    <row r="16" spans="1:13" x14ac:dyDescent="0.2">
      <c r="A16" s="1"/>
      <c r="B16" s="145" t="s">
        <v>253</v>
      </c>
      <c r="C16" s="145" t="s">
        <v>1624</v>
      </c>
      <c r="D16" s="1">
        <v>6.48</v>
      </c>
      <c r="E16" s="149">
        <v>800</v>
      </c>
      <c r="F16" s="149">
        <v>22</v>
      </c>
      <c r="G16" s="149">
        <f t="shared" si="0"/>
        <v>17600</v>
      </c>
      <c r="H16" s="145">
        <f t="shared" si="1"/>
        <v>2716.0493827160494</v>
      </c>
      <c r="I16" s="3">
        <v>3310</v>
      </c>
      <c r="J16" s="146">
        <f t="shared" si="2"/>
        <v>8990123.4567901231</v>
      </c>
      <c r="K16" s="147">
        <v>20000</v>
      </c>
      <c r="L16" s="148">
        <f t="shared" si="3"/>
        <v>16000000</v>
      </c>
      <c r="M16" s="147">
        <f t="shared" si="4"/>
        <v>7009876.5432098769</v>
      </c>
    </row>
    <row r="17" spans="1:13" x14ac:dyDescent="0.2">
      <c r="A17" s="1"/>
      <c r="B17" s="145" t="s">
        <v>1625</v>
      </c>
      <c r="C17" s="145" t="s">
        <v>1626</v>
      </c>
      <c r="D17" s="1">
        <v>6.48</v>
      </c>
      <c r="E17" s="149">
        <v>200</v>
      </c>
      <c r="F17" s="149">
        <v>22</v>
      </c>
      <c r="G17" s="149">
        <f t="shared" si="0"/>
        <v>4400</v>
      </c>
      <c r="H17" s="145">
        <f t="shared" si="1"/>
        <v>679.01234567901236</v>
      </c>
      <c r="I17" s="3">
        <v>3310</v>
      </c>
      <c r="J17" s="146">
        <f t="shared" si="2"/>
        <v>2247530.8641975308</v>
      </c>
      <c r="K17" s="147">
        <v>20000</v>
      </c>
      <c r="L17" s="148">
        <f t="shared" si="3"/>
        <v>4000000</v>
      </c>
      <c r="M17" s="147">
        <f t="shared" si="4"/>
        <v>1752469.1358024692</v>
      </c>
    </row>
    <row r="18" spans="1:13" x14ac:dyDescent="0.2">
      <c r="A18" s="1"/>
      <c r="B18" s="1"/>
      <c r="C18" s="145" t="s">
        <v>1628</v>
      </c>
      <c r="D18" s="1">
        <v>6.48</v>
      </c>
      <c r="E18" s="149">
        <v>200</v>
      </c>
      <c r="F18" s="149">
        <v>26</v>
      </c>
      <c r="G18" s="149">
        <f t="shared" si="0"/>
        <v>5200</v>
      </c>
      <c r="H18" s="145">
        <f t="shared" si="1"/>
        <v>802.46913580246905</v>
      </c>
      <c r="I18" s="3">
        <v>3310</v>
      </c>
      <c r="J18" s="146">
        <f t="shared" si="2"/>
        <v>2656172.8395061726</v>
      </c>
      <c r="K18" s="147">
        <v>22000</v>
      </c>
      <c r="L18" s="148">
        <f t="shared" si="3"/>
        <v>4400000</v>
      </c>
      <c r="M18" s="147">
        <f t="shared" si="4"/>
        <v>1743827.1604938274</v>
      </c>
    </row>
    <row r="19" spans="1:13" x14ac:dyDescent="0.2">
      <c r="A19" s="1"/>
      <c r="B19" s="1"/>
      <c r="C19" s="145" t="s">
        <v>1627</v>
      </c>
      <c r="D19" s="1">
        <v>6.48</v>
      </c>
      <c r="E19" s="149">
        <v>200</v>
      </c>
      <c r="F19" s="149">
        <v>25</v>
      </c>
      <c r="G19" s="149">
        <f t="shared" si="0"/>
        <v>5000</v>
      </c>
      <c r="H19" s="145">
        <f t="shared" si="1"/>
        <v>771.60493827160485</v>
      </c>
      <c r="I19" s="3">
        <v>3310</v>
      </c>
      <c r="J19" s="146">
        <f t="shared" si="2"/>
        <v>2554012.3456790121</v>
      </c>
      <c r="K19" s="147">
        <v>22000</v>
      </c>
      <c r="L19" s="148">
        <f t="shared" si="3"/>
        <v>4400000</v>
      </c>
      <c r="M19" s="147">
        <f t="shared" si="4"/>
        <v>1845987.6543209879</v>
      </c>
    </row>
    <row r="20" spans="1:13" x14ac:dyDescent="0.2">
      <c r="A20" s="1"/>
      <c r="B20" s="1"/>
      <c r="C20" s="145" t="s">
        <v>1629</v>
      </c>
      <c r="D20" s="1">
        <v>6.48</v>
      </c>
      <c r="E20" s="149">
        <v>150</v>
      </c>
      <c r="F20" s="149">
        <v>21</v>
      </c>
      <c r="G20" s="149">
        <f t="shared" si="0"/>
        <v>3150</v>
      </c>
      <c r="H20" s="145">
        <f t="shared" si="1"/>
        <v>486.11111111111109</v>
      </c>
      <c r="I20" s="3">
        <v>3310</v>
      </c>
      <c r="J20" s="146">
        <f t="shared" si="2"/>
        <v>1609027.7777777775</v>
      </c>
      <c r="K20" s="147">
        <v>20000</v>
      </c>
      <c r="L20" s="148">
        <f t="shared" si="3"/>
        <v>3000000</v>
      </c>
      <c r="M20" s="147">
        <f t="shared" si="4"/>
        <v>1390972.2222222225</v>
      </c>
    </row>
    <row r="21" spans="1:13" x14ac:dyDescent="0.2">
      <c r="A21" s="1"/>
      <c r="B21" s="1"/>
      <c r="C21" s="145" t="s">
        <v>1630</v>
      </c>
      <c r="D21" s="1">
        <v>6.48</v>
      </c>
      <c r="E21" s="149">
        <v>200</v>
      </c>
      <c r="F21" s="149">
        <v>18</v>
      </c>
      <c r="G21" s="149">
        <f t="shared" si="0"/>
        <v>3600</v>
      </c>
      <c r="H21" s="145">
        <f t="shared" si="1"/>
        <v>555.55555555555554</v>
      </c>
      <c r="I21" s="3">
        <v>3310</v>
      </c>
      <c r="J21" s="146">
        <f t="shared" si="2"/>
        <v>1838888.8888888888</v>
      </c>
      <c r="K21" s="147">
        <v>20000</v>
      </c>
      <c r="L21" s="148">
        <f t="shared" si="3"/>
        <v>4000000</v>
      </c>
      <c r="M21" s="147">
        <f t="shared" si="4"/>
        <v>2161111.111111111</v>
      </c>
    </row>
    <row r="22" spans="1:13" x14ac:dyDescent="0.2">
      <c r="A22" s="1"/>
      <c r="B22" s="1"/>
      <c r="C22" s="145" t="s">
        <v>1631</v>
      </c>
      <c r="D22" s="1">
        <v>6.48</v>
      </c>
      <c r="E22" s="149">
        <v>200</v>
      </c>
      <c r="F22" s="149">
        <v>36</v>
      </c>
      <c r="G22" s="149">
        <f t="shared" si="0"/>
        <v>7200</v>
      </c>
      <c r="H22" s="145">
        <f t="shared" si="1"/>
        <v>1111.1111111111111</v>
      </c>
      <c r="I22" s="3">
        <v>3310</v>
      </c>
      <c r="J22" s="146">
        <f t="shared" si="2"/>
        <v>3677777.7777777775</v>
      </c>
      <c r="K22" s="147">
        <v>35000</v>
      </c>
      <c r="L22" s="148">
        <f t="shared" si="3"/>
        <v>7000000</v>
      </c>
      <c r="M22" s="147">
        <f t="shared" si="4"/>
        <v>3322222.2222222225</v>
      </c>
    </row>
    <row r="23" spans="1:13" x14ac:dyDescent="0.2">
      <c r="A23" s="1"/>
      <c r="B23" s="1"/>
      <c r="C23" s="145" t="s">
        <v>1632</v>
      </c>
      <c r="D23" s="1">
        <v>6.48</v>
      </c>
      <c r="E23" s="149">
        <v>150</v>
      </c>
      <c r="F23" s="149">
        <v>21</v>
      </c>
      <c r="G23" s="149">
        <f t="shared" si="0"/>
        <v>3150</v>
      </c>
      <c r="H23" s="145">
        <f t="shared" si="1"/>
        <v>486.11111111111109</v>
      </c>
      <c r="I23" s="3">
        <v>3310</v>
      </c>
      <c r="J23" s="146">
        <f t="shared" si="2"/>
        <v>1609027.7777777775</v>
      </c>
      <c r="K23" s="147">
        <v>20000</v>
      </c>
      <c r="L23" s="148">
        <f t="shared" si="3"/>
        <v>3000000</v>
      </c>
      <c r="M23" s="147">
        <f t="shared" si="4"/>
        <v>1390972.2222222225</v>
      </c>
    </row>
    <row r="24" spans="1:13" x14ac:dyDescent="0.2">
      <c r="A24" s="1"/>
      <c r="B24" s="1" t="s">
        <v>1625</v>
      </c>
      <c r="C24" s="145" t="s">
        <v>1633</v>
      </c>
      <c r="D24" s="1">
        <v>6.48</v>
      </c>
      <c r="E24" s="149">
        <v>234</v>
      </c>
      <c r="F24" s="149">
        <v>35</v>
      </c>
      <c r="G24" s="149">
        <f t="shared" si="0"/>
        <v>8190</v>
      </c>
      <c r="H24" s="145">
        <f t="shared" si="1"/>
        <v>1263.8888888888889</v>
      </c>
      <c r="I24" s="3">
        <v>3310</v>
      </c>
      <c r="J24" s="146">
        <f t="shared" si="2"/>
        <v>4183472.222222222</v>
      </c>
      <c r="K24" s="147">
        <v>35000</v>
      </c>
      <c r="L24" s="148">
        <f t="shared" si="3"/>
        <v>8190000</v>
      </c>
      <c r="M24" s="147">
        <f t="shared" si="4"/>
        <v>4006527.777777778</v>
      </c>
    </row>
    <row r="25" spans="1:13" x14ac:dyDescent="0.2">
      <c r="A25" s="1"/>
      <c r="B25" s="1"/>
      <c r="C25" s="145" t="s">
        <v>1634</v>
      </c>
      <c r="D25" s="1">
        <v>6.48</v>
      </c>
      <c r="E25" s="149">
        <v>255</v>
      </c>
      <c r="F25" s="149">
        <v>23</v>
      </c>
      <c r="G25" s="149">
        <f t="shared" si="0"/>
        <v>5865</v>
      </c>
      <c r="H25" s="145">
        <f t="shared" si="1"/>
        <v>905.0925925925925</v>
      </c>
      <c r="I25" s="3">
        <v>3310</v>
      </c>
      <c r="J25" s="146">
        <f t="shared" si="2"/>
        <v>2995856.4814814813</v>
      </c>
      <c r="K25" s="147">
        <v>22000</v>
      </c>
      <c r="L25" s="148">
        <f t="shared" si="3"/>
        <v>5610000</v>
      </c>
      <c r="M25" s="147">
        <f t="shared" si="4"/>
        <v>2614143.5185185187</v>
      </c>
    </row>
    <row r="26" spans="1:13" x14ac:dyDescent="0.2">
      <c r="A26" s="1"/>
      <c r="B26" s="1" t="s">
        <v>1625</v>
      </c>
      <c r="C26" s="145" t="s">
        <v>1635</v>
      </c>
      <c r="D26" s="1">
        <v>6.48</v>
      </c>
      <c r="E26" s="149">
        <v>200</v>
      </c>
      <c r="F26" s="149">
        <v>45</v>
      </c>
      <c r="G26" s="149">
        <f t="shared" si="0"/>
        <v>9000</v>
      </c>
      <c r="H26" s="145">
        <f t="shared" si="1"/>
        <v>1388.8888888888887</v>
      </c>
      <c r="I26" s="3">
        <v>3310</v>
      </c>
      <c r="J26" s="146">
        <f t="shared" si="2"/>
        <v>4597222.222222222</v>
      </c>
      <c r="K26" s="147">
        <v>40000</v>
      </c>
      <c r="L26" s="148">
        <f t="shared" si="3"/>
        <v>8000000</v>
      </c>
      <c r="M26" s="147">
        <f t="shared" si="4"/>
        <v>3402777.777777778</v>
      </c>
    </row>
    <row r="27" spans="1:13" x14ac:dyDescent="0.2">
      <c r="A27" s="1"/>
      <c r="B27" s="1" t="s">
        <v>7</v>
      </c>
      <c r="C27" s="145" t="s">
        <v>1636</v>
      </c>
      <c r="D27" s="1">
        <v>6.48</v>
      </c>
      <c r="E27" s="149">
        <v>210</v>
      </c>
      <c r="F27" s="149">
        <v>20</v>
      </c>
      <c r="G27" s="149">
        <f t="shared" si="0"/>
        <v>4200</v>
      </c>
      <c r="H27" s="145">
        <f t="shared" si="1"/>
        <v>648.14814814814815</v>
      </c>
      <c r="I27" s="3">
        <v>3310</v>
      </c>
      <c r="J27" s="146">
        <f t="shared" si="2"/>
        <v>2145370.3703703703</v>
      </c>
      <c r="K27" s="147">
        <v>20000</v>
      </c>
      <c r="L27" s="148">
        <f t="shared" si="3"/>
        <v>4200000</v>
      </c>
      <c r="M27" s="147">
        <f t="shared" si="4"/>
        <v>2054629.6296296297</v>
      </c>
    </row>
    <row r="28" spans="1:13" x14ac:dyDescent="0.2">
      <c r="A28" s="1"/>
      <c r="B28" s="1"/>
      <c r="C28" s="145" t="s">
        <v>1637</v>
      </c>
      <c r="D28" s="1">
        <v>6.48</v>
      </c>
      <c r="E28" s="149">
        <v>210</v>
      </c>
      <c r="F28" s="149">
        <v>27</v>
      </c>
      <c r="G28" s="149">
        <f t="shared" si="0"/>
        <v>5670</v>
      </c>
      <c r="H28" s="145">
        <f t="shared" si="1"/>
        <v>874.99999999999989</v>
      </c>
      <c r="I28" s="3">
        <v>3310</v>
      </c>
      <c r="J28" s="146">
        <f t="shared" si="2"/>
        <v>2896249.9999999995</v>
      </c>
      <c r="K28" s="147">
        <v>25000</v>
      </c>
      <c r="L28" s="148">
        <f t="shared" si="3"/>
        <v>5250000</v>
      </c>
      <c r="M28" s="147">
        <f t="shared" si="4"/>
        <v>2353750.0000000005</v>
      </c>
    </row>
    <row r="29" spans="1:13" x14ac:dyDescent="0.2">
      <c r="A29" s="1"/>
      <c r="B29" s="1"/>
      <c r="C29" s="145" t="s">
        <v>1638</v>
      </c>
      <c r="D29" s="1">
        <v>6.48</v>
      </c>
      <c r="E29" s="149">
        <v>205</v>
      </c>
      <c r="F29" s="149">
        <v>27.5</v>
      </c>
      <c r="G29" s="149">
        <f t="shared" si="0"/>
        <v>5637.5</v>
      </c>
      <c r="H29" s="145">
        <f t="shared" si="1"/>
        <v>869.98456790123453</v>
      </c>
      <c r="I29" s="3">
        <v>3310</v>
      </c>
      <c r="J29" s="146">
        <f t="shared" si="2"/>
        <v>2879648.9197530863</v>
      </c>
      <c r="K29" s="147">
        <v>25000</v>
      </c>
      <c r="L29" s="148">
        <f t="shared" si="3"/>
        <v>5125000</v>
      </c>
      <c r="M29" s="147">
        <f t="shared" si="4"/>
        <v>2245351.0802469137</v>
      </c>
    </row>
    <row r="30" spans="1:13" x14ac:dyDescent="0.2">
      <c r="A30" s="1"/>
      <c r="B30" s="1" t="s">
        <v>1639</v>
      </c>
      <c r="C30" s="145" t="s">
        <v>1640</v>
      </c>
      <c r="D30" s="1">
        <v>6.48</v>
      </c>
      <c r="E30" s="149">
        <v>900</v>
      </c>
      <c r="F30" s="149">
        <v>24</v>
      </c>
      <c r="G30" s="149">
        <f t="shared" si="0"/>
        <v>21600</v>
      </c>
      <c r="H30" s="145">
        <f t="shared" si="1"/>
        <v>3333.333333333333</v>
      </c>
      <c r="I30" s="3">
        <v>3310</v>
      </c>
      <c r="J30" s="146">
        <f t="shared" si="2"/>
        <v>11033333.333333332</v>
      </c>
      <c r="K30" s="147">
        <v>20000</v>
      </c>
      <c r="L30" s="148">
        <f t="shared" si="3"/>
        <v>18000000</v>
      </c>
      <c r="M30" s="147">
        <f t="shared" si="4"/>
        <v>6966666.6666666679</v>
      </c>
    </row>
    <row r="31" spans="1:13" x14ac:dyDescent="0.2">
      <c r="A31" s="1"/>
      <c r="B31" s="1" t="s">
        <v>253</v>
      </c>
      <c r="C31" s="145" t="s">
        <v>1641</v>
      </c>
      <c r="D31" s="1">
        <v>6.48</v>
      </c>
      <c r="E31" s="149">
        <v>300</v>
      </c>
      <c r="F31" s="149">
        <v>10</v>
      </c>
      <c r="G31" s="149">
        <f t="shared" si="0"/>
        <v>3000</v>
      </c>
      <c r="H31" s="145">
        <f t="shared" si="1"/>
        <v>462.96296296296293</v>
      </c>
      <c r="I31" s="3">
        <v>3310</v>
      </c>
      <c r="J31" s="146">
        <f t="shared" si="2"/>
        <v>1532407.4074074074</v>
      </c>
      <c r="K31" s="147">
        <v>10000</v>
      </c>
      <c r="L31" s="148">
        <f t="shared" si="3"/>
        <v>3000000</v>
      </c>
      <c r="M31" s="147">
        <f t="shared" si="4"/>
        <v>1467592.5925925926</v>
      </c>
    </row>
    <row r="32" spans="1:13" x14ac:dyDescent="0.2">
      <c r="A32" s="1"/>
      <c r="B32" s="1" t="s">
        <v>253</v>
      </c>
      <c r="C32" s="145" t="s">
        <v>1455</v>
      </c>
      <c r="D32" s="1">
        <v>6.48</v>
      </c>
      <c r="E32" s="149">
        <v>200</v>
      </c>
      <c r="F32" s="149">
        <v>10</v>
      </c>
      <c r="G32" s="149">
        <f t="shared" si="0"/>
        <v>2000</v>
      </c>
      <c r="H32" s="145">
        <f t="shared" si="1"/>
        <v>308.64197530864197</v>
      </c>
      <c r="I32" s="3">
        <v>3310</v>
      </c>
      <c r="J32" s="146">
        <f t="shared" si="2"/>
        <v>1021604.9382716049</v>
      </c>
      <c r="K32" s="147">
        <v>10000</v>
      </c>
      <c r="L32" s="148">
        <f t="shared" si="3"/>
        <v>2000000</v>
      </c>
      <c r="M32" s="147">
        <f t="shared" si="4"/>
        <v>978395.06172839506</v>
      </c>
    </row>
    <row r="33" spans="1:13" x14ac:dyDescent="0.2">
      <c r="A33" s="1"/>
      <c r="B33" s="1" t="s">
        <v>253</v>
      </c>
      <c r="C33" s="145" t="s">
        <v>1642</v>
      </c>
      <c r="D33" s="1">
        <v>6.48</v>
      </c>
      <c r="E33" s="149">
        <v>200</v>
      </c>
      <c r="F33" s="149">
        <v>12</v>
      </c>
      <c r="G33" s="149">
        <f t="shared" si="0"/>
        <v>2400</v>
      </c>
      <c r="H33" s="145">
        <f t="shared" si="1"/>
        <v>370.37037037037032</v>
      </c>
      <c r="I33" s="3">
        <v>3310</v>
      </c>
      <c r="J33" s="146">
        <f t="shared" si="2"/>
        <v>1225925.9259259258</v>
      </c>
      <c r="K33" s="147">
        <v>12000</v>
      </c>
      <c r="L33" s="148">
        <f t="shared" si="3"/>
        <v>2400000</v>
      </c>
      <c r="M33" s="147">
        <f t="shared" si="4"/>
        <v>1174074.0740740742</v>
      </c>
    </row>
    <row r="34" spans="1:13" x14ac:dyDescent="0.2">
      <c r="A34" s="1"/>
      <c r="B34" s="1" t="s">
        <v>7</v>
      </c>
      <c r="C34" s="145" t="s">
        <v>1643</v>
      </c>
      <c r="D34" s="1">
        <v>6.48</v>
      </c>
      <c r="E34" s="149">
        <v>270</v>
      </c>
      <c r="F34" s="149">
        <v>17</v>
      </c>
      <c r="G34" s="149">
        <f t="shared" si="0"/>
        <v>4590</v>
      </c>
      <c r="H34" s="145">
        <f t="shared" si="1"/>
        <v>708.33333333333326</v>
      </c>
      <c r="I34" s="3">
        <v>3310</v>
      </c>
      <c r="J34" s="146">
        <f t="shared" si="2"/>
        <v>2344583.333333333</v>
      </c>
      <c r="K34" s="147">
        <v>20000</v>
      </c>
      <c r="L34" s="148">
        <f t="shared" si="3"/>
        <v>5400000</v>
      </c>
      <c r="M34" s="17">
        <f t="shared" si="4"/>
        <v>3055416.666666667</v>
      </c>
    </row>
    <row r="35" spans="1:13" x14ac:dyDescent="0.2">
      <c r="A35" s="1"/>
      <c r="B35" s="1" t="s">
        <v>7</v>
      </c>
      <c r="C35" s="145" t="s">
        <v>1644</v>
      </c>
      <c r="D35" s="1">
        <v>6.48</v>
      </c>
      <c r="E35" s="149">
        <v>270</v>
      </c>
      <c r="F35" s="149">
        <v>11</v>
      </c>
      <c r="G35" s="149">
        <f t="shared" si="0"/>
        <v>2970</v>
      </c>
      <c r="H35" s="145">
        <f t="shared" si="1"/>
        <v>458.33333333333331</v>
      </c>
      <c r="I35" s="3">
        <v>3310</v>
      </c>
      <c r="J35" s="146">
        <f t="shared" si="2"/>
        <v>1517083.3333333333</v>
      </c>
      <c r="K35" s="147">
        <v>20000</v>
      </c>
      <c r="L35" s="148">
        <f t="shared" si="3"/>
        <v>5400000</v>
      </c>
      <c r="M35" s="147">
        <f t="shared" si="4"/>
        <v>3882916.666666667</v>
      </c>
    </row>
    <row r="36" spans="1:13" x14ac:dyDescent="0.2">
      <c r="A36" s="1"/>
      <c r="B36" s="1" t="s">
        <v>7</v>
      </c>
      <c r="C36" s="145" t="s">
        <v>1645</v>
      </c>
      <c r="D36" s="1">
        <v>6.48</v>
      </c>
      <c r="E36" s="149">
        <v>200</v>
      </c>
      <c r="F36" s="149">
        <v>24</v>
      </c>
      <c r="G36" s="149">
        <f t="shared" si="0"/>
        <v>4800</v>
      </c>
      <c r="H36" s="145">
        <f t="shared" si="1"/>
        <v>740.74074074074065</v>
      </c>
      <c r="I36" s="3">
        <v>3310</v>
      </c>
      <c r="J36" s="146">
        <f t="shared" si="2"/>
        <v>2451851.8518518517</v>
      </c>
      <c r="K36" s="147">
        <v>23000</v>
      </c>
      <c r="L36" s="148">
        <f t="shared" si="3"/>
        <v>4600000</v>
      </c>
      <c r="M36" s="147">
        <f t="shared" si="4"/>
        <v>2148148.1481481483</v>
      </c>
    </row>
    <row r="37" spans="1:13" x14ac:dyDescent="0.2">
      <c r="A37" s="1"/>
      <c r="B37" s="1" t="s">
        <v>253</v>
      </c>
      <c r="C37" s="145" t="s">
        <v>253</v>
      </c>
      <c r="D37" s="1">
        <v>6.48</v>
      </c>
      <c r="E37" s="149">
        <v>200</v>
      </c>
      <c r="F37" s="149">
        <v>24</v>
      </c>
      <c r="G37" s="149">
        <f t="shared" si="0"/>
        <v>4800</v>
      </c>
      <c r="H37" s="145">
        <f t="shared" si="1"/>
        <v>740.74074074074065</v>
      </c>
      <c r="I37" s="3">
        <v>3310</v>
      </c>
      <c r="J37" s="146">
        <f t="shared" si="2"/>
        <v>2451851.8518518517</v>
      </c>
      <c r="K37" s="147">
        <v>22000</v>
      </c>
      <c r="L37" s="148">
        <f t="shared" si="3"/>
        <v>4400000</v>
      </c>
      <c r="M37" s="147">
        <f t="shared" si="4"/>
        <v>1948148.1481481483</v>
      </c>
    </row>
    <row r="38" spans="1:13" x14ac:dyDescent="0.2">
      <c r="A38" s="1"/>
      <c r="B38" s="1" t="s">
        <v>253</v>
      </c>
      <c r="C38" s="145" t="s">
        <v>995</v>
      </c>
      <c r="D38" s="1">
        <v>6.48</v>
      </c>
      <c r="E38" s="149">
        <v>200</v>
      </c>
      <c r="F38" s="149">
        <v>23.5</v>
      </c>
      <c r="G38" s="149">
        <f t="shared" si="0"/>
        <v>4700</v>
      </c>
      <c r="H38" s="145">
        <f t="shared" si="1"/>
        <v>725.30864197530855</v>
      </c>
      <c r="I38" s="3">
        <v>3310</v>
      </c>
      <c r="J38" s="146">
        <f t="shared" si="2"/>
        <v>2400771.6049382715</v>
      </c>
      <c r="K38" s="147">
        <v>23000</v>
      </c>
      <c r="L38" s="148">
        <f t="shared" si="3"/>
        <v>4600000</v>
      </c>
      <c r="M38" s="147">
        <f t="shared" si="4"/>
        <v>2199228.3950617285</v>
      </c>
    </row>
    <row r="39" spans="1:13" x14ac:dyDescent="0.2">
      <c r="A39" s="1"/>
      <c r="B39" s="1" t="s">
        <v>253</v>
      </c>
      <c r="C39" s="145" t="s">
        <v>1646</v>
      </c>
      <c r="D39" s="1">
        <v>6.48</v>
      </c>
      <c r="E39" s="149">
        <v>100</v>
      </c>
      <c r="F39" s="149">
        <v>24</v>
      </c>
      <c r="G39" s="149">
        <f t="shared" si="0"/>
        <v>2400</v>
      </c>
      <c r="H39" s="145">
        <f t="shared" si="1"/>
        <v>370.37037037037032</v>
      </c>
      <c r="I39" s="3">
        <v>3310</v>
      </c>
      <c r="J39" s="146">
        <f t="shared" si="2"/>
        <v>1225925.9259259258</v>
      </c>
      <c r="K39" s="147">
        <v>22000</v>
      </c>
      <c r="L39" s="148">
        <f t="shared" si="3"/>
        <v>2200000</v>
      </c>
      <c r="M39" s="147">
        <f t="shared" si="4"/>
        <v>974074.07407407416</v>
      </c>
    </row>
    <row r="40" spans="1:13" x14ac:dyDescent="0.2">
      <c r="A40" s="1"/>
      <c r="B40" s="1" t="s">
        <v>253</v>
      </c>
      <c r="C40" s="145" t="s">
        <v>1655</v>
      </c>
      <c r="D40" s="1">
        <v>6.48</v>
      </c>
      <c r="E40" s="149">
        <v>300</v>
      </c>
      <c r="F40" s="149">
        <v>23.5</v>
      </c>
      <c r="G40" s="149">
        <f t="shared" si="0"/>
        <v>7050</v>
      </c>
      <c r="H40" s="145">
        <f t="shared" si="1"/>
        <v>1087.9629629629628</v>
      </c>
      <c r="I40" s="3">
        <v>3310</v>
      </c>
      <c r="J40" s="146">
        <f t="shared" si="2"/>
        <v>3601157.4074074072</v>
      </c>
      <c r="K40" s="147">
        <v>23000</v>
      </c>
      <c r="L40" s="148">
        <f t="shared" si="3"/>
        <v>6900000</v>
      </c>
      <c r="M40" s="147">
        <f t="shared" si="4"/>
        <v>3298842.5925925928</v>
      </c>
    </row>
    <row r="41" spans="1:13" x14ac:dyDescent="0.2">
      <c r="A41" s="1"/>
      <c r="B41" s="1" t="s">
        <v>253</v>
      </c>
      <c r="C41" s="145" t="s">
        <v>1656</v>
      </c>
      <c r="D41" s="1">
        <v>6.48</v>
      </c>
      <c r="E41" s="149">
        <v>300</v>
      </c>
      <c r="F41" s="149">
        <v>25</v>
      </c>
      <c r="G41" s="149">
        <f t="shared" si="0"/>
        <v>7500</v>
      </c>
      <c r="H41" s="145">
        <f t="shared" si="1"/>
        <v>1157.4074074074074</v>
      </c>
      <c r="I41" s="3">
        <v>3310</v>
      </c>
      <c r="J41" s="146">
        <f t="shared" si="2"/>
        <v>3831018.5185185187</v>
      </c>
      <c r="K41" s="147">
        <v>22000</v>
      </c>
      <c r="L41" s="148">
        <f t="shared" si="3"/>
        <v>6600000</v>
      </c>
      <c r="M41" s="147">
        <f t="shared" si="4"/>
        <v>2768981.4814814813</v>
      </c>
    </row>
    <row r="42" spans="1:13" x14ac:dyDescent="0.2">
      <c r="A42" s="1"/>
      <c r="B42" s="1" t="s">
        <v>253</v>
      </c>
      <c r="C42" s="145" t="s">
        <v>718</v>
      </c>
      <c r="D42" s="1">
        <v>6.48</v>
      </c>
      <c r="E42" s="149">
        <v>300</v>
      </c>
      <c r="F42" s="149">
        <v>22</v>
      </c>
      <c r="G42" s="149">
        <f t="shared" si="0"/>
        <v>6600</v>
      </c>
      <c r="H42" s="145">
        <f t="shared" si="1"/>
        <v>1018.5185185185185</v>
      </c>
      <c r="I42" s="3">
        <v>3310</v>
      </c>
      <c r="J42" s="146">
        <f t="shared" si="2"/>
        <v>3371296.2962962962</v>
      </c>
      <c r="K42" s="147">
        <v>22000</v>
      </c>
      <c r="L42" s="148">
        <f t="shared" si="3"/>
        <v>6600000</v>
      </c>
      <c r="M42" s="147">
        <f t="shared" si="4"/>
        <v>3228703.7037037038</v>
      </c>
    </row>
    <row r="43" spans="1:13" x14ac:dyDescent="0.2">
      <c r="A43" s="1"/>
      <c r="B43" s="1" t="s">
        <v>253</v>
      </c>
      <c r="C43" s="145" t="s">
        <v>1646</v>
      </c>
      <c r="D43" s="1">
        <v>6.48</v>
      </c>
      <c r="E43" s="149">
        <v>200</v>
      </c>
      <c r="F43" s="149">
        <v>24</v>
      </c>
      <c r="G43" s="149">
        <f t="shared" si="0"/>
        <v>4800</v>
      </c>
      <c r="H43" s="145">
        <f t="shared" si="1"/>
        <v>740.74074074074065</v>
      </c>
      <c r="I43" s="3">
        <v>3310</v>
      </c>
      <c r="J43" s="146">
        <f t="shared" si="2"/>
        <v>2451851.8518518517</v>
      </c>
      <c r="K43" s="147">
        <v>22000</v>
      </c>
      <c r="L43" s="148">
        <f t="shared" si="3"/>
        <v>4400000</v>
      </c>
      <c r="M43" s="147">
        <f t="shared" si="4"/>
        <v>1948148.1481481483</v>
      </c>
    </row>
    <row r="44" spans="1:13" x14ac:dyDescent="0.2">
      <c r="A44" s="1"/>
      <c r="B44" s="1" t="s">
        <v>253</v>
      </c>
      <c r="C44" s="145" t="s">
        <v>465</v>
      </c>
      <c r="D44" s="1">
        <v>6.48</v>
      </c>
      <c r="E44" s="149">
        <v>200</v>
      </c>
      <c r="F44" s="149">
        <v>23</v>
      </c>
      <c r="G44" s="149">
        <f t="shared" si="0"/>
        <v>4600</v>
      </c>
      <c r="H44" s="145">
        <f t="shared" si="1"/>
        <v>709.87654320987644</v>
      </c>
      <c r="I44" s="3">
        <v>3310</v>
      </c>
      <c r="J44" s="146">
        <f t="shared" si="2"/>
        <v>2349691.3580246912</v>
      </c>
      <c r="K44" s="147">
        <v>23000</v>
      </c>
      <c r="L44" s="148">
        <f t="shared" si="3"/>
        <v>4600000</v>
      </c>
      <c r="M44" s="147">
        <f t="shared" si="4"/>
        <v>2250308.6419753088</v>
      </c>
    </row>
    <row r="45" spans="1:13" x14ac:dyDescent="0.2">
      <c r="A45" s="1"/>
      <c r="B45" s="1" t="s">
        <v>253</v>
      </c>
      <c r="C45" s="145" t="s">
        <v>1657</v>
      </c>
      <c r="D45" s="1">
        <v>6.48</v>
      </c>
      <c r="E45" s="149">
        <v>200</v>
      </c>
      <c r="F45" s="149">
        <v>22</v>
      </c>
      <c r="G45" s="149">
        <f t="shared" si="0"/>
        <v>4400</v>
      </c>
      <c r="H45" s="145">
        <f t="shared" si="1"/>
        <v>679.01234567901236</v>
      </c>
      <c r="I45" s="3">
        <v>3310</v>
      </c>
      <c r="J45" s="146">
        <f t="shared" si="2"/>
        <v>2247530.8641975308</v>
      </c>
      <c r="K45" s="147">
        <v>22000</v>
      </c>
      <c r="L45" s="148">
        <f t="shared" si="3"/>
        <v>4400000</v>
      </c>
      <c r="M45" s="147">
        <f t="shared" si="4"/>
        <v>2152469.1358024692</v>
      </c>
    </row>
    <row r="46" spans="1:13" x14ac:dyDescent="0.2">
      <c r="A46" s="1"/>
      <c r="B46" s="1" t="s">
        <v>253</v>
      </c>
      <c r="C46" s="145" t="s">
        <v>253</v>
      </c>
      <c r="D46" s="1">
        <v>6.48</v>
      </c>
      <c r="E46" s="149">
        <v>200</v>
      </c>
      <c r="F46" s="149">
        <v>24.3</v>
      </c>
      <c r="G46" s="149">
        <f t="shared" si="0"/>
        <v>4860</v>
      </c>
      <c r="H46" s="145">
        <f t="shared" si="1"/>
        <v>750</v>
      </c>
      <c r="I46" s="3">
        <v>3310</v>
      </c>
      <c r="J46" s="146">
        <f t="shared" si="2"/>
        <v>2482500</v>
      </c>
      <c r="K46" s="147">
        <v>23000</v>
      </c>
      <c r="L46" s="148">
        <f t="shared" si="3"/>
        <v>4600000</v>
      </c>
      <c r="M46" s="147">
        <f t="shared" si="4"/>
        <v>2117500</v>
      </c>
    </row>
    <row r="47" spans="1:13" x14ac:dyDescent="0.2">
      <c r="A47" s="1"/>
      <c r="B47" s="1" t="s">
        <v>253</v>
      </c>
      <c r="C47" s="145" t="s">
        <v>1658</v>
      </c>
      <c r="D47" s="1">
        <v>6.48</v>
      </c>
      <c r="E47" s="149">
        <v>200</v>
      </c>
      <c r="F47" s="149">
        <v>24.5</v>
      </c>
      <c r="G47" s="149">
        <f t="shared" si="0"/>
        <v>4900</v>
      </c>
      <c r="H47" s="145">
        <f t="shared" si="1"/>
        <v>756.17283950617275</v>
      </c>
      <c r="I47" s="3">
        <v>3310</v>
      </c>
      <c r="J47" s="146">
        <f t="shared" si="2"/>
        <v>2502932.0987654319</v>
      </c>
      <c r="K47" s="147">
        <v>23000</v>
      </c>
      <c r="L47" s="148">
        <f t="shared" si="3"/>
        <v>4600000</v>
      </c>
      <c r="M47" s="147">
        <f t="shared" si="4"/>
        <v>2097067.9012345681</v>
      </c>
    </row>
    <row r="48" spans="1:13" x14ac:dyDescent="0.2">
      <c r="A48" s="1"/>
      <c r="B48" s="1" t="s">
        <v>7</v>
      </c>
      <c r="C48" s="145" t="s">
        <v>1647</v>
      </c>
      <c r="D48" s="1">
        <v>6.48</v>
      </c>
      <c r="E48" s="149">
        <v>1500</v>
      </c>
      <c r="F48" s="149">
        <v>20</v>
      </c>
      <c r="G48" s="149">
        <f t="shared" si="0"/>
        <v>30000</v>
      </c>
      <c r="H48" s="145">
        <f t="shared" si="1"/>
        <v>4629.6296296296296</v>
      </c>
      <c r="I48" s="3">
        <v>3310</v>
      </c>
      <c r="J48" s="146">
        <f t="shared" si="2"/>
        <v>15324074.074074075</v>
      </c>
      <c r="K48" s="147">
        <v>20000</v>
      </c>
      <c r="L48" s="148">
        <f t="shared" si="3"/>
        <v>30000000</v>
      </c>
      <c r="M48" s="17">
        <f t="shared" si="4"/>
        <v>14675925.925925925</v>
      </c>
    </row>
    <row r="49" spans="1:13" x14ac:dyDescent="0.2">
      <c r="A49" s="1"/>
      <c r="B49" s="1" t="s">
        <v>253</v>
      </c>
      <c r="C49" s="145" t="s">
        <v>1648</v>
      </c>
      <c r="D49" s="1">
        <v>6.48</v>
      </c>
      <c r="E49" s="149">
        <v>860</v>
      </c>
      <c r="F49" s="149">
        <v>25</v>
      </c>
      <c r="G49" s="149">
        <f t="shared" si="0"/>
        <v>21500</v>
      </c>
      <c r="H49" s="145">
        <f t="shared" si="1"/>
        <v>3317.9012345679012</v>
      </c>
      <c r="I49" s="3">
        <v>3310</v>
      </c>
      <c r="J49" s="146">
        <f t="shared" si="2"/>
        <v>10982253.086419754</v>
      </c>
      <c r="K49" s="147">
        <v>23000</v>
      </c>
      <c r="L49" s="148">
        <f t="shared" si="3"/>
        <v>19780000</v>
      </c>
      <c r="M49" s="147">
        <f t="shared" si="4"/>
        <v>8797746.9135802463</v>
      </c>
    </row>
    <row r="50" spans="1:13" x14ac:dyDescent="0.2">
      <c r="A50" s="1"/>
      <c r="B50" s="1" t="s">
        <v>7</v>
      </c>
      <c r="C50" s="145" t="s">
        <v>1649</v>
      </c>
      <c r="D50" s="1">
        <v>6.48</v>
      </c>
      <c r="E50" s="149">
        <v>310</v>
      </c>
      <c r="F50" s="149">
        <v>18</v>
      </c>
      <c r="G50" s="149">
        <f t="shared" si="0"/>
        <v>5580</v>
      </c>
      <c r="H50" s="145">
        <f t="shared" si="1"/>
        <v>861.11111111111109</v>
      </c>
      <c r="I50" s="3">
        <v>3310</v>
      </c>
      <c r="J50" s="146">
        <f t="shared" si="2"/>
        <v>2850277.7777777775</v>
      </c>
      <c r="K50" s="147">
        <v>20000</v>
      </c>
      <c r="L50" s="148">
        <f t="shared" si="3"/>
        <v>6200000</v>
      </c>
      <c r="M50" s="147">
        <f t="shared" si="4"/>
        <v>3349722.2222222225</v>
      </c>
    </row>
    <row r="51" spans="1:13" x14ac:dyDescent="0.2">
      <c r="A51" s="1"/>
      <c r="B51" s="1" t="s">
        <v>253</v>
      </c>
      <c r="C51" s="145" t="s">
        <v>1669</v>
      </c>
      <c r="D51" s="1">
        <v>6.48</v>
      </c>
      <c r="E51" s="149">
        <v>350</v>
      </c>
      <c r="F51" s="149">
        <v>19</v>
      </c>
      <c r="G51" s="149">
        <f t="shared" si="0"/>
        <v>6650</v>
      </c>
      <c r="H51" s="145">
        <f t="shared" si="1"/>
        <v>1026.2345679012344</v>
      </c>
      <c r="I51" s="3">
        <v>3310</v>
      </c>
      <c r="J51" s="146">
        <f t="shared" si="2"/>
        <v>3396836.4197530858</v>
      </c>
      <c r="K51" s="147">
        <v>20000</v>
      </c>
      <c r="L51" s="148">
        <f t="shared" si="3"/>
        <v>7000000</v>
      </c>
      <c r="M51" s="147">
        <f t="shared" si="4"/>
        <v>3603163.5802469142</v>
      </c>
    </row>
    <row r="52" spans="1:13" x14ac:dyDescent="0.2">
      <c r="A52" s="1"/>
      <c r="B52" s="1" t="s">
        <v>1565</v>
      </c>
      <c r="C52" s="145" t="s">
        <v>1650</v>
      </c>
      <c r="D52" s="1">
        <v>6.48</v>
      </c>
      <c r="E52" s="149">
        <v>300</v>
      </c>
      <c r="F52" s="149">
        <v>19</v>
      </c>
      <c r="G52" s="149">
        <f t="shared" si="0"/>
        <v>5700</v>
      </c>
      <c r="H52" s="145">
        <f t="shared" si="1"/>
        <v>879.62962962962956</v>
      </c>
      <c r="I52" s="3">
        <v>3310</v>
      </c>
      <c r="J52" s="146">
        <f t="shared" si="2"/>
        <v>2911574.0740740737</v>
      </c>
      <c r="K52" s="147">
        <v>20000</v>
      </c>
      <c r="L52" s="148">
        <f t="shared" si="3"/>
        <v>6000000</v>
      </c>
      <c r="M52" s="147">
        <f t="shared" si="4"/>
        <v>3088425.9259259263</v>
      </c>
    </row>
    <row r="53" spans="1:13" x14ac:dyDescent="0.2">
      <c r="A53" s="1"/>
      <c r="B53" s="1" t="s">
        <v>1652</v>
      </c>
      <c r="C53" s="145" t="s">
        <v>1651</v>
      </c>
      <c r="D53" s="1">
        <v>6.48</v>
      </c>
      <c r="E53" s="149">
        <v>316</v>
      </c>
      <c r="F53" s="149">
        <v>18</v>
      </c>
      <c r="G53" s="149">
        <f t="shared" si="0"/>
        <v>5688</v>
      </c>
      <c r="H53" s="145">
        <f t="shared" si="1"/>
        <v>877.77777777777771</v>
      </c>
      <c r="I53" s="3">
        <v>3310</v>
      </c>
      <c r="J53" s="146">
        <f t="shared" si="2"/>
        <v>2905444.444444444</v>
      </c>
      <c r="K53" s="147">
        <v>20000</v>
      </c>
      <c r="L53" s="17">
        <f t="shared" si="3"/>
        <v>6320000</v>
      </c>
      <c r="M53" s="17">
        <f t="shared" si="4"/>
        <v>3414555.555555556</v>
      </c>
    </row>
    <row r="54" spans="1:13" x14ac:dyDescent="0.2">
      <c r="A54" s="1"/>
      <c r="B54" s="1" t="s">
        <v>7</v>
      </c>
      <c r="C54" s="145" t="s">
        <v>1659</v>
      </c>
      <c r="D54" s="1">
        <v>6.48</v>
      </c>
      <c r="E54" s="149">
        <v>295</v>
      </c>
      <c r="F54" s="149">
        <v>12</v>
      </c>
      <c r="G54" s="149">
        <f t="shared" si="0"/>
        <v>3540</v>
      </c>
      <c r="H54" s="145">
        <f t="shared" si="1"/>
        <v>546.2962962962963</v>
      </c>
      <c r="I54" s="3">
        <v>3310</v>
      </c>
      <c r="J54" s="146">
        <f t="shared" si="2"/>
        <v>1808240.7407407404</v>
      </c>
      <c r="K54" s="147">
        <v>20000</v>
      </c>
      <c r="L54" s="17">
        <f t="shared" si="3"/>
        <v>5900000</v>
      </c>
      <c r="M54" s="17">
        <f t="shared" si="4"/>
        <v>4091759.2592592593</v>
      </c>
    </row>
    <row r="55" spans="1:13" x14ac:dyDescent="0.2">
      <c r="A55" s="1"/>
      <c r="B55" s="1" t="s">
        <v>1155</v>
      </c>
      <c r="C55" s="145" t="s">
        <v>1661</v>
      </c>
      <c r="D55" s="1">
        <v>6.48</v>
      </c>
      <c r="E55" s="149">
        <v>100</v>
      </c>
      <c r="F55" s="149">
        <v>27</v>
      </c>
      <c r="G55" s="149">
        <f t="shared" si="0"/>
        <v>2700</v>
      </c>
      <c r="H55" s="145">
        <f t="shared" si="1"/>
        <v>416.66666666666663</v>
      </c>
      <c r="I55" s="3">
        <v>3310</v>
      </c>
      <c r="J55" s="146">
        <f t="shared" si="2"/>
        <v>1379166.6666666665</v>
      </c>
      <c r="K55" s="147">
        <v>25000</v>
      </c>
      <c r="L55" s="17">
        <f t="shared" si="3"/>
        <v>2500000</v>
      </c>
      <c r="M55" s="17">
        <f t="shared" si="4"/>
        <v>1120833.3333333335</v>
      </c>
    </row>
    <row r="56" spans="1:13" x14ac:dyDescent="0.2">
      <c r="A56" s="1"/>
      <c r="B56" s="1" t="s">
        <v>253</v>
      </c>
      <c r="C56" s="145" t="s">
        <v>1662</v>
      </c>
      <c r="D56" s="1">
        <v>6.48</v>
      </c>
      <c r="E56" s="149">
        <v>100</v>
      </c>
      <c r="F56" s="149">
        <v>23</v>
      </c>
      <c r="G56" s="149">
        <f t="shared" si="0"/>
        <v>2300</v>
      </c>
      <c r="H56" s="145">
        <f t="shared" si="1"/>
        <v>354.93827160493822</v>
      </c>
      <c r="I56" s="3">
        <v>3310</v>
      </c>
      <c r="J56" s="146">
        <f t="shared" si="2"/>
        <v>1174845.6790123456</v>
      </c>
      <c r="K56" s="147">
        <v>25000</v>
      </c>
      <c r="L56" s="17">
        <f t="shared" si="3"/>
        <v>2500000</v>
      </c>
      <c r="M56" s="17">
        <f t="shared" si="4"/>
        <v>1325154.3209876544</v>
      </c>
    </row>
    <row r="57" spans="1:13" x14ac:dyDescent="0.2">
      <c r="A57" s="1"/>
      <c r="B57" s="1" t="s">
        <v>253</v>
      </c>
      <c r="C57" s="145" t="s">
        <v>1396</v>
      </c>
      <c r="D57" s="1">
        <v>6.48</v>
      </c>
      <c r="E57" s="149">
        <v>100</v>
      </c>
      <c r="F57" s="149">
        <v>28</v>
      </c>
      <c r="G57" s="149">
        <f t="shared" si="0"/>
        <v>2800</v>
      </c>
      <c r="H57" s="145">
        <f t="shared" si="1"/>
        <v>432.09876543209873</v>
      </c>
      <c r="I57" s="3">
        <v>3310</v>
      </c>
      <c r="J57" s="146">
        <f t="shared" si="2"/>
        <v>1430246.9135802467</v>
      </c>
      <c r="K57" s="147">
        <v>25000</v>
      </c>
      <c r="L57" s="17">
        <f t="shared" si="3"/>
        <v>2500000</v>
      </c>
      <c r="M57" s="17">
        <f t="shared" si="4"/>
        <v>1069753.0864197533</v>
      </c>
    </row>
    <row r="58" spans="1:13" x14ac:dyDescent="0.2">
      <c r="A58" s="1"/>
      <c r="B58" s="1" t="s">
        <v>253</v>
      </c>
      <c r="C58" s="145" t="s">
        <v>1467</v>
      </c>
      <c r="D58" s="1">
        <v>6.48</v>
      </c>
      <c r="E58" s="149">
        <v>100</v>
      </c>
      <c r="F58" s="149">
        <v>26</v>
      </c>
      <c r="G58" s="149">
        <f t="shared" si="0"/>
        <v>2600</v>
      </c>
      <c r="H58" s="145">
        <f t="shared" si="1"/>
        <v>401.23456790123453</v>
      </c>
      <c r="I58" s="3">
        <v>3310</v>
      </c>
      <c r="J58" s="146">
        <f t="shared" si="2"/>
        <v>1328086.4197530863</v>
      </c>
      <c r="K58" s="147">
        <v>25000</v>
      </c>
      <c r="L58" s="17">
        <f t="shared" si="3"/>
        <v>2500000</v>
      </c>
      <c r="M58" s="17">
        <f t="shared" si="4"/>
        <v>1171913.5802469137</v>
      </c>
    </row>
    <row r="59" spans="1:13" x14ac:dyDescent="0.2">
      <c r="A59" s="1"/>
      <c r="B59" s="1" t="s">
        <v>253</v>
      </c>
      <c r="C59" s="145" t="s">
        <v>1663</v>
      </c>
      <c r="D59" s="1">
        <v>6.48</v>
      </c>
      <c r="E59" s="149">
        <v>100</v>
      </c>
      <c r="F59" s="149">
        <v>25</v>
      </c>
      <c r="G59" s="149">
        <f t="shared" si="0"/>
        <v>2500</v>
      </c>
      <c r="H59" s="145">
        <f t="shared" si="1"/>
        <v>385.80246913580243</v>
      </c>
      <c r="I59" s="3">
        <v>3310</v>
      </c>
      <c r="J59" s="146">
        <f t="shared" si="2"/>
        <v>1277006.1728395061</v>
      </c>
      <c r="K59" s="147">
        <v>25000</v>
      </c>
      <c r="L59" s="17">
        <f t="shared" si="3"/>
        <v>2500000</v>
      </c>
      <c r="M59" s="17">
        <f t="shared" si="4"/>
        <v>1222993.8271604939</v>
      </c>
    </row>
    <row r="60" spans="1:13" x14ac:dyDescent="0.2">
      <c r="A60" s="1"/>
      <c r="B60" s="1" t="s">
        <v>253</v>
      </c>
      <c r="C60" s="145" t="s">
        <v>1664</v>
      </c>
      <c r="D60" s="1">
        <v>6.48</v>
      </c>
      <c r="E60" s="149">
        <v>100</v>
      </c>
      <c r="F60" s="149">
        <v>25</v>
      </c>
      <c r="G60" s="149">
        <f t="shared" si="0"/>
        <v>2500</v>
      </c>
      <c r="H60" s="145">
        <f t="shared" si="1"/>
        <v>385.80246913580243</v>
      </c>
      <c r="I60" s="3">
        <v>3310</v>
      </c>
      <c r="J60" s="146">
        <f t="shared" si="2"/>
        <v>1277006.1728395061</v>
      </c>
      <c r="K60" s="147">
        <v>25000</v>
      </c>
      <c r="L60" s="17">
        <f t="shared" si="3"/>
        <v>2500000</v>
      </c>
      <c r="M60" s="17">
        <f t="shared" si="4"/>
        <v>1222993.8271604939</v>
      </c>
    </row>
    <row r="61" spans="1:13" x14ac:dyDescent="0.2">
      <c r="A61" s="1"/>
      <c r="B61" s="1" t="s">
        <v>253</v>
      </c>
      <c r="C61" s="145" t="s">
        <v>1665</v>
      </c>
      <c r="D61" s="1">
        <v>6.48</v>
      </c>
      <c r="E61" s="149">
        <v>100</v>
      </c>
      <c r="F61" s="149">
        <v>26</v>
      </c>
      <c r="G61" s="149">
        <f t="shared" si="0"/>
        <v>2600</v>
      </c>
      <c r="H61" s="145">
        <f t="shared" si="1"/>
        <v>401.23456790123453</v>
      </c>
      <c r="I61" s="3">
        <v>3310</v>
      </c>
      <c r="J61" s="146">
        <f t="shared" si="2"/>
        <v>1328086.4197530863</v>
      </c>
      <c r="K61" s="147">
        <v>25000</v>
      </c>
      <c r="L61" s="17">
        <f t="shared" si="3"/>
        <v>2500000</v>
      </c>
      <c r="M61" s="17">
        <f t="shared" si="4"/>
        <v>1171913.5802469137</v>
      </c>
    </row>
    <row r="62" spans="1:13" x14ac:dyDescent="0.2">
      <c r="A62" s="1"/>
      <c r="B62" s="1" t="s">
        <v>253</v>
      </c>
      <c r="C62" s="145" t="s">
        <v>1666</v>
      </c>
      <c r="D62" s="1">
        <v>6.48</v>
      </c>
      <c r="E62" s="149">
        <v>100</v>
      </c>
      <c r="F62" s="149">
        <v>26</v>
      </c>
      <c r="G62" s="149">
        <f t="shared" si="0"/>
        <v>2600</v>
      </c>
      <c r="H62" s="145">
        <f t="shared" si="1"/>
        <v>401.23456790123453</v>
      </c>
      <c r="I62" s="3">
        <v>3310</v>
      </c>
      <c r="J62" s="146">
        <f t="shared" si="2"/>
        <v>1328086.4197530863</v>
      </c>
      <c r="K62" s="147">
        <v>25000</v>
      </c>
      <c r="L62" s="17">
        <f t="shared" si="3"/>
        <v>2500000</v>
      </c>
      <c r="M62" s="17">
        <f t="shared" si="4"/>
        <v>1171913.5802469137</v>
      </c>
    </row>
    <row r="63" spans="1:13" x14ac:dyDescent="0.2">
      <c r="A63" s="1"/>
      <c r="B63" s="1" t="s">
        <v>253</v>
      </c>
      <c r="C63" s="145" t="s">
        <v>1667</v>
      </c>
      <c r="D63" s="1">
        <v>6.48</v>
      </c>
      <c r="E63" s="149">
        <v>100</v>
      </c>
      <c r="F63" s="149">
        <v>23</v>
      </c>
      <c r="G63" s="149">
        <f t="shared" si="0"/>
        <v>2300</v>
      </c>
      <c r="H63" s="145">
        <f t="shared" si="1"/>
        <v>354.93827160493822</v>
      </c>
      <c r="I63" s="3">
        <v>3310</v>
      </c>
      <c r="J63" s="146">
        <f t="shared" si="2"/>
        <v>1174845.6790123456</v>
      </c>
      <c r="K63" s="147">
        <v>25000</v>
      </c>
      <c r="L63" s="17">
        <f t="shared" si="3"/>
        <v>2500000</v>
      </c>
      <c r="M63" s="17">
        <f t="shared" si="4"/>
        <v>1325154.3209876544</v>
      </c>
    </row>
    <row r="64" spans="1:13" x14ac:dyDescent="0.2">
      <c r="A64" s="1"/>
      <c r="B64" s="1" t="s">
        <v>253</v>
      </c>
      <c r="C64" s="145" t="s">
        <v>253</v>
      </c>
      <c r="D64" s="1">
        <v>6.48</v>
      </c>
      <c r="E64" s="149">
        <v>50</v>
      </c>
      <c r="F64" s="149">
        <v>26</v>
      </c>
      <c r="G64" s="149">
        <f t="shared" si="0"/>
        <v>1300</v>
      </c>
      <c r="H64" s="145">
        <f t="shared" si="1"/>
        <v>200.61728395061726</v>
      </c>
      <c r="I64" s="3">
        <v>3310</v>
      </c>
      <c r="J64" s="146">
        <f t="shared" si="2"/>
        <v>664043.20987654314</v>
      </c>
      <c r="K64" s="147">
        <v>25000</v>
      </c>
      <c r="L64" s="17">
        <f t="shared" si="3"/>
        <v>1250000</v>
      </c>
      <c r="M64" s="17">
        <f t="shared" si="4"/>
        <v>585956.79012345686</v>
      </c>
    </row>
    <row r="65" spans="1:13" x14ac:dyDescent="0.2">
      <c r="A65" s="1"/>
      <c r="B65" s="1" t="s">
        <v>253</v>
      </c>
      <c r="C65" s="145" t="s">
        <v>1668</v>
      </c>
      <c r="D65" s="1">
        <v>6.48</v>
      </c>
      <c r="E65" s="149">
        <v>100</v>
      </c>
      <c r="F65" s="149">
        <v>23</v>
      </c>
      <c r="G65" s="149">
        <f t="shared" si="0"/>
        <v>2300</v>
      </c>
      <c r="H65" s="145">
        <f t="shared" si="1"/>
        <v>354.93827160493822</v>
      </c>
      <c r="I65" s="3">
        <v>3310</v>
      </c>
      <c r="J65" s="146">
        <f t="shared" si="2"/>
        <v>1174845.6790123456</v>
      </c>
      <c r="K65" s="147">
        <v>25000</v>
      </c>
      <c r="L65" s="17">
        <f t="shared" si="3"/>
        <v>2500000</v>
      </c>
      <c r="M65" s="17">
        <f t="shared" si="4"/>
        <v>1325154.3209876544</v>
      </c>
    </row>
    <row r="66" spans="1:13" x14ac:dyDescent="0.2">
      <c r="E66" s="7">
        <f>SUM(E3:E65)</f>
        <v>17030</v>
      </c>
      <c r="H66" s="171">
        <f>SUM(H3:H65)</f>
        <v>59704.552469135786</v>
      </c>
      <c r="J66" s="159">
        <f>SUM(J3:J65)</f>
        <v>197622068.67283946</v>
      </c>
      <c r="L66" s="70">
        <f>SUM(L3:L65)</f>
        <v>368615000</v>
      </c>
      <c r="M66" s="48">
        <f>SUM(M3:M65)</f>
        <v>170992931.32716057</v>
      </c>
    </row>
    <row r="72" spans="1:13" x14ac:dyDescent="0.2">
      <c r="I72" s="3" t="s">
        <v>25</v>
      </c>
      <c r="J72" s="169">
        <v>197622068</v>
      </c>
    </row>
    <row r="73" spans="1:13" x14ac:dyDescent="0.2">
      <c r="I73" s="3" t="s">
        <v>27</v>
      </c>
      <c r="J73" s="9">
        <v>7000000</v>
      </c>
    </row>
    <row r="74" spans="1:13" x14ac:dyDescent="0.2">
      <c r="I74" s="3" t="s">
        <v>26</v>
      </c>
      <c r="J74" s="3">
        <v>5100000</v>
      </c>
    </row>
    <row r="75" spans="1:13" x14ac:dyDescent="0.2">
      <c r="I75" s="3" t="s">
        <v>33</v>
      </c>
      <c r="J75" s="3">
        <v>4000000</v>
      </c>
    </row>
    <row r="76" spans="1:13" x14ac:dyDescent="0.2">
      <c r="I76" s="3" t="s">
        <v>31</v>
      </c>
      <c r="J76" s="3">
        <v>8000000</v>
      </c>
    </row>
    <row r="77" spans="1:13" x14ac:dyDescent="0.2">
      <c r="I77" s="3" t="s">
        <v>36</v>
      </c>
      <c r="J77" s="3">
        <v>3410000</v>
      </c>
    </row>
    <row r="78" spans="1:13" x14ac:dyDescent="0.2">
      <c r="I78" s="3" t="s">
        <v>29</v>
      </c>
      <c r="J78" s="23">
        <v>18000000</v>
      </c>
    </row>
    <row r="79" spans="1:13" x14ac:dyDescent="0.2">
      <c r="I79" s="3" t="s">
        <v>34</v>
      </c>
      <c r="J79" s="127">
        <f>SUM(J72:J78)</f>
        <v>243132068</v>
      </c>
    </row>
    <row r="80" spans="1:13" x14ac:dyDescent="0.2">
      <c r="I80" s="3" t="s">
        <v>6</v>
      </c>
      <c r="J80" s="116">
        <v>368615000</v>
      </c>
    </row>
    <row r="81" spans="9:10" ht="18" x14ac:dyDescent="0.35">
      <c r="I81" s="3" t="s">
        <v>35</v>
      </c>
      <c r="J81" s="21">
        <f>J80-J79</f>
        <v>125482932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63"/>
  <sheetViews>
    <sheetView topLeftCell="A40" workbookViewId="0">
      <selection activeCell="I54" sqref="I54:J63"/>
    </sheetView>
  </sheetViews>
  <sheetFormatPr baseColWidth="10" defaultRowHeight="15" x14ac:dyDescent="0.2"/>
  <cols>
    <col min="3" max="3" width="18" customWidth="1"/>
    <col min="10" max="10" width="18.83203125" customWidth="1"/>
    <col min="12" max="12" width="15.1640625" customWidth="1"/>
    <col min="13" max="13" width="13.83203125" customWidth="1"/>
  </cols>
  <sheetData>
    <row r="1" spans="1:13" ht="31" x14ac:dyDescent="0.35">
      <c r="A1" s="56" t="s">
        <v>1660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145" t="s">
        <v>1670</v>
      </c>
      <c r="B3" s="145" t="s">
        <v>7</v>
      </c>
      <c r="C3" s="145" t="s">
        <v>1671</v>
      </c>
      <c r="D3" s="1">
        <v>6.64</v>
      </c>
      <c r="E3" s="149">
        <v>200</v>
      </c>
      <c r="F3" s="149">
        <v>25</v>
      </c>
      <c r="G3" s="149">
        <f t="shared" ref="G3:G47" si="0">E3*F3</f>
        <v>5000</v>
      </c>
      <c r="H3" s="145">
        <f t="shared" ref="H3:H47" si="1">G3/D3</f>
        <v>753.01204819277109</v>
      </c>
      <c r="I3" s="3">
        <v>3372</v>
      </c>
      <c r="J3" s="146">
        <f t="shared" ref="J3:J47" si="2">F3/D3*I3*E3</f>
        <v>2539156.626506024</v>
      </c>
      <c r="K3" s="147">
        <v>23000</v>
      </c>
      <c r="L3" s="148">
        <f t="shared" ref="L3:L47" si="3">K3*E3</f>
        <v>4600000</v>
      </c>
      <c r="M3" s="147">
        <f t="shared" ref="M3:M47" si="4">L3-J3</f>
        <v>2060843.373493976</v>
      </c>
    </row>
    <row r="4" spans="1:13" x14ac:dyDescent="0.2">
      <c r="A4" s="145"/>
      <c r="B4" s="145" t="s">
        <v>253</v>
      </c>
      <c r="C4" s="145" t="s">
        <v>1672</v>
      </c>
      <c r="D4" s="1">
        <v>6.64</v>
      </c>
      <c r="E4" s="149">
        <v>200</v>
      </c>
      <c r="F4" s="149">
        <v>26</v>
      </c>
      <c r="G4" s="149">
        <f t="shared" si="0"/>
        <v>5200</v>
      </c>
      <c r="H4" s="145">
        <f t="shared" si="1"/>
        <v>783.13253012048199</v>
      </c>
      <c r="I4" s="3">
        <v>3372</v>
      </c>
      <c r="J4" s="146">
        <f t="shared" si="2"/>
        <v>2640722.8915662654</v>
      </c>
      <c r="K4" s="147">
        <v>23000</v>
      </c>
      <c r="L4" s="148">
        <f t="shared" si="3"/>
        <v>4600000</v>
      </c>
      <c r="M4" s="147">
        <f t="shared" si="4"/>
        <v>1959277.1084337346</v>
      </c>
    </row>
    <row r="5" spans="1:13" x14ac:dyDescent="0.2">
      <c r="A5" s="1"/>
      <c r="B5" s="145" t="s">
        <v>253</v>
      </c>
      <c r="C5" s="145" t="s">
        <v>1673</v>
      </c>
      <c r="D5" s="1">
        <v>6.64</v>
      </c>
      <c r="E5" s="149">
        <v>200</v>
      </c>
      <c r="F5" s="149">
        <v>26</v>
      </c>
      <c r="G5" s="149">
        <f t="shared" si="0"/>
        <v>5200</v>
      </c>
      <c r="H5" s="145">
        <f t="shared" si="1"/>
        <v>783.13253012048199</v>
      </c>
      <c r="I5" s="3">
        <v>3372</v>
      </c>
      <c r="J5" s="146">
        <f t="shared" si="2"/>
        <v>2640722.8915662654</v>
      </c>
      <c r="K5" s="147">
        <v>22000</v>
      </c>
      <c r="L5" s="148">
        <f t="shared" si="3"/>
        <v>4400000</v>
      </c>
      <c r="M5" s="147">
        <f t="shared" si="4"/>
        <v>1759277.1084337346</v>
      </c>
    </row>
    <row r="6" spans="1:13" x14ac:dyDescent="0.2">
      <c r="A6" s="1"/>
      <c r="B6" s="145" t="s">
        <v>253</v>
      </c>
      <c r="C6" s="145" t="s">
        <v>1674</v>
      </c>
      <c r="D6" s="1">
        <v>6.64</v>
      </c>
      <c r="E6" s="149">
        <v>220</v>
      </c>
      <c r="F6" s="149">
        <v>23</v>
      </c>
      <c r="G6" s="149">
        <f t="shared" si="0"/>
        <v>5060</v>
      </c>
      <c r="H6" s="145">
        <f t="shared" si="1"/>
        <v>762.04819277108436</v>
      </c>
      <c r="I6" s="3">
        <v>3372</v>
      </c>
      <c r="J6" s="146">
        <f t="shared" si="2"/>
        <v>2569626.5060240962</v>
      </c>
      <c r="K6" s="147">
        <v>22000</v>
      </c>
      <c r="L6" s="148">
        <f t="shared" si="3"/>
        <v>4840000</v>
      </c>
      <c r="M6" s="147">
        <f t="shared" si="4"/>
        <v>2270373.4939759038</v>
      </c>
    </row>
    <row r="7" spans="1:13" x14ac:dyDescent="0.2">
      <c r="A7" s="1"/>
      <c r="B7" s="145" t="s">
        <v>253</v>
      </c>
      <c r="C7" s="145" t="s">
        <v>1675</v>
      </c>
      <c r="D7" s="1">
        <v>6.64</v>
      </c>
      <c r="E7" s="149">
        <v>200</v>
      </c>
      <c r="F7" s="149">
        <v>27</v>
      </c>
      <c r="G7" s="149">
        <f t="shared" si="0"/>
        <v>5400</v>
      </c>
      <c r="H7" s="145">
        <f t="shared" si="1"/>
        <v>813.25301204819277</v>
      </c>
      <c r="I7" s="3">
        <v>3372</v>
      </c>
      <c r="J7" s="146">
        <f t="shared" si="2"/>
        <v>2742289.1566265062</v>
      </c>
      <c r="K7" s="147">
        <v>23000</v>
      </c>
      <c r="L7" s="148">
        <f t="shared" si="3"/>
        <v>4600000</v>
      </c>
      <c r="M7" s="147">
        <f t="shared" si="4"/>
        <v>1857710.8433734938</v>
      </c>
    </row>
    <row r="8" spans="1:13" x14ac:dyDescent="0.2">
      <c r="A8" s="1"/>
      <c r="B8" s="145" t="s">
        <v>253</v>
      </c>
      <c r="C8" s="145" t="s">
        <v>1676</v>
      </c>
      <c r="D8" s="1">
        <v>6.64</v>
      </c>
      <c r="E8" s="149">
        <v>200</v>
      </c>
      <c r="F8" s="149">
        <v>28.5</v>
      </c>
      <c r="G8" s="149">
        <f t="shared" si="0"/>
        <v>5700</v>
      </c>
      <c r="H8" s="145">
        <f t="shared" si="1"/>
        <v>858.43373493975912</v>
      </c>
      <c r="I8" s="3">
        <v>3372</v>
      </c>
      <c r="J8" s="146">
        <f t="shared" si="2"/>
        <v>2894638.5542168678</v>
      </c>
      <c r="K8" s="147">
        <v>23000</v>
      </c>
      <c r="L8" s="148">
        <f t="shared" si="3"/>
        <v>4600000</v>
      </c>
      <c r="M8" s="147">
        <f t="shared" si="4"/>
        <v>1705361.4457831322</v>
      </c>
    </row>
    <row r="9" spans="1:13" x14ac:dyDescent="0.2">
      <c r="A9" s="1"/>
      <c r="B9" s="145"/>
      <c r="C9" s="1" t="s">
        <v>1677</v>
      </c>
      <c r="D9" s="1">
        <v>6.64</v>
      </c>
      <c r="E9" s="149">
        <v>200</v>
      </c>
      <c r="F9" s="149">
        <v>28</v>
      </c>
      <c r="G9" s="149">
        <f t="shared" si="0"/>
        <v>5600</v>
      </c>
      <c r="H9" s="145">
        <f t="shared" si="1"/>
        <v>843.37349397590367</v>
      </c>
      <c r="I9" s="3">
        <v>3372</v>
      </c>
      <c r="J9" s="146">
        <f t="shared" si="2"/>
        <v>2843855.4216867471</v>
      </c>
      <c r="K9" s="147">
        <v>23000</v>
      </c>
      <c r="L9" s="148">
        <f t="shared" si="3"/>
        <v>4600000</v>
      </c>
      <c r="M9" s="147">
        <f t="shared" si="4"/>
        <v>1756144.5783132529</v>
      </c>
    </row>
    <row r="10" spans="1:13" x14ac:dyDescent="0.2">
      <c r="A10" s="1"/>
      <c r="B10" s="145" t="s">
        <v>1684</v>
      </c>
      <c r="C10" s="145" t="s">
        <v>1680</v>
      </c>
      <c r="D10" s="1">
        <v>6.64</v>
      </c>
      <c r="E10" s="149">
        <v>200</v>
      </c>
      <c r="F10" s="149">
        <v>25</v>
      </c>
      <c r="G10" s="149">
        <f t="shared" si="0"/>
        <v>5000</v>
      </c>
      <c r="H10" s="145">
        <f t="shared" si="1"/>
        <v>753.01204819277109</v>
      </c>
      <c r="I10" s="3">
        <v>3372</v>
      </c>
      <c r="J10" s="146">
        <f t="shared" si="2"/>
        <v>2539156.626506024</v>
      </c>
      <c r="K10" s="147">
        <v>25000</v>
      </c>
      <c r="L10" s="148">
        <f t="shared" si="3"/>
        <v>5000000</v>
      </c>
      <c r="M10" s="147">
        <f t="shared" si="4"/>
        <v>2460843.373493976</v>
      </c>
    </row>
    <row r="11" spans="1:13" x14ac:dyDescent="0.2">
      <c r="A11" s="1"/>
      <c r="B11" s="145" t="s">
        <v>253</v>
      </c>
      <c r="C11" s="145" t="s">
        <v>1678</v>
      </c>
      <c r="D11" s="1">
        <v>6.64</v>
      </c>
      <c r="E11" s="149">
        <v>200</v>
      </c>
      <c r="F11" s="149">
        <v>25</v>
      </c>
      <c r="G11" s="149">
        <f t="shared" si="0"/>
        <v>5000</v>
      </c>
      <c r="H11" s="145">
        <f t="shared" si="1"/>
        <v>753.01204819277109</v>
      </c>
      <c r="I11" s="3">
        <v>3372</v>
      </c>
      <c r="J11" s="146">
        <f t="shared" si="2"/>
        <v>2539156.626506024</v>
      </c>
      <c r="K11" s="147">
        <v>25000</v>
      </c>
      <c r="L11" s="148">
        <f t="shared" si="3"/>
        <v>5000000</v>
      </c>
      <c r="M11" s="147">
        <f t="shared" si="4"/>
        <v>2460843.373493976</v>
      </c>
    </row>
    <row r="12" spans="1:13" x14ac:dyDescent="0.2">
      <c r="A12" s="1"/>
      <c r="B12" s="145" t="s">
        <v>253</v>
      </c>
      <c r="C12" s="145" t="s">
        <v>1679</v>
      </c>
      <c r="D12" s="1">
        <v>6.64</v>
      </c>
      <c r="E12" s="149">
        <v>200</v>
      </c>
      <c r="F12" s="149">
        <v>25</v>
      </c>
      <c r="G12" s="149">
        <f t="shared" si="0"/>
        <v>5000</v>
      </c>
      <c r="H12" s="145">
        <f t="shared" si="1"/>
        <v>753.01204819277109</v>
      </c>
      <c r="I12" s="3">
        <v>3372</v>
      </c>
      <c r="J12" s="146">
        <f t="shared" si="2"/>
        <v>2539156.626506024</v>
      </c>
      <c r="K12" s="147">
        <v>25000</v>
      </c>
      <c r="L12" s="148">
        <f t="shared" si="3"/>
        <v>5000000</v>
      </c>
      <c r="M12" s="147">
        <f t="shared" si="4"/>
        <v>2460843.373493976</v>
      </c>
    </row>
    <row r="13" spans="1:13" x14ac:dyDescent="0.2">
      <c r="A13" s="1"/>
      <c r="B13" s="145" t="s">
        <v>253</v>
      </c>
      <c r="C13" s="145" t="s">
        <v>1682</v>
      </c>
      <c r="D13" s="1">
        <v>6.64</v>
      </c>
      <c r="E13" s="149">
        <v>200</v>
      </c>
      <c r="F13" s="149">
        <v>22</v>
      </c>
      <c r="G13" s="149">
        <f t="shared" si="0"/>
        <v>4400</v>
      </c>
      <c r="H13" s="145">
        <f t="shared" si="1"/>
        <v>662.65060240963862</v>
      </c>
      <c r="I13" s="3">
        <v>3372</v>
      </c>
      <c r="J13" s="146">
        <f t="shared" si="2"/>
        <v>2234457.8313253014</v>
      </c>
      <c r="K13" s="147">
        <v>25000</v>
      </c>
      <c r="L13" s="148">
        <f t="shared" si="3"/>
        <v>5000000</v>
      </c>
      <c r="M13" s="147">
        <f t="shared" si="4"/>
        <v>2765542.1686746986</v>
      </c>
    </row>
    <row r="14" spans="1:13" x14ac:dyDescent="0.2">
      <c r="A14" s="1"/>
      <c r="B14" s="145" t="s">
        <v>253</v>
      </c>
      <c r="C14" s="145" t="s">
        <v>1681</v>
      </c>
      <c r="D14" s="1">
        <v>6.64</v>
      </c>
      <c r="E14" s="149">
        <v>200</v>
      </c>
      <c r="F14" s="149">
        <v>22</v>
      </c>
      <c r="G14" s="149">
        <f t="shared" si="0"/>
        <v>4400</v>
      </c>
      <c r="H14" s="145">
        <f t="shared" si="1"/>
        <v>662.65060240963862</v>
      </c>
      <c r="I14" s="3">
        <v>3372</v>
      </c>
      <c r="J14" s="146">
        <f t="shared" si="2"/>
        <v>2234457.8313253014</v>
      </c>
      <c r="K14" s="147">
        <v>25000</v>
      </c>
      <c r="L14" s="148">
        <f t="shared" si="3"/>
        <v>5000000</v>
      </c>
      <c r="M14" s="147">
        <f t="shared" si="4"/>
        <v>2765542.1686746986</v>
      </c>
    </row>
    <row r="15" spans="1:13" x14ac:dyDescent="0.2">
      <c r="A15" s="1"/>
      <c r="B15" s="145" t="s">
        <v>253</v>
      </c>
      <c r="C15" s="145" t="s">
        <v>1683</v>
      </c>
      <c r="D15" s="1">
        <v>6.64</v>
      </c>
      <c r="E15" s="149">
        <v>200</v>
      </c>
      <c r="F15" s="149">
        <v>22</v>
      </c>
      <c r="G15" s="149">
        <f t="shared" si="0"/>
        <v>4400</v>
      </c>
      <c r="H15" s="145">
        <f t="shared" si="1"/>
        <v>662.65060240963862</v>
      </c>
      <c r="I15" s="3">
        <v>3372</v>
      </c>
      <c r="J15" s="146">
        <f t="shared" si="2"/>
        <v>2234457.8313253014</v>
      </c>
      <c r="K15" s="147">
        <v>25000</v>
      </c>
      <c r="L15" s="148">
        <f t="shared" si="3"/>
        <v>5000000</v>
      </c>
      <c r="M15" s="147">
        <f t="shared" si="4"/>
        <v>2765542.1686746986</v>
      </c>
    </row>
    <row r="16" spans="1:13" x14ac:dyDescent="0.2">
      <c r="A16" s="1"/>
      <c r="B16" s="145" t="s">
        <v>1685</v>
      </c>
      <c r="C16" s="145" t="s">
        <v>1686</v>
      </c>
      <c r="D16" s="1">
        <v>6.64</v>
      </c>
      <c r="E16" s="149">
        <v>300</v>
      </c>
      <c r="F16" s="149">
        <v>35</v>
      </c>
      <c r="G16" s="149">
        <f t="shared" si="0"/>
        <v>10500</v>
      </c>
      <c r="H16" s="145">
        <f t="shared" si="1"/>
        <v>1581.3253012048194</v>
      </c>
      <c r="I16" s="3">
        <v>3372</v>
      </c>
      <c r="J16" s="146">
        <f t="shared" si="2"/>
        <v>5332228.915662651</v>
      </c>
      <c r="K16" s="147">
        <v>35000</v>
      </c>
      <c r="L16" s="148">
        <f t="shared" si="3"/>
        <v>10500000</v>
      </c>
      <c r="M16" s="147">
        <f t="shared" si="4"/>
        <v>5167771.084337349</v>
      </c>
    </row>
    <row r="17" spans="1:13" x14ac:dyDescent="0.2">
      <c r="A17" s="1"/>
      <c r="B17" s="145" t="s">
        <v>1687</v>
      </c>
      <c r="C17" s="145" t="s">
        <v>1688</v>
      </c>
      <c r="D17" s="1">
        <v>6.64</v>
      </c>
      <c r="E17" s="149">
        <v>400</v>
      </c>
      <c r="F17" s="149">
        <v>26</v>
      </c>
      <c r="G17" s="149">
        <f t="shared" si="0"/>
        <v>10400</v>
      </c>
      <c r="H17" s="145">
        <f t="shared" si="1"/>
        <v>1566.265060240964</v>
      </c>
      <c r="I17" s="3">
        <v>3372</v>
      </c>
      <c r="J17" s="146">
        <f t="shared" si="2"/>
        <v>5281445.7831325307</v>
      </c>
      <c r="K17" s="147">
        <v>23000</v>
      </c>
      <c r="L17" s="148">
        <f t="shared" si="3"/>
        <v>9200000</v>
      </c>
      <c r="M17" s="147">
        <f t="shared" si="4"/>
        <v>3918554.2168674693</v>
      </c>
    </row>
    <row r="18" spans="1:13" x14ac:dyDescent="0.2">
      <c r="A18" s="1"/>
      <c r="B18" s="1"/>
      <c r="C18" s="145" t="s">
        <v>1689</v>
      </c>
      <c r="D18" s="1">
        <v>6.64</v>
      </c>
      <c r="E18" s="149">
        <v>200</v>
      </c>
      <c r="F18" s="149">
        <v>29</v>
      </c>
      <c r="G18" s="149">
        <f t="shared" si="0"/>
        <v>5800</v>
      </c>
      <c r="H18" s="145">
        <f t="shared" si="1"/>
        <v>873.49397590361446</v>
      </c>
      <c r="I18" s="3">
        <v>3372</v>
      </c>
      <c r="J18" s="146">
        <f t="shared" si="2"/>
        <v>2945421.686746988</v>
      </c>
      <c r="K18" s="147">
        <v>23000</v>
      </c>
      <c r="L18" s="148">
        <f t="shared" si="3"/>
        <v>4600000</v>
      </c>
      <c r="M18" s="147">
        <f t="shared" si="4"/>
        <v>1654578.313253012</v>
      </c>
    </row>
    <row r="19" spans="1:13" x14ac:dyDescent="0.2">
      <c r="A19" s="1"/>
      <c r="B19" s="145" t="s">
        <v>7</v>
      </c>
      <c r="C19" s="145" t="s">
        <v>1690</v>
      </c>
      <c r="D19" s="1">
        <v>6.64</v>
      </c>
      <c r="E19" s="149">
        <v>200</v>
      </c>
      <c r="F19" s="149">
        <v>24</v>
      </c>
      <c r="G19" s="149">
        <f t="shared" si="0"/>
        <v>4800</v>
      </c>
      <c r="H19" s="145">
        <f t="shared" si="1"/>
        <v>722.89156626506031</v>
      </c>
      <c r="I19" s="3">
        <v>3372</v>
      </c>
      <c r="J19" s="146">
        <f t="shared" si="2"/>
        <v>2437590.3614457832</v>
      </c>
      <c r="K19" s="147">
        <v>20000</v>
      </c>
      <c r="L19" s="148">
        <f t="shared" si="3"/>
        <v>4000000</v>
      </c>
      <c r="M19" s="147">
        <f t="shared" si="4"/>
        <v>1562409.6385542168</v>
      </c>
    </row>
    <row r="20" spans="1:13" x14ac:dyDescent="0.2">
      <c r="A20" s="1"/>
      <c r="B20" s="145" t="s">
        <v>253</v>
      </c>
      <c r="C20" s="145" t="s">
        <v>1691</v>
      </c>
      <c r="D20" s="1">
        <v>6.64</v>
      </c>
      <c r="E20" s="149">
        <v>200</v>
      </c>
      <c r="F20" s="149">
        <v>25</v>
      </c>
      <c r="G20" s="149">
        <f t="shared" si="0"/>
        <v>5000</v>
      </c>
      <c r="H20" s="145">
        <f t="shared" si="1"/>
        <v>753.01204819277109</v>
      </c>
      <c r="I20" s="3">
        <v>3372</v>
      </c>
      <c r="J20" s="146">
        <f t="shared" si="2"/>
        <v>2539156.626506024</v>
      </c>
      <c r="K20" s="147">
        <v>20000</v>
      </c>
      <c r="L20" s="148">
        <f t="shared" si="3"/>
        <v>4000000</v>
      </c>
      <c r="M20" s="147">
        <f t="shared" si="4"/>
        <v>1460843.373493976</v>
      </c>
    </row>
    <row r="21" spans="1:13" x14ac:dyDescent="0.2">
      <c r="A21" s="1"/>
      <c r="B21" s="145" t="s">
        <v>253</v>
      </c>
      <c r="C21" s="145" t="s">
        <v>1693</v>
      </c>
      <c r="D21" s="1">
        <v>6.64</v>
      </c>
      <c r="E21" s="149">
        <v>200</v>
      </c>
      <c r="F21" s="149">
        <v>27</v>
      </c>
      <c r="G21" s="149">
        <f t="shared" si="0"/>
        <v>5400</v>
      </c>
      <c r="H21" s="145">
        <f t="shared" si="1"/>
        <v>813.25301204819277</v>
      </c>
      <c r="I21" s="3">
        <v>3372</v>
      </c>
      <c r="J21" s="146">
        <f t="shared" si="2"/>
        <v>2742289.1566265062</v>
      </c>
      <c r="K21" s="147">
        <v>23000</v>
      </c>
      <c r="L21" s="148">
        <f t="shared" si="3"/>
        <v>4600000</v>
      </c>
      <c r="M21" s="147">
        <f t="shared" si="4"/>
        <v>1857710.8433734938</v>
      </c>
    </row>
    <row r="22" spans="1:13" x14ac:dyDescent="0.2">
      <c r="A22" s="1"/>
      <c r="B22" s="145" t="s">
        <v>253</v>
      </c>
      <c r="C22" s="145" t="s">
        <v>1692</v>
      </c>
      <c r="D22" s="1">
        <v>6.64</v>
      </c>
      <c r="E22" s="149">
        <v>200</v>
      </c>
      <c r="F22" s="149">
        <v>28</v>
      </c>
      <c r="G22" s="149">
        <f t="shared" si="0"/>
        <v>5600</v>
      </c>
      <c r="H22" s="145">
        <f t="shared" si="1"/>
        <v>843.37349397590367</v>
      </c>
      <c r="I22" s="3">
        <v>3372</v>
      </c>
      <c r="J22" s="146">
        <f t="shared" si="2"/>
        <v>2843855.4216867471</v>
      </c>
      <c r="K22" s="147">
        <v>23000</v>
      </c>
      <c r="L22" s="148">
        <f t="shared" si="3"/>
        <v>4600000</v>
      </c>
      <c r="M22" s="147">
        <f t="shared" si="4"/>
        <v>1756144.5783132529</v>
      </c>
    </row>
    <row r="23" spans="1:13" x14ac:dyDescent="0.2">
      <c r="A23" s="1"/>
      <c r="B23" s="145" t="s">
        <v>7</v>
      </c>
      <c r="C23" s="145" t="s">
        <v>1694</v>
      </c>
      <c r="D23" s="1">
        <v>6.64</v>
      </c>
      <c r="E23" s="149">
        <v>200</v>
      </c>
      <c r="F23" s="149">
        <v>26</v>
      </c>
      <c r="G23" s="149">
        <f t="shared" si="0"/>
        <v>5200</v>
      </c>
      <c r="H23" s="145">
        <f t="shared" si="1"/>
        <v>783.13253012048199</v>
      </c>
      <c r="I23" s="3">
        <v>3372</v>
      </c>
      <c r="J23" s="146">
        <f t="shared" si="2"/>
        <v>2640722.8915662654</v>
      </c>
      <c r="K23" s="147">
        <v>22000</v>
      </c>
      <c r="L23" s="148">
        <f t="shared" si="3"/>
        <v>4400000</v>
      </c>
      <c r="M23" s="147">
        <f t="shared" si="4"/>
        <v>1759277.1084337346</v>
      </c>
    </row>
    <row r="24" spans="1:13" x14ac:dyDescent="0.2">
      <c r="A24" s="1"/>
      <c r="B24" s="145" t="s">
        <v>253</v>
      </c>
      <c r="C24" s="145" t="s">
        <v>1695</v>
      </c>
      <c r="D24" s="1">
        <v>6.64</v>
      </c>
      <c r="E24" s="149">
        <v>200</v>
      </c>
      <c r="F24" s="149">
        <v>28</v>
      </c>
      <c r="G24" s="149">
        <f t="shared" si="0"/>
        <v>5600</v>
      </c>
      <c r="H24" s="145">
        <f t="shared" si="1"/>
        <v>843.37349397590367</v>
      </c>
      <c r="I24" s="3">
        <v>3372</v>
      </c>
      <c r="J24" s="146">
        <f t="shared" si="2"/>
        <v>2843855.4216867471</v>
      </c>
      <c r="K24" s="147">
        <v>23000</v>
      </c>
      <c r="L24" s="148">
        <f t="shared" si="3"/>
        <v>4600000</v>
      </c>
      <c r="M24" s="147">
        <f t="shared" si="4"/>
        <v>1756144.5783132529</v>
      </c>
    </row>
    <row r="25" spans="1:13" x14ac:dyDescent="0.2">
      <c r="A25" s="1"/>
      <c r="B25" s="145" t="s">
        <v>253</v>
      </c>
      <c r="C25" s="145" t="s">
        <v>1696</v>
      </c>
      <c r="D25" s="1">
        <v>6.64</v>
      </c>
      <c r="E25" s="149">
        <v>200</v>
      </c>
      <c r="F25" s="149">
        <v>26.5</v>
      </c>
      <c r="G25" s="149">
        <f t="shared" si="0"/>
        <v>5300</v>
      </c>
      <c r="H25" s="145">
        <f t="shared" si="1"/>
        <v>798.19277108433744</v>
      </c>
      <c r="I25" s="3">
        <v>3372</v>
      </c>
      <c r="J25" s="146">
        <f t="shared" si="2"/>
        <v>2691506.0240963856</v>
      </c>
      <c r="K25" s="147">
        <v>22000</v>
      </c>
      <c r="L25" s="148">
        <f t="shared" si="3"/>
        <v>4400000</v>
      </c>
      <c r="M25" s="147">
        <f t="shared" si="4"/>
        <v>1708493.9759036144</v>
      </c>
    </row>
    <row r="26" spans="1:13" x14ac:dyDescent="0.2">
      <c r="A26" s="1"/>
      <c r="B26" s="145" t="s">
        <v>253</v>
      </c>
      <c r="C26" s="145" t="s">
        <v>1697</v>
      </c>
      <c r="D26" s="1">
        <v>6.64</v>
      </c>
      <c r="E26" s="149">
        <v>200</v>
      </c>
      <c r="F26" s="149">
        <v>28.3</v>
      </c>
      <c r="G26" s="149">
        <f t="shared" si="0"/>
        <v>5660</v>
      </c>
      <c r="H26" s="145">
        <f t="shared" si="1"/>
        <v>852.40963855421694</v>
      </c>
      <c r="I26" s="3">
        <v>3372</v>
      </c>
      <c r="J26" s="146">
        <f t="shared" si="2"/>
        <v>2874325.3012048192</v>
      </c>
      <c r="K26" s="147">
        <v>23000</v>
      </c>
      <c r="L26" s="148">
        <f t="shared" si="3"/>
        <v>4600000</v>
      </c>
      <c r="M26" s="147">
        <f t="shared" si="4"/>
        <v>1725674.6987951808</v>
      </c>
    </row>
    <row r="27" spans="1:13" x14ac:dyDescent="0.2">
      <c r="A27" s="1"/>
      <c r="B27" s="145" t="s">
        <v>7</v>
      </c>
      <c r="C27" s="145" t="s">
        <v>1698</v>
      </c>
      <c r="D27" s="1">
        <v>6.64</v>
      </c>
      <c r="E27" s="149">
        <v>300</v>
      </c>
      <c r="F27" s="149">
        <v>24</v>
      </c>
      <c r="G27" s="149">
        <f t="shared" si="0"/>
        <v>7200</v>
      </c>
      <c r="H27" s="145">
        <f t="shared" si="1"/>
        <v>1084.3373493975905</v>
      </c>
      <c r="I27" s="3">
        <v>3372</v>
      </c>
      <c r="J27" s="146">
        <f t="shared" si="2"/>
        <v>3656385.5421686745</v>
      </c>
      <c r="K27" s="147">
        <v>20000</v>
      </c>
      <c r="L27" s="148">
        <f t="shared" si="3"/>
        <v>6000000</v>
      </c>
      <c r="M27" s="147">
        <f t="shared" si="4"/>
        <v>2343614.4578313255</v>
      </c>
    </row>
    <row r="28" spans="1:13" x14ac:dyDescent="0.2">
      <c r="A28" s="1"/>
      <c r="B28" s="145" t="s">
        <v>253</v>
      </c>
      <c r="C28" s="145" t="s">
        <v>1699</v>
      </c>
      <c r="D28" s="1">
        <v>6.64</v>
      </c>
      <c r="E28" s="149">
        <v>200</v>
      </c>
      <c r="F28" s="149">
        <v>23.5</v>
      </c>
      <c r="G28" s="149">
        <f t="shared" si="0"/>
        <v>4700</v>
      </c>
      <c r="H28" s="145">
        <f t="shared" si="1"/>
        <v>707.83132530120486</v>
      </c>
      <c r="I28" s="3">
        <v>3372</v>
      </c>
      <c r="J28" s="146">
        <f t="shared" si="2"/>
        <v>2386807.2289156625</v>
      </c>
      <c r="K28" s="147">
        <v>22000</v>
      </c>
      <c r="L28" s="148">
        <f t="shared" si="3"/>
        <v>4400000</v>
      </c>
      <c r="M28" s="147">
        <f t="shared" si="4"/>
        <v>2013192.7710843375</v>
      </c>
    </row>
    <row r="29" spans="1:13" x14ac:dyDescent="0.2">
      <c r="A29" s="1"/>
      <c r="B29" s="145" t="s">
        <v>7</v>
      </c>
      <c r="C29" s="145" t="s">
        <v>1700</v>
      </c>
      <c r="D29" s="1">
        <v>6.64</v>
      </c>
      <c r="E29" s="149">
        <v>300</v>
      </c>
      <c r="F29" s="149">
        <v>25</v>
      </c>
      <c r="G29" s="149">
        <f t="shared" si="0"/>
        <v>7500</v>
      </c>
      <c r="H29" s="145">
        <f t="shared" si="1"/>
        <v>1129.5180722891566</v>
      </c>
      <c r="I29" s="3">
        <v>3372</v>
      </c>
      <c r="J29" s="146">
        <f t="shared" si="2"/>
        <v>3808734.9397590365</v>
      </c>
      <c r="K29" s="147">
        <v>20000</v>
      </c>
      <c r="L29" s="148">
        <f t="shared" si="3"/>
        <v>6000000</v>
      </c>
      <c r="M29" s="147">
        <f t="shared" si="4"/>
        <v>2191265.0602409635</v>
      </c>
    </row>
    <row r="30" spans="1:13" x14ac:dyDescent="0.2">
      <c r="A30" s="1"/>
      <c r="B30" s="145" t="s">
        <v>253</v>
      </c>
      <c r="C30" s="145" t="s">
        <v>1701</v>
      </c>
      <c r="D30" s="1">
        <v>6.64</v>
      </c>
      <c r="E30" s="149">
        <v>100</v>
      </c>
      <c r="F30" s="149">
        <v>28</v>
      </c>
      <c r="G30" s="149">
        <f t="shared" si="0"/>
        <v>2800</v>
      </c>
      <c r="H30" s="145">
        <f t="shared" si="1"/>
        <v>421.68674698795184</v>
      </c>
      <c r="I30" s="3">
        <v>3372</v>
      </c>
      <c r="J30" s="146">
        <f t="shared" si="2"/>
        <v>1421927.7108433736</v>
      </c>
      <c r="K30" s="147">
        <v>23000</v>
      </c>
      <c r="L30" s="148">
        <f t="shared" si="3"/>
        <v>2300000</v>
      </c>
      <c r="M30" s="147">
        <f t="shared" si="4"/>
        <v>878072.28915662644</v>
      </c>
    </row>
    <row r="31" spans="1:13" x14ac:dyDescent="0.2">
      <c r="A31" s="1"/>
      <c r="B31" s="145" t="s">
        <v>253</v>
      </c>
      <c r="C31" s="145" t="s">
        <v>1702</v>
      </c>
      <c r="D31" s="1">
        <v>6.64</v>
      </c>
      <c r="E31" s="149">
        <v>300</v>
      </c>
      <c r="F31" s="149">
        <v>23</v>
      </c>
      <c r="G31" s="149">
        <f t="shared" si="0"/>
        <v>6900</v>
      </c>
      <c r="H31" s="145">
        <f t="shared" si="1"/>
        <v>1039.1566265060242</v>
      </c>
      <c r="I31" s="3">
        <v>3372</v>
      </c>
      <c r="J31" s="146">
        <f t="shared" si="2"/>
        <v>3504036.144578313</v>
      </c>
      <c r="K31" s="147">
        <v>20000</v>
      </c>
      <c r="L31" s="148">
        <f t="shared" si="3"/>
        <v>6000000</v>
      </c>
      <c r="M31" s="147">
        <f t="shared" si="4"/>
        <v>2495963.855421687</v>
      </c>
    </row>
    <row r="32" spans="1:13" x14ac:dyDescent="0.2">
      <c r="A32" s="1"/>
      <c r="B32" s="145" t="s">
        <v>253</v>
      </c>
      <c r="C32" s="145" t="s">
        <v>1703</v>
      </c>
      <c r="D32" s="1">
        <v>6.64</v>
      </c>
      <c r="E32" s="149">
        <v>120</v>
      </c>
      <c r="F32" s="149">
        <v>26</v>
      </c>
      <c r="G32" s="149">
        <f t="shared" si="0"/>
        <v>3120</v>
      </c>
      <c r="H32" s="145">
        <f t="shared" si="1"/>
        <v>469.87951807228916</v>
      </c>
      <c r="I32" s="3">
        <v>3372</v>
      </c>
      <c r="J32" s="146">
        <f t="shared" si="2"/>
        <v>1584433.7349397591</v>
      </c>
      <c r="K32" s="147">
        <v>23000</v>
      </c>
      <c r="L32" s="148">
        <f t="shared" si="3"/>
        <v>2760000</v>
      </c>
      <c r="M32" s="147">
        <f t="shared" si="4"/>
        <v>1175566.2650602409</v>
      </c>
    </row>
    <row r="33" spans="1:13" x14ac:dyDescent="0.2">
      <c r="A33" s="1"/>
      <c r="B33" s="145" t="s">
        <v>7</v>
      </c>
      <c r="C33" s="145" t="s">
        <v>1704</v>
      </c>
      <c r="D33" s="1">
        <v>6.64</v>
      </c>
      <c r="E33" s="149">
        <v>200</v>
      </c>
      <c r="F33" s="149">
        <v>22</v>
      </c>
      <c r="G33" s="149">
        <f t="shared" si="0"/>
        <v>4400</v>
      </c>
      <c r="H33" s="145">
        <f t="shared" si="1"/>
        <v>662.65060240963862</v>
      </c>
      <c r="I33" s="3">
        <v>3372</v>
      </c>
      <c r="J33" s="146">
        <f t="shared" si="2"/>
        <v>2234457.8313253014</v>
      </c>
      <c r="K33" s="147">
        <v>22000</v>
      </c>
      <c r="L33" s="148">
        <f t="shared" si="3"/>
        <v>4400000</v>
      </c>
      <c r="M33" s="147">
        <f t="shared" si="4"/>
        <v>2165542.1686746986</v>
      </c>
    </row>
    <row r="34" spans="1:13" x14ac:dyDescent="0.2">
      <c r="A34" s="1"/>
      <c r="B34" s="145" t="s">
        <v>253</v>
      </c>
      <c r="C34" s="145" t="s">
        <v>253</v>
      </c>
      <c r="D34" s="1">
        <v>6.64</v>
      </c>
      <c r="E34" s="149">
        <v>200</v>
      </c>
      <c r="F34" s="149">
        <v>26</v>
      </c>
      <c r="G34" s="149">
        <f t="shared" si="0"/>
        <v>5200</v>
      </c>
      <c r="H34" s="145">
        <f t="shared" si="1"/>
        <v>783.13253012048199</v>
      </c>
      <c r="I34" s="3">
        <v>3372</v>
      </c>
      <c r="J34" s="146">
        <f t="shared" si="2"/>
        <v>2640722.8915662654</v>
      </c>
      <c r="K34" s="147">
        <v>22000</v>
      </c>
      <c r="L34" s="148">
        <f t="shared" si="3"/>
        <v>4400000</v>
      </c>
      <c r="M34" s="147">
        <f t="shared" si="4"/>
        <v>1759277.1084337346</v>
      </c>
    </row>
    <row r="35" spans="1:13" x14ac:dyDescent="0.2">
      <c r="A35" s="1"/>
      <c r="B35" s="145" t="s">
        <v>253</v>
      </c>
      <c r="C35" s="145" t="s">
        <v>253</v>
      </c>
      <c r="D35" s="1">
        <v>6.64</v>
      </c>
      <c r="E35" s="149">
        <v>200</v>
      </c>
      <c r="F35" s="149">
        <v>26</v>
      </c>
      <c r="G35" s="149">
        <f t="shared" si="0"/>
        <v>5200</v>
      </c>
      <c r="H35" s="145">
        <f t="shared" si="1"/>
        <v>783.13253012048199</v>
      </c>
      <c r="I35" s="3">
        <v>3372</v>
      </c>
      <c r="J35" s="146">
        <f t="shared" si="2"/>
        <v>2640722.8915662654</v>
      </c>
      <c r="K35" s="147">
        <v>22000</v>
      </c>
      <c r="L35" s="148">
        <f t="shared" si="3"/>
        <v>4400000</v>
      </c>
      <c r="M35" s="147">
        <f t="shared" si="4"/>
        <v>1759277.1084337346</v>
      </c>
    </row>
    <row r="36" spans="1:13" x14ac:dyDescent="0.2">
      <c r="A36" s="1"/>
      <c r="B36" s="145" t="s">
        <v>253</v>
      </c>
      <c r="C36" s="145" t="s">
        <v>1705</v>
      </c>
      <c r="D36" s="1">
        <v>6.64</v>
      </c>
      <c r="E36" s="149">
        <v>200</v>
      </c>
      <c r="F36" s="149">
        <v>25.5</v>
      </c>
      <c r="G36" s="149">
        <f t="shared" si="0"/>
        <v>5100</v>
      </c>
      <c r="H36" s="145">
        <f t="shared" si="1"/>
        <v>768.07228915662654</v>
      </c>
      <c r="I36" s="3">
        <v>3372</v>
      </c>
      <c r="J36" s="146">
        <f t="shared" si="2"/>
        <v>2589939.7590361447</v>
      </c>
      <c r="K36" s="147">
        <v>22000</v>
      </c>
      <c r="L36" s="148">
        <f t="shared" si="3"/>
        <v>4400000</v>
      </c>
      <c r="M36" s="147">
        <f t="shared" si="4"/>
        <v>1810060.2409638553</v>
      </c>
    </row>
    <row r="37" spans="1:13" x14ac:dyDescent="0.2">
      <c r="A37" s="1"/>
      <c r="B37" s="145" t="s">
        <v>253</v>
      </c>
      <c r="C37" s="145" t="s">
        <v>253</v>
      </c>
      <c r="D37" s="1">
        <v>6.64</v>
      </c>
      <c r="E37" s="149">
        <v>200</v>
      </c>
      <c r="F37" s="149">
        <v>26</v>
      </c>
      <c r="G37" s="149">
        <f t="shared" si="0"/>
        <v>5200</v>
      </c>
      <c r="H37" s="145">
        <f t="shared" si="1"/>
        <v>783.13253012048199</v>
      </c>
      <c r="I37" s="3">
        <v>3372</v>
      </c>
      <c r="J37" s="146">
        <f t="shared" si="2"/>
        <v>2640722.8915662654</v>
      </c>
      <c r="K37" s="147">
        <v>22000</v>
      </c>
      <c r="L37" s="148">
        <f t="shared" si="3"/>
        <v>4400000</v>
      </c>
      <c r="M37" s="147">
        <f t="shared" si="4"/>
        <v>1759277.1084337346</v>
      </c>
    </row>
    <row r="38" spans="1:13" x14ac:dyDescent="0.2">
      <c r="A38" s="1"/>
      <c r="B38" s="145" t="s">
        <v>253</v>
      </c>
      <c r="C38" s="145" t="s">
        <v>253</v>
      </c>
      <c r="D38" s="1">
        <v>6.64</v>
      </c>
      <c r="E38" s="149">
        <v>200</v>
      </c>
      <c r="F38" s="149">
        <v>26</v>
      </c>
      <c r="G38" s="149">
        <f t="shared" si="0"/>
        <v>5200</v>
      </c>
      <c r="H38" s="145">
        <f t="shared" si="1"/>
        <v>783.13253012048199</v>
      </c>
      <c r="I38" s="3">
        <v>3372</v>
      </c>
      <c r="J38" s="146">
        <f t="shared" si="2"/>
        <v>2640722.8915662654</v>
      </c>
      <c r="K38" s="147">
        <v>22000</v>
      </c>
      <c r="L38" s="148">
        <f t="shared" si="3"/>
        <v>4400000</v>
      </c>
      <c r="M38" s="147">
        <f t="shared" si="4"/>
        <v>1759277.1084337346</v>
      </c>
    </row>
    <row r="39" spans="1:13" x14ac:dyDescent="0.2">
      <c r="A39" s="1"/>
      <c r="B39" s="145" t="s">
        <v>253</v>
      </c>
      <c r="C39" s="145" t="s">
        <v>253</v>
      </c>
      <c r="D39" s="1">
        <v>6.64</v>
      </c>
      <c r="E39" s="149">
        <v>200</v>
      </c>
      <c r="F39" s="149">
        <v>26</v>
      </c>
      <c r="G39" s="149">
        <f t="shared" si="0"/>
        <v>5200</v>
      </c>
      <c r="H39" s="145">
        <f t="shared" si="1"/>
        <v>783.13253012048199</v>
      </c>
      <c r="I39" s="3">
        <v>3372</v>
      </c>
      <c r="J39" s="146">
        <f t="shared" si="2"/>
        <v>2640722.8915662654</v>
      </c>
      <c r="K39" s="147">
        <v>22000</v>
      </c>
      <c r="L39" s="148">
        <f t="shared" si="3"/>
        <v>4400000</v>
      </c>
      <c r="M39" s="147">
        <f t="shared" si="4"/>
        <v>1759277.1084337346</v>
      </c>
    </row>
    <row r="40" spans="1:13" x14ac:dyDescent="0.2">
      <c r="A40" s="1"/>
      <c r="B40" s="145" t="s">
        <v>253</v>
      </c>
      <c r="C40" s="145" t="s">
        <v>253</v>
      </c>
      <c r="D40" s="1">
        <v>6.64</v>
      </c>
      <c r="E40" s="149">
        <v>200</v>
      </c>
      <c r="F40" s="149">
        <v>25</v>
      </c>
      <c r="G40" s="149">
        <f t="shared" si="0"/>
        <v>5000</v>
      </c>
      <c r="H40" s="145">
        <f t="shared" si="1"/>
        <v>753.01204819277109</v>
      </c>
      <c r="I40" s="3">
        <v>3372</v>
      </c>
      <c r="J40" s="146">
        <f t="shared" si="2"/>
        <v>2539156.626506024</v>
      </c>
      <c r="K40" s="147">
        <v>22000</v>
      </c>
      <c r="L40" s="148">
        <f t="shared" si="3"/>
        <v>4400000</v>
      </c>
      <c r="M40" s="147">
        <f t="shared" si="4"/>
        <v>1860843.373493976</v>
      </c>
    </row>
    <row r="41" spans="1:13" x14ac:dyDescent="0.2">
      <c r="A41" s="1"/>
      <c r="B41" s="145" t="s">
        <v>253</v>
      </c>
      <c r="C41" s="145" t="s">
        <v>253</v>
      </c>
      <c r="D41" s="1">
        <v>6.64</v>
      </c>
      <c r="E41" s="149">
        <v>200</v>
      </c>
      <c r="F41" s="149">
        <v>26</v>
      </c>
      <c r="G41" s="149">
        <f t="shared" si="0"/>
        <v>5200</v>
      </c>
      <c r="H41" s="145">
        <f t="shared" si="1"/>
        <v>783.13253012048199</v>
      </c>
      <c r="I41" s="3">
        <v>3372</v>
      </c>
      <c r="J41" s="146">
        <f t="shared" si="2"/>
        <v>2640722.8915662654</v>
      </c>
      <c r="K41" s="147">
        <v>22000</v>
      </c>
      <c r="L41" s="148">
        <f t="shared" si="3"/>
        <v>4400000</v>
      </c>
      <c r="M41" s="147">
        <f t="shared" si="4"/>
        <v>1759277.1084337346</v>
      </c>
    </row>
    <row r="42" spans="1:13" x14ac:dyDescent="0.2">
      <c r="A42" s="1"/>
      <c r="B42" s="145" t="s">
        <v>253</v>
      </c>
      <c r="C42" s="145" t="s">
        <v>253</v>
      </c>
      <c r="D42" s="1">
        <v>6.64</v>
      </c>
      <c r="E42" s="149">
        <v>200</v>
      </c>
      <c r="F42" s="149">
        <v>25</v>
      </c>
      <c r="G42" s="149">
        <f t="shared" si="0"/>
        <v>5000</v>
      </c>
      <c r="H42" s="145">
        <f t="shared" si="1"/>
        <v>753.01204819277109</v>
      </c>
      <c r="I42" s="3">
        <v>3372</v>
      </c>
      <c r="J42" s="146">
        <f t="shared" si="2"/>
        <v>2539156.626506024</v>
      </c>
      <c r="K42" s="147">
        <v>22000</v>
      </c>
      <c r="L42" s="148">
        <f t="shared" si="3"/>
        <v>4400000</v>
      </c>
      <c r="M42" s="147">
        <f t="shared" si="4"/>
        <v>1860843.373493976</v>
      </c>
    </row>
    <row r="43" spans="1:13" x14ac:dyDescent="0.2">
      <c r="A43" s="1"/>
      <c r="B43" s="145" t="s">
        <v>7</v>
      </c>
      <c r="C43" s="145" t="s">
        <v>1706</v>
      </c>
      <c r="D43" s="1">
        <v>6.64</v>
      </c>
      <c r="E43" s="149">
        <v>360</v>
      </c>
      <c r="F43" s="149">
        <v>10</v>
      </c>
      <c r="G43" s="149">
        <f t="shared" si="0"/>
        <v>3600</v>
      </c>
      <c r="H43" s="145">
        <f t="shared" si="1"/>
        <v>542.16867469879526</v>
      </c>
      <c r="I43" s="3">
        <v>3372</v>
      </c>
      <c r="J43" s="146">
        <f t="shared" si="2"/>
        <v>1828192.7710843375</v>
      </c>
      <c r="K43" s="147">
        <v>20000</v>
      </c>
      <c r="L43" s="17">
        <f t="shared" si="3"/>
        <v>7200000</v>
      </c>
      <c r="M43" s="17">
        <f t="shared" si="4"/>
        <v>5371807.2289156625</v>
      </c>
    </row>
    <row r="44" spans="1:13" x14ac:dyDescent="0.2">
      <c r="A44" s="1"/>
      <c r="B44" s="145" t="s">
        <v>253</v>
      </c>
      <c r="C44" s="145" t="s">
        <v>1707</v>
      </c>
      <c r="D44" s="1">
        <v>6.64</v>
      </c>
      <c r="E44" s="149">
        <v>118</v>
      </c>
      <c r="F44" s="149">
        <v>12</v>
      </c>
      <c r="G44" s="149">
        <f t="shared" si="0"/>
        <v>1416</v>
      </c>
      <c r="H44" s="145">
        <f t="shared" si="1"/>
        <v>213.25301204819277</v>
      </c>
      <c r="I44" s="3">
        <v>3372</v>
      </c>
      <c r="J44" s="146">
        <f t="shared" si="2"/>
        <v>719089.15662650601</v>
      </c>
      <c r="K44" s="147">
        <v>20000</v>
      </c>
      <c r="L44" s="148">
        <f t="shared" si="3"/>
        <v>2360000</v>
      </c>
      <c r="M44" s="147">
        <f t="shared" si="4"/>
        <v>1640910.843373494</v>
      </c>
    </row>
    <row r="45" spans="1:13" x14ac:dyDescent="0.2">
      <c r="A45" s="1"/>
      <c r="B45" s="145" t="s">
        <v>253</v>
      </c>
      <c r="C45" s="145" t="s">
        <v>1708</v>
      </c>
      <c r="D45" s="1">
        <v>6.64</v>
      </c>
      <c r="E45" s="149">
        <v>260</v>
      </c>
      <c r="F45" s="149">
        <v>8</v>
      </c>
      <c r="G45" s="149">
        <f t="shared" si="0"/>
        <v>2080</v>
      </c>
      <c r="H45" s="145">
        <f t="shared" si="1"/>
        <v>313.25301204819277</v>
      </c>
      <c r="I45" s="3">
        <v>3372</v>
      </c>
      <c r="J45" s="146">
        <f t="shared" si="2"/>
        <v>1056289.156626506</v>
      </c>
      <c r="K45" s="147">
        <v>20000</v>
      </c>
      <c r="L45" s="148">
        <f t="shared" si="3"/>
        <v>5200000</v>
      </c>
      <c r="M45" s="147">
        <f t="shared" si="4"/>
        <v>4143710.8433734942</v>
      </c>
    </row>
    <row r="46" spans="1:13" x14ac:dyDescent="0.2">
      <c r="A46" s="1"/>
      <c r="B46" s="145" t="s">
        <v>253</v>
      </c>
      <c r="C46" s="145" t="s">
        <v>1709</v>
      </c>
      <c r="D46" s="1">
        <v>6.64</v>
      </c>
      <c r="E46" s="149">
        <v>201</v>
      </c>
      <c r="F46" s="149">
        <v>16</v>
      </c>
      <c r="G46" s="149">
        <f t="shared" si="0"/>
        <v>3216</v>
      </c>
      <c r="H46" s="145">
        <f t="shared" si="1"/>
        <v>484.3373493975904</v>
      </c>
      <c r="I46" s="3">
        <v>3372</v>
      </c>
      <c r="J46" s="146">
        <f t="shared" si="2"/>
        <v>1633185.5421686748</v>
      </c>
      <c r="K46" s="147">
        <v>20000</v>
      </c>
      <c r="L46" s="148">
        <f t="shared" si="3"/>
        <v>4020000</v>
      </c>
      <c r="M46" s="147">
        <f t="shared" si="4"/>
        <v>2386814.457831325</v>
      </c>
    </row>
    <row r="47" spans="1:13" x14ac:dyDescent="0.2">
      <c r="A47" s="1"/>
      <c r="B47" s="145" t="s">
        <v>1710</v>
      </c>
      <c r="C47" s="145" t="s">
        <v>1711</v>
      </c>
      <c r="D47" s="1">
        <v>6.64</v>
      </c>
      <c r="E47" s="149">
        <v>335</v>
      </c>
      <c r="F47" s="149">
        <v>16</v>
      </c>
      <c r="G47" s="149">
        <f t="shared" si="0"/>
        <v>5360</v>
      </c>
      <c r="H47" s="145">
        <f t="shared" si="1"/>
        <v>807.22891566265059</v>
      </c>
      <c r="I47" s="3">
        <v>3372</v>
      </c>
      <c r="J47" s="146">
        <f t="shared" si="2"/>
        <v>2721975.9036144582</v>
      </c>
      <c r="K47" s="147">
        <v>20000</v>
      </c>
      <c r="L47" s="17">
        <f t="shared" si="3"/>
        <v>6700000</v>
      </c>
      <c r="M47" s="17">
        <f t="shared" si="4"/>
        <v>3978024.0963855418</v>
      </c>
    </row>
    <row r="48" spans="1:13" x14ac:dyDescent="0.2">
      <c r="A48" s="1"/>
      <c r="B48" s="1"/>
      <c r="C48" s="1"/>
      <c r="D48" s="1">
        <v>6.64</v>
      </c>
      <c r="E48" s="92">
        <f>SUM(E3:E47)</f>
        <v>9714</v>
      </c>
      <c r="F48" s="1"/>
      <c r="G48" s="1"/>
      <c r="H48" s="173">
        <f>SUM(H3:H47)</f>
        <v>35122.289156626495</v>
      </c>
      <c r="I48" s="3">
        <v>3372</v>
      </c>
      <c r="J48" s="174">
        <f>SUM(J3:J47)</f>
        <v>118432359.03614455</v>
      </c>
      <c r="K48" s="1"/>
      <c r="L48" s="40">
        <f>SUM(L3:L47)</f>
        <v>218680000</v>
      </c>
      <c r="M48" s="20">
        <f>SUM(M3:M47)</f>
        <v>100247640.96385542</v>
      </c>
    </row>
    <row r="54" spans="9:10" x14ac:dyDescent="0.2">
      <c r="I54" s="3" t="s">
        <v>25</v>
      </c>
      <c r="J54" s="169">
        <v>118432359</v>
      </c>
    </row>
    <row r="55" spans="9:10" x14ac:dyDescent="0.2">
      <c r="I55" s="3" t="s">
        <v>27</v>
      </c>
      <c r="J55" s="9">
        <v>4200000</v>
      </c>
    </row>
    <row r="56" spans="9:10" x14ac:dyDescent="0.2">
      <c r="I56" s="3" t="s">
        <v>26</v>
      </c>
      <c r="J56" s="3">
        <v>3745000</v>
      </c>
    </row>
    <row r="57" spans="9:10" x14ac:dyDescent="0.2">
      <c r="I57" s="3" t="s">
        <v>33</v>
      </c>
      <c r="J57" s="3">
        <v>4000000</v>
      </c>
    </row>
    <row r="58" spans="9:10" x14ac:dyDescent="0.2">
      <c r="I58" s="3" t="s">
        <v>31</v>
      </c>
      <c r="J58" s="3">
        <v>8000000</v>
      </c>
    </row>
    <row r="59" spans="9:10" x14ac:dyDescent="0.2">
      <c r="I59" s="3" t="s">
        <v>36</v>
      </c>
      <c r="J59" s="3">
        <v>3410000</v>
      </c>
    </row>
    <row r="60" spans="9:10" x14ac:dyDescent="0.2">
      <c r="I60" s="3" t="s">
        <v>29</v>
      </c>
      <c r="J60" s="23">
        <v>13500000</v>
      </c>
    </row>
    <row r="61" spans="9:10" x14ac:dyDescent="0.2">
      <c r="I61" s="3" t="s">
        <v>34</v>
      </c>
      <c r="J61" s="127">
        <f>SUM(J54:J60)</f>
        <v>155287359</v>
      </c>
    </row>
    <row r="62" spans="9:10" x14ac:dyDescent="0.2">
      <c r="I62" s="3" t="s">
        <v>6</v>
      </c>
      <c r="J62" s="116">
        <v>218680000</v>
      </c>
    </row>
    <row r="63" spans="9:10" ht="18" x14ac:dyDescent="0.35">
      <c r="I63" s="3" t="s">
        <v>35</v>
      </c>
      <c r="J63" s="21">
        <f>J62-J61</f>
        <v>63392641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56"/>
  <sheetViews>
    <sheetView topLeftCell="A24" workbookViewId="0">
      <selection activeCell="H7" sqref="H7"/>
    </sheetView>
  </sheetViews>
  <sheetFormatPr baseColWidth="10" defaultRowHeight="15" x14ac:dyDescent="0.2"/>
  <cols>
    <col min="2" max="2" width="13.6640625" customWidth="1"/>
    <col min="3" max="3" width="20.33203125" customWidth="1"/>
    <col min="7" max="7" width="10.83203125" customWidth="1"/>
    <col min="10" max="10" width="15.83203125" customWidth="1"/>
    <col min="12" max="12" width="14.33203125" customWidth="1"/>
    <col min="13" max="13" width="14.83203125" customWidth="1"/>
  </cols>
  <sheetData>
    <row r="1" spans="1:13" ht="31" x14ac:dyDescent="0.35">
      <c r="A1" s="56" t="s">
        <v>1745</v>
      </c>
      <c r="B1" s="56"/>
      <c r="C1" s="56"/>
      <c r="D1" s="56"/>
      <c r="E1" s="56"/>
      <c r="F1" s="57"/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145" t="s">
        <v>1712</v>
      </c>
      <c r="B3" s="145" t="s">
        <v>7</v>
      </c>
      <c r="C3" s="145" t="s">
        <v>1713</v>
      </c>
      <c r="D3" s="1">
        <v>6.67</v>
      </c>
      <c r="E3" s="149">
        <v>200</v>
      </c>
      <c r="F3" s="149">
        <v>28</v>
      </c>
      <c r="G3" s="149">
        <f t="shared" ref="G3:G32" si="0">E3*F3</f>
        <v>5600</v>
      </c>
      <c r="H3" s="145">
        <f t="shared" ref="H3:H32" si="1">G3/D3</f>
        <v>839.58020989505246</v>
      </c>
      <c r="I3" s="3">
        <v>3385</v>
      </c>
      <c r="J3" s="146">
        <f t="shared" ref="J3:J32" si="2">F3/D3*I3*E3</f>
        <v>2841979.0104947523</v>
      </c>
      <c r="K3" s="147">
        <v>23000</v>
      </c>
      <c r="L3" s="148">
        <f t="shared" ref="L3:L32" si="3">K3*E3</f>
        <v>4600000</v>
      </c>
      <c r="M3" s="147">
        <f t="shared" ref="M3:M32" si="4">L3-J3</f>
        <v>1758020.9895052477</v>
      </c>
    </row>
    <row r="4" spans="1:13" x14ac:dyDescent="0.2">
      <c r="A4" s="145"/>
      <c r="B4" s="145" t="s">
        <v>253</v>
      </c>
      <c r="C4" s="145" t="s">
        <v>1714</v>
      </c>
      <c r="D4" s="1">
        <v>6.67</v>
      </c>
      <c r="E4" s="149">
        <v>200</v>
      </c>
      <c r="F4" s="149">
        <v>28</v>
      </c>
      <c r="G4" s="149">
        <f t="shared" si="0"/>
        <v>5600</v>
      </c>
      <c r="H4" s="145">
        <f t="shared" si="1"/>
        <v>839.58020989505246</v>
      </c>
      <c r="I4" s="3">
        <v>3385</v>
      </c>
      <c r="J4" s="146">
        <f t="shared" si="2"/>
        <v>2841979.0104947523</v>
      </c>
      <c r="K4" s="147">
        <v>23000</v>
      </c>
      <c r="L4" s="148">
        <f t="shared" si="3"/>
        <v>4600000</v>
      </c>
      <c r="M4" s="147">
        <f t="shared" si="4"/>
        <v>1758020.9895052477</v>
      </c>
    </row>
    <row r="5" spans="1:13" x14ac:dyDescent="0.2">
      <c r="A5" s="1"/>
      <c r="B5" s="145" t="s">
        <v>253</v>
      </c>
      <c r="C5" s="145" t="s">
        <v>1715</v>
      </c>
      <c r="D5" s="1">
        <v>6.67</v>
      </c>
      <c r="E5" s="149">
        <v>200</v>
      </c>
      <c r="F5" s="149">
        <v>27.5</v>
      </c>
      <c r="G5" s="149">
        <f t="shared" si="0"/>
        <v>5500</v>
      </c>
      <c r="H5" s="145">
        <f t="shared" si="1"/>
        <v>824.58770614692651</v>
      </c>
      <c r="I5" s="3">
        <v>3385</v>
      </c>
      <c r="J5" s="146">
        <f t="shared" si="2"/>
        <v>2791229.3853073465</v>
      </c>
      <c r="K5" s="147">
        <v>23000</v>
      </c>
      <c r="L5" s="148">
        <f t="shared" si="3"/>
        <v>4600000</v>
      </c>
      <c r="M5" s="147">
        <f t="shared" si="4"/>
        <v>1808770.6146926535</v>
      </c>
    </row>
    <row r="6" spans="1:13" x14ac:dyDescent="0.2">
      <c r="A6" s="1"/>
      <c r="B6" s="145" t="s">
        <v>253</v>
      </c>
      <c r="C6" s="145" t="s">
        <v>1716</v>
      </c>
      <c r="D6" s="1">
        <v>6.67</v>
      </c>
      <c r="E6" s="149">
        <v>200</v>
      </c>
      <c r="F6" s="149">
        <v>28</v>
      </c>
      <c r="G6" s="149">
        <f t="shared" si="0"/>
        <v>5600</v>
      </c>
      <c r="H6" s="145">
        <f t="shared" si="1"/>
        <v>839.58020989505246</v>
      </c>
      <c r="I6" s="3">
        <v>3385</v>
      </c>
      <c r="J6" s="146">
        <f t="shared" si="2"/>
        <v>2841979.0104947523</v>
      </c>
      <c r="K6" s="147">
        <v>23000</v>
      </c>
      <c r="L6" s="148">
        <f t="shared" si="3"/>
        <v>4600000</v>
      </c>
      <c r="M6" s="147">
        <f t="shared" si="4"/>
        <v>1758020.9895052477</v>
      </c>
    </row>
    <row r="7" spans="1:13" x14ac:dyDescent="0.2">
      <c r="A7" s="1"/>
      <c r="B7" s="145" t="s">
        <v>253</v>
      </c>
      <c r="C7" s="145" t="s">
        <v>1717</v>
      </c>
      <c r="D7" s="1">
        <v>6.67</v>
      </c>
      <c r="E7" s="149">
        <v>200</v>
      </c>
      <c r="F7" s="149">
        <v>26</v>
      </c>
      <c r="G7" s="149">
        <f t="shared" si="0"/>
        <v>5200</v>
      </c>
      <c r="H7" s="145">
        <f t="shared" si="1"/>
        <v>779.61019490254876</v>
      </c>
      <c r="I7" s="3">
        <v>3385</v>
      </c>
      <c r="J7" s="146">
        <f t="shared" si="2"/>
        <v>2638980.5097451275</v>
      </c>
      <c r="K7" s="147">
        <v>22000</v>
      </c>
      <c r="L7" s="148">
        <f t="shared" si="3"/>
        <v>4400000</v>
      </c>
      <c r="M7" s="147">
        <f t="shared" si="4"/>
        <v>1761019.4902548725</v>
      </c>
    </row>
    <row r="8" spans="1:13" x14ac:dyDescent="0.2">
      <c r="A8" s="1"/>
      <c r="B8" s="145"/>
      <c r="C8" s="1" t="s">
        <v>1718</v>
      </c>
      <c r="D8" s="1">
        <v>6.67</v>
      </c>
      <c r="E8" s="149">
        <v>200</v>
      </c>
      <c r="F8" s="149">
        <v>27</v>
      </c>
      <c r="G8" s="149">
        <f t="shared" si="0"/>
        <v>5400</v>
      </c>
      <c r="H8" s="145">
        <f t="shared" si="1"/>
        <v>809.59520239880055</v>
      </c>
      <c r="I8" s="3">
        <v>3385</v>
      </c>
      <c r="J8" s="146">
        <f t="shared" si="2"/>
        <v>2740479.7601199402</v>
      </c>
      <c r="K8" s="147">
        <v>23000</v>
      </c>
      <c r="L8" s="148">
        <f t="shared" si="3"/>
        <v>4600000</v>
      </c>
      <c r="M8" s="147">
        <f t="shared" si="4"/>
        <v>1859520.2398800598</v>
      </c>
    </row>
    <row r="9" spans="1:13" x14ac:dyDescent="0.2">
      <c r="A9" s="1"/>
      <c r="B9" s="1"/>
      <c r="C9" s="145" t="s">
        <v>1719</v>
      </c>
      <c r="D9" s="1">
        <v>6.67</v>
      </c>
      <c r="E9" s="149">
        <v>200</v>
      </c>
      <c r="F9" s="149">
        <v>27</v>
      </c>
      <c r="G9" s="149">
        <f t="shared" si="0"/>
        <v>5400</v>
      </c>
      <c r="H9" s="145">
        <f t="shared" si="1"/>
        <v>809.59520239880055</v>
      </c>
      <c r="I9" s="3">
        <v>3385</v>
      </c>
      <c r="J9" s="146">
        <f t="shared" si="2"/>
        <v>2740479.7601199402</v>
      </c>
      <c r="K9" s="147">
        <v>23000</v>
      </c>
      <c r="L9" s="148">
        <f t="shared" si="3"/>
        <v>4600000</v>
      </c>
      <c r="M9" s="147">
        <f t="shared" si="4"/>
        <v>1859520.2398800598</v>
      </c>
    </row>
    <row r="10" spans="1:13" x14ac:dyDescent="0.2">
      <c r="A10" s="1"/>
      <c r="B10" s="145" t="s">
        <v>7</v>
      </c>
      <c r="C10" s="145" t="s">
        <v>1726</v>
      </c>
      <c r="D10" s="1">
        <v>6.67</v>
      </c>
      <c r="E10" s="149">
        <v>200</v>
      </c>
      <c r="F10" s="149">
        <v>24</v>
      </c>
      <c r="G10" s="149">
        <f t="shared" si="0"/>
        <v>4800</v>
      </c>
      <c r="H10" s="145">
        <f t="shared" si="1"/>
        <v>719.64017991004494</v>
      </c>
      <c r="I10" s="3">
        <v>3385</v>
      </c>
      <c r="J10" s="146">
        <f t="shared" si="2"/>
        <v>2435982.0089955023</v>
      </c>
      <c r="K10" s="147">
        <v>22000</v>
      </c>
      <c r="L10" s="148">
        <f t="shared" si="3"/>
        <v>4400000</v>
      </c>
      <c r="M10" s="147">
        <f t="shared" si="4"/>
        <v>1964017.9910044977</v>
      </c>
    </row>
    <row r="11" spans="1:13" x14ac:dyDescent="0.2">
      <c r="A11" s="1"/>
      <c r="B11" s="1"/>
      <c r="C11" s="145" t="s">
        <v>1727</v>
      </c>
      <c r="D11" s="1">
        <v>6.67</v>
      </c>
      <c r="E11" s="149">
        <v>180</v>
      </c>
      <c r="F11" s="149">
        <v>24</v>
      </c>
      <c r="G11" s="149">
        <f t="shared" si="0"/>
        <v>4320</v>
      </c>
      <c r="H11" s="145">
        <f t="shared" si="1"/>
        <v>647.67616191904051</v>
      </c>
      <c r="I11" s="3">
        <v>3385</v>
      </c>
      <c r="J11" s="146">
        <f t="shared" si="2"/>
        <v>2192383.808095952</v>
      </c>
      <c r="K11" s="147">
        <v>22000</v>
      </c>
      <c r="L11" s="148">
        <f t="shared" si="3"/>
        <v>3960000</v>
      </c>
      <c r="M11" s="147">
        <f t="shared" si="4"/>
        <v>1767616.191904048</v>
      </c>
    </row>
    <row r="12" spans="1:13" x14ac:dyDescent="0.2">
      <c r="A12" s="1"/>
      <c r="B12" s="1"/>
      <c r="C12" s="145" t="s">
        <v>1193</v>
      </c>
      <c r="D12" s="1">
        <v>6.67</v>
      </c>
      <c r="E12" s="149">
        <v>163</v>
      </c>
      <c r="F12" s="149">
        <v>24</v>
      </c>
      <c r="G12" s="149">
        <f t="shared" si="0"/>
        <v>3912</v>
      </c>
      <c r="H12" s="145">
        <f t="shared" si="1"/>
        <v>586.50674662668666</v>
      </c>
      <c r="I12" s="3">
        <v>3385</v>
      </c>
      <c r="J12" s="146">
        <f t="shared" si="2"/>
        <v>1985325.3373313341</v>
      </c>
      <c r="K12" s="147">
        <v>22000</v>
      </c>
      <c r="L12" s="148">
        <f t="shared" si="3"/>
        <v>3586000</v>
      </c>
      <c r="M12" s="147">
        <f t="shared" si="4"/>
        <v>1600674.6626686659</v>
      </c>
    </row>
    <row r="13" spans="1:13" x14ac:dyDescent="0.2">
      <c r="A13" s="1"/>
      <c r="B13" s="1"/>
      <c r="C13" s="145" t="s">
        <v>1728</v>
      </c>
      <c r="D13" s="1">
        <v>6.67</v>
      </c>
      <c r="E13" s="149">
        <v>200</v>
      </c>
      <c r="F13" s="149">
        <v>24</v>
      </c>
      <c r="G13" s="149">
        <f t="shared" si="0"/>
        <v>4800</v>
      </c>
      <c r="H13" s="145">
        <f t="shared" si="1"/>
        <v>719.64017991004494</v>
      </c>
      <c r="I13" s="3">
        <v>3385</v>
      </c>
      <c r="J13" s="146">
        <f t="shared" si="2"/>
        <v>2435982.0089955023</v>
      </c>
      <c r="K13" s="147">
        <v>22000</v>
      </c>
      <c r="L13" s="148">
        <f t="shared" si="3"/>
        <v>4400000</v>
      </c>
      <c r="M13" s="147">
        <f t="shared" si="4"/>
        <v>1964017.9910044977</v>
      </c>
    </row>
    <row r="14" spans="1:13" x14ac:dyDescent="0.2">
      <c r="A14" s="1"/>
      <c r="B14" s="1" t="s">
        <v>1729</v>
      </c>
      <c r="C14" s="145" t="s">
        <v>1730</v>
      </c>
      <c r="D14" s="1">
        <v>6.67</v>
      </c>
      <c r="E14" s="149">
        <v>200</v>
      </c>
      <c r="F14" s="149">
        <v>25</v>
      </c>
      <c r="G14" s="149">
        <f t="shared" si="0"/>
        <v>5000</v>
      </c>
      <c r="H14" s="145">
        <f t="shared" si="1"/>
        <v>749.62518740629685</v>
      </c>
      <c r="I14" s="3">
        <v>3385</v>
      </c>
      <c r="J14" s="146">
        <f t="shared" si="2"/>
        <v>2537481.2593703149</v>
      </c>
      <c r="K14" s="147">
        <v>22000</v>
      </c>
      <c r="L14" s="148">
        <f t="shared" si="3"/>
        <v>4400000</v>
      </c>
      <c r="M14" s="147">
        <f t="shared" si="4"/>
        <v>1862518.7406296851</v>
      </c>
    </row>
    <row r="15" spans="1:13" x14ac:dyDescent="0.2">
      <c r="A15" s="1"/>
      <c r="B15" s="1"/>
      <c r="C15" s="145" t="s">
        <v>1731</v>
      </c>
      <c r="D15" s="1">
        <v>6.67</v>
      </c>
      <c r="E15" s="149">
        <v>200</v>
      </c>
      <c r="F15" s="149">
        <v>27</v>
      </c>
      <c r="G15" s="149">
        <f t="shared" si="0"/>
        <v>5400</v>
      </c>
      <c r="H15" s="145">
        <f t="shared" si="1"/>
        <v>809.59520239880055</v>
      </c>
      <c r="I15" s="3">
        <v>3385</v>
      </c>
      <c r="J15" s="146">
        <f t="shared" si="2"/>
        <v>2740479.7601199402</v>
      </c>
      <c r="K15" s="147">
        <v>23000</v>
      </c>
      <c r="L15" s="148">
        <f t="shared" si="3"/>
        <v>4600000</v>
      </c>
      <c r="M15" s="147">
        <f t="shared" si="4"/>
        <v>1859520.2398800598</v>
      </c>
    </row>
    <row r="16" spans="1:13" x14ac:dyDescent="0.2">
      <c r="A16" s="1"/>
      <c r="B16" s="1" t="s">
        <v>1729</v>
      </c>
      <c r="C16" s="145" t="s">
        <v>1732</v>
      </c>
      <c r="D16" s="1">
        <v>6.67</v>
      </c>
      <c r="E16" s="149">
        <v>200</v>
      </c>
      <c r="F16" s="149">
        <v>21.5</v>
      </c>
      <c r="G16" s="149">
        <f t="shared" si="0"/>
        <v>4300</v>
      </c>
      <c r="H16" s="145">
        <f t="shared" si="1"/>
        <v>644.67766116941527</v>
      </c>
      <c r="I16" s="3">
        <v>3385</v>
      </c>
      <c r="J16" s="146">
        <f t="shared" si="2"/>
        <v>2182233.8830584707</v>
      </c>
      <c r="K16" s="147">
        <v>20000</v>
      </c>
      <c r="L16" s="148">
        <f t="shared" si="3"/>
        <v>4000000</v>
      </c>
      <c r="M16" s="147">
        <f t="shared" si="4"/>
        <v>1817766.1169415293</v>
      </c>
    </row>
    <row r="17" spans="1:13" x14ac:dyDescent="0.2">
      <c r="A17" s="1"/>
      <c r="B17" s="1" t="s">
        <v>253</v>
      </c>
      <c r="C17" s="145" t="s">
        <v>1733</v>
      </c>
      <c r="D17" s="1">
        <v>6.67</v>
      </c>
      <c r="E17" s="149">
        <v>200</v>
      </c>
      <c r="F17" s="149">
        <v>27.5</v>
      </c>
      <c r="G17" s="149">
        <f t="shared" si="0"/>
        <v>5500</v>
      </c>
      <c r="H17" s="145">
        <f t="shared" si="1"/>
        <v>824.58770614692651</v>
      </c>
      <c r="I17" s="3">
        <v>3385</v>
      </c>
      <c r="J17" s="146">
        <f t="shared" si="2"/>
        <v>2791229.3853073465</v>
      </c>
      <c r="K17" s="147">
        <v>23000</v>
      </c>
      <c r="L17" s="148">
        <f t="shared" si="3"/>
        <v>4600000</v>
      </c>
      <c r="M17" s="147">
        <f t="shared" si="4"/>
        <v>1808770.6146926535</v>
      </c>
    </row>
    <row r="18" spans="1:13" x14ac:dyDescent="0.2">
      <c r="A18" s="1"/>
      <c r="B18" s="1" t="s">
        <v>1729</v>
      </c>
      <c r="C18" s="145" t="s">
        <v>1734</v>
      </c>
      <c r="D18" s="1">
        <v>6.67</v>
      </c>
      <c r="E18" s="149">
        <v>202</v>
      </c>
      <c r="F18" s="149">
        <v>22.5</v>
      </c>
      <c r="G18" s="149">
        <f t="shared" si="0"/>
        <v>4545</v>
      </c>
      <c r="H18" s="145">
        <f t="shared" si="1"/>
        <v>681.40929535232385</v>
      </c>
      <c r="I18" s="3">
        <v>3385</v>
      </c>
      <c r="J18" s="146">
        <f t="shared" si="2"/>
        <v>2306570.4647676162</v>
      </c>
      <c r="K18" s="147">
        <v>20000</v>
      </c>
      <c r="L18" s="148">
        <f t="shared" si="3"/>
        <v>4040000</v>
      </c>
      <c r="M18" s="147">
        <f t="shared" si="4"/>
        <v>1733429.5352323838</v>
      </c>
    </row>
    <row r="19" spans="1:13" x14ac:dyDescent="0.2">
      <c r="A19" s="1"/>
      <c r="B19" s="1" t="s">
        <v>253</v>
      </c>
      <c r="C19" s="145" t="s">
        <v>999</v>
      </c>
      <c r="D19" s="1">
        <v>6.67</v>
      </c>
      <c r="E19" s="149">
        <v>210</v>
      </c>
      <c r="F19" s="149">
        <v>25</v>
      </c>
      <c r="G19" s="149">
        <f t="shared" si="0"/>
        <v>5250</v>
      </c>
      <c r="H19" s="145">
        <f t="shared" si="1"/>
        <v>787.10644677661173</v>
      </c>
      <c r="I19" s="3">
        <v>3385</v>
      </c>
      <c r="J19" s="146">
        <f t="shared" si="2"/>
        <v>2664355.3223388307</v>
      </c>
      <c r="K19" s="147">
        <v>22000</v>
      </c>
      <c r="L19" s="148">
        <f t="shared" si="3"/>
        <v>4620000</v>
      </c>
      <c r="M19" s="147">
        <f t="shared" si="4"/>
        <v>1955644.6776611693</v>
      </c>
    </row>
    <row r="20" spans="1:13" x14ac:dyDescent="0.2">
      <c r="A20" s="1"/>
      <c r="B20" s="1"/>
      <c r="C20" s="145" t="s">
        <v>253</v>
      </c>
      <c r="D20" s="1">
        <v>6.67</v>
      </c>
      <c r="E20" s="149">
        <v>210</v>
      </c>
      <c r="F20" s="149">
        <v>25</v>
      </c>
      <c r="G20" s="149">
        <f t="shared" si="0"/>
        <v>5250</v>
      </c>
      <c r="H20" s="145">
        <f t="shared" si="1"/>
        <v>787.10644677661173</v>
      </c>
      <c r="I20" s="3">
        <v>3385</v>
      </c>
      <c r="J20" s="146">
        <f t="shared" si="2"/>
        <v>2664355.3223388307</v>
      </c>
      <c r="K20" s="147">
        <v>22000</v>
      </c>
      <c r="L20" s="148">
        <f t="shared" si="3"/>
        <v>4620000</v>
      </c>
      <c r="M20" s="147">
        <f t="shared" si="4"/>
        <v>1955644.6776611693</v>
      </c>
    </row>
    <row r="21" spans="1:13" x14ac:dyDescent="0.2">
      <c r="A21" s="1"/>
      <c r="B21" s="1" t="s">
        <v>1018</v>
      </c>
      <c r="C21" s="145" t="s">
        <v>1735</v>
      </c>
      <c r="D21" s="1">
        <v>6.67</v>
      </c>
      <c r="E21" s="149">
        <v>300</v>
      </c>
      <c r="F21" s="149">
        <v>12</v>
      </c>
      <c r="G21" s="149">
        <f t="shared" si="0"/>
        <v>3600</v>
      </c>
      <c r="H21" s="145">
        <f t="shared" si="1"/>
        <v>539.7301349325337</v>
      </c>
      <c r="I21" s="3">
        <v>3385</v>
      </c>
      <c r="J21" s="146">
        <f t="shared" si="2"/>
        <v>1826986.5067466267</v>
      </c>
      <c r="K21" s="147">
        <v>13000</v>
      </c>
      <c r="L21" s="148">
        <f t="shared" si="3"/>
        <v>3900000</v>
      </c>
      <c r="M21" s="147">
        <f t="shared" si="4"/>
        <v>2073013.4932533733</v>
      </c>
    </row>
    <row r="22" spans="1:13" x14ac:dyDescent="0.2">
      <c r="A22" s="1"/>
      <c r="B22" s="1" t="s">
        <v>1729</v>
      </c>
      <c r="C22" s="145" t="s">
        <v>1736</v>
      </c>
      <c r="D22" s="1">
        <v>6.67</v>
      </c>
      <c r="E22" s="149">
        <v>300</v>
      </c>
      <c r="F22" s="149">
        <v>28</v>
      </c>
      <c r="G22" s="149">
        <f t="shared" si="0"/>
        <v>8400</v>
      </c>
      <c r="H22" s="145">
        <f t="shared" si="1"/>
        <v>1259.3703148425786</v>
      </c>
      <c r="I22" s="3">
        <v>3385</v>
      </c>
      <c r="J22" s="146">
        <f t="shared" si="2"/>
        <v>4262968.5157421287</v>
      </c>
      <c r="K22" s="147">
        <v>23000</v>
      </c>
      <c r="L22" s="148">
        <f t="shared" si="3"/>
        <v>6900000</v>
      </c>
      <c r="M22" s="147">
        <f t="shared" si="4"/>
        <v>2637031.4842578713</v>
      </c>
    </row>
    <row r="23" spans="1:13" x14ac:dyDescent="0.2">
      <c r="A23" s="1"/>
      <c r="B23" s="1" t="s">
        <v>1729</v>
      </c>
      <c r="C23" s="145" t="s">
        <v>1737</v>
      </c>
      <c r="D23" s="1">
        <v>6.67</v>
      </c>
      <c r="E23" s="149">
        <v>1500</v>
      </c>
      <c r="F23" s="149">
        <v>20</v>
      </c>
      <c r="G23" s="149">
        <f t="shared" si="0"/>
        <v>30000</v>
      </c>
      <c r="H23" s="145">
        <f t="shared" si="1"/>
        <v>4497.7511244377811</v>
      </c>
      <c r="I23" s="3">
        <v>3385</v>
      </c>
      <c r="J23" s="146">
        <f t="shared" si="2"/>
        <v>15224887.556221889</v>
      </c>
      <c r="K23" s="147">
        <v>22000</v>
      </c>
      <c r="L23" s="148">
        <f t="shared" si="3"/>
        <v>33000000</v>
      </c>
      <c r="M23" s="147">
        <f t="shared" si="4"/>
        <v>17775112.443778113</v>
      </c>
    </row>
    <row r="24" spans="1:13" x14ac:dyDescent="0.2">
      <c r="A24" s="1"/>
      <c r="B24" s="1" t="s">
        <v>1729</v>
      </c>
      <c r="C24" s="145" t="s">
        <v>1738</v>
      </c>
      <c r="D24" s="1">
        <v>6.67</v>
      </c>
      <c r="E24" s="149">
        <v>346</v>
      </c>
      <c r="F24" s="149">
        <v>18</v>
      </c>
      <c r="G24" s="149">
        <f t="shared" si="0"/>
        <v>6228</v>
      </c>
      <c r="H24" s="145">
        <f t="shared" si="1"/>
        <v>933.73313343328334</v>
      </c>
      <c r="I24" s="3">
        <v>3385</v>
      </c>
      <c r="J24" s="146">
        <f t="shared" si="2"/>
        <v>3160686.6566716642</v>
      </c>
      <c r="K24" s="147">
        <v>20000</v>
      </c>
      <c r="L24" s="148">
        <f t="shared" si="3"/>
        <v>6920000</v>
      </c>
      <c r="M24" s="147">
        <f t="shared" si="4"/>
        <v>3759313.3433283358</v>
      </c>
    </row>
    <row r="25" spans="1:13" x14ac:dyDescent="0.2">
      <c r="A25" s="1"/>
      <c r="B25" s="1" t="s">
        <v>253</v>
      </c>
      <c r="C25" s="145" t="s">
        <v>1050</v>
      </c>
      <c r="D25" s="1">
        <v>6.67</v>
      </c>
      <c r="E25" s="149">
        <v>260</v>
      </c>
      <c r="F25" s="149">
        <v>23</v>
      </c>
      <c r="G25" s="149">
        <f t="shared" si="0"/>
        <v>5980</v>
      </c>
      <c r="H25" s="145">
        <f t="shared" si="1"/>
        <v>896.55172413793105</v>
      </c>
      <c r="I25" s="3">
        <v>3385</v>
      </c>
      <c r="J25" s="146">
        <f t="shared" si="2"/>
        <v>3034827.5862068967</v>
      </c>
      <c r="K25" s="147">
        <v>22000</v>
      </c>
      <c r="L25" s="148">
        <f t="shared" si="3"/>
        <v>5720000</v>
      </c>
      <c r="M25" s="147">
        <f t="shared" si="4"/>
        <v>2685172.4137931033</v>
      </c>
    </row>
    <row r="26" spans="1:13" x14ac:dyDescent="0.2">
      <c r="A26" s="1"/>
      <c r="B26" s="1" t="s">
        <v>1070</v>
      </c>
      <c r="C26" s="145" t="s">
        <v>1739</v>
      </c>
      <c r="D26" s="1">
        <v>6.67</v>
      </c>
      <c r="E26" s="149">
        <v>400</v>
      </c>
      <c r="F26" s="149">
        <v>16</v>
      </c>
      <c r="G26" s="149">
        <f t="shared" si="0"/>
        <v>6400</v>
      </c>
      <c r="H26" s="145">
        <f t="shared" si="1"/>
        <v>959.52023988005999</v>
      </c>
      <c r="I26" s="3">
        <v>3385</v>
      </c>
      <c r="J26" s="146">
        <f t="shared" si="2"/>
        <v>3247976.0119940029</v>
      </c>
      <c r="K26" s="147">
        <v>15000</v>
      </c>
      <c r="L26" s="148">
        <f t="shared" si="3"/>
        <v>6000000</v>
      </c>
      <c r="M26" s="147">
        <f t="shared" si="4"/>
        <v>2752023.9880059971</v>
      </c>
    </row>
    <row r="27" spans="1:13" x14ac:dyDescent="0.2">
      <c r="A27" s="1"/>
      <c r="B27" s="1" t="s">
        <v>253</v>
      </c>
      <c r="C27" s="145" t="s">
        <v>1744</v>
      </c>
      <c r="D27" s="1">
        <v>6.67</v>
      </c>
      <c r="E27" s="149">
        <v>200</v>
      </c>
      <c r="F27" s="149">
        <v>18</v>
      </c>
      <c r="G27" s="149">
        <f t="shared" si="0"/>
        <v>3600</v>
      </c>
      <c r="H27" s="145">
        <f t="shared" si="1"/>
        <v>539.7301349325337</v>
      </c>
      <c r="I27" s="3">
        <v>3385</v>
      </c>
      <c r="J27" s="146">
        <f t="shared" si="2"/>
        <v>1826986.5067466267</v>
      </c>
      <c r="K27" s="147">
        <v>18000</v>
      </c>
      <c r="L27" s="148">
        <f t="shared" si="3"/>
        <v>3600000</v>
      </c>
      <c r="M27" s="147">
        <f t="shared" si="4"/>
        <v>1773013.4932533733</v>
      </c>
    </row>
    <row r="28" spans="1:13" x14ac:dyDescent="0.2">
      <c r="A28" s="1"/>
      <c r="B28" s="1" t="s">
        <v>1729</v>
      </c>
      <c r="C28" s="145" t="s">
        <v>1740</v>
      </c>
      <c r="D28" s="1">
        <v>6.67</v>
      </c>
      <c r="E28" s="149">
        <v>400</v>
      </c>
      <c r="F28" s="149">
        <v>27</v>
      </c>
      <c r="G28" s="149">
        <f t="shared" si="0"/>
        <v>10800</v>
      </c>
      <c r="H28" s="145">
        <f t="shared" si="1"/>
        <v>1619.1904047976011</v>
      </c>
      <c r="I28" s="3">
        <v>3385</v>
      </c>
      <c r="J28" s="146">
        <f t="shared" si="2"/>
        <v>5480959.5202398803</v>
      </c>
      <c r="K28" s="147">
        <v>22000</v>
      </c>
      <c r="L28" s="148">
        <f t="shared" si="3"/>
        <v>8800000</v>
      </c>
      <c r="M28" s="147">
        <f t="shared" si="4"/>
        <v>3319040.4797601197</v>
      </c>
    </row>
    <row r="29" spans="1:13" x14ac:dyDescent="0.2">
      <c r="A29" s="1"/>
      <c r="B29" s="1" t="s">
        <v>253</v>
      </c>
      <c r="C29" s="145" t="s">
        <v>253</v>
      </c>
      <c r="D29" s="1">
        <v>6.67</v>
      </c>
      <c r="E29" s="149">
        <v>200</v>
      </c>
      <c r="F29" s="149">
        <v>27</v>
      </c>
      <c r="G29" s="149">
        <f t="shared" si="0"/>
        <v>5400</v>
      </c>
      <c r="H29" s="145">
        <f t="shared" si="1"/>
        <v>809.59520239880055</v>
      </c>
      <c r="I29" s="3">
        <v>3385</v>
      </c>
      <c r="J29" s="146">
        <f t="shared" si="2"/>
        <v>2740479.7601199402</v>
      </c>
      <c r="K29" s="147">
        <v>22000</v>
      </c>
      <c r="L29" s="148">
        <f t="shared" si="3"/>
        <v>4400000</v>
      </c>
      <c r="M29" s="147">
        <f t="shared" si="4"/>
        <v>1659520.2398800598</v>
      </c>
    </row>
    <row r="30" spans="1:13" x14ac:dyDescent="0.2">
      <c r="A30" s="1"/>
      <c r="B30" s="1" t="s">
        <v>253</v>
      </c>
      <c r="C30" s="145" t="s">
        <v>1741</v>
      </c>
      <c r="D30" s="1">
        <v>6.67</v>
      </c>
      <c r="E30" s="149">
        <v>800</v>
      </c>
      <c r="F30" s="149">
        <v>22.5</v>
      </c>
      <c r="G30" s="149">
        <f t="shared" si="0"/>
        <v>18000</v>
      </c>
      <c r="H30" s="145">
        <f t="shared" si="1"/>
        <v>2698.6506746626687</v>
      </c>
      <c r="I30" s="3">
        <v>3385</v>
      </c>
      <c r="J30" s="146">
        <f t="shared" si="2"/>
        <v>9134932.5337331332</v>
      </c>
      <c r="K30" s="147">
        <v>20000</v>
      </c>
      <c r="L30" s="148">
        <f t="shared" si="3"/>
        <v>16000000</v>
      </c>
      <c r="M30" s="147">
        <f t="shared" si="4"/>
        <v>6865067.4662668668</v>
      </c>
    </row>
    <row r="31" spans="1:13" x14ac:dyDescent="0.2">
      <c r="A31" s="1"/>
      <c r="B31" s="1" t="s">
        <v>253</v>
      </c>
      <c r="C31" s="145" t="s">
        <v>1742</v>
      </c>
      <c r="D31" s="1">
        <v>6.67</v>
      </c>
      <c r="E31" s="149">
        <v>200</v>
      </c>
      <c r="F31" s="149">
        <v>26</v>
      </c>
      <c r="G31" s="149">
        <f t="shared" si="0"/>
        <v>5200</v>
      </c>
      <c r="H31" s="145">
        <f t="shared" si="1"/>
        <v>779.61019490254876</v>
      </c>
      <c r="I31" s="3">
        <v>3385</v>
      </c>
      <c r="J31" s="146">
        <f t="shared" si="2"/>
        <v>2638980.5097451275</v>
      </c>
      <c r="K31" s="147">
        <v>22000</v>
      </c>
      <c r="L31" s="148">
        <f t="shared" si="3"/>
        <v>4400000</v>
      </c>
      <c r="M31" s="147">
        <f t="shared" si="4"/>
        <v>1761019.4902548725</v>
      </c>
    </row>
    <row r="32" spans="1:13" x14ac:dyDescent="0.2">
      <c r="A32" s="1"/>
      <c r="B32" s="1" t="s">
        <v>1743</v>
      </c>
      <c r="C32" s="145" t="s">
        <v>1686</v>
      </c>
      <c r="D32" s="1">
        <v>6.67</v>
      </c>
      <c r="E32" s="149">
        <v>900</v>
      </c>
      <c r="F32" s="149">
        <v>35</v>
      </c>
      <c r="G32" s="149">
        <f t="shared" si="0"/>
        <v>31500</v>
      </c>
      <c r="H32" s="145">
        <f t="shared" si="1"/>
        <v>4722.6386806596702</v>
      </c>
      <c r="I32" s="3">
        <v>3385</v>
      </c>
      <c r="J32" s="146">
        <f t="shared" si="2"/>
        <v>15986131.934032982</v>
      </c>
      <c r="K32" s="147">
        <v>35000</v>
      </c>
      <c r="L32" s="148">
        <f t="shared" si="3"/>
        <v>31500000</v>
      </c>
      <c r="M32" s="17">
        <f t="shared" si="4"/>
        <v>15513868.065967018</v>
      </c>
    </row>
    <row r="33" spans="1:16" x14ac:dyDescent="0.2">
      <c r="A33" s="1"/>
      <c r="B33" s="145" t="s">
        <v>1684</v>
      </c>
      <c r="C33" s="145" t="s">
        <v>1720</v>
      </c>
      <c r="D33" s="1">
        <v>6.67</v>
      </c>
      <c r="E33" s="149">
        <v>170</v>
      </c>
      <c r="F33" s="149">
        <v>20</v>
      </c>
      <c r="G33" s="149">
        <f t="shared" ref="G33:G40" si="5">E33*F33</f>
        <v>3400</v>
      </c>
      <c r="H33" s="145">
        <f t="shared" ref="H33:H40" si="6">G33/D33</f>
        <v>509.74512743628185</v>
      </c>
      <c r="I33" s="3">
        <v>3385</v>
      </c>
      <c r="J33" s="146">
        <f t="shared" ref="J33:J40" si="7">F33/D33*I33*E33</f>
        <v>1725487.2563718143</v>
      </c>
      <c r="K33" s="147">
        <v>25000</v>
      </c>
      <c r="L33" s="148">
        <f t="shared" ref="L33:L40" si="8">K33*E33</f>
        <v>4250000</v>
      </c>
      <c r="M33" s="147">
        <f t="shared" ref="M33:M40" si="9">L33-J33</f>
        <v>2524512.7436281857</v>
      </c>
    </row>
    <row r="34" spans="1:16" x14ac:dyDescent="0.2">
      <c r="A34" s="1"/>
      <c r="B34" s="145" t="s">
        <v>253</v>
      </c>
      <c r="C34" s="145" t="s">
        <v>1721</v>
      </c>
      <c r="D34" s="1">
        <v>6.67</v>
      </c>
      <c r="E34" s="149">
        <v>170</v>
      </c>
      <c r="F34" s="149">
        <v>21</v>
      </c>
      <c r="G34" s="149">
        <f t="shared" si="5"/>
        <v>3570</v>
      </c>
      <c r="H34" s="145">
        <f t="shared" si="6"/>
        <v>535.23238380809596</v>
      </c>
      <c r="I34" s="3">
        <v>3385</v>
      </c>
      <c r="J34" s="146">
        <f t="shared" si="7"/>
        <v>1811761.6191904047</v>
      </c>
      <c r="K34" s="147">
        <v>25000</v>
      </c>
      <c r="L34" s="148">
        <f t="shared" si="8"/>
        <v>4250000</v>
      </c>
      <c r="M34" s="147">
        <f t="shared" si="9"/>
        <v>2438238.3808095953</v>
      </c>
    </row>
    <row r="35" spans="1:16" x14ac:dyDescent="0.2">
      <c r="A35" s="1"/>
      <c r="B35" s="145" t="s">
        <v>253</v>
      </c>
      <c r="C35" s="145" t="s">
        <v>1722</v>
      </c>
      <c r="D35" s="1">
        <v>6.67</v>
      </c>
      <c r="E35" s="149">
        <v>170</v>
      </c>
      <c r="F35" s="149">
        <v>21</v>
      </c>
      <c r="G35" s="149">
        <f t="shared" si="5"/>
        <v>3570</v>
      </c>
      <c r="H35" s="145">
        <f t="shared" si="6"/>
        <v>535.23238380809596</v>
      </c>
      <c r="I35" s="3">
        <v>3385</v>
      </c>
      <c r="J35" s="146">
        <f t="shared" si="7"/>
        <v>1811761.6191904047</v>
      </c>
      <c r="K35" s="147">
        <v>25000</v>
      </c>
      <c r="L35" s="148">
        <f t="shared" si="8"/>
        <v>4250000</v>
      </c>
      <c r="M35" s="147">
        <f t="shared" si="9"/>
        <v>2438238.3808095953</v>
      </c>
    </row>
    <row r="36" spans="1:16" x14ac:dyDescent="0.2">
      <c r="A36" s="1"/>
      <c r="B36" s="145" t="s">
        <v>253</v>
      </c>
      <c r="C36" s="145" t="s">
        <v>1723</v>
      </c>
      <c r="D36" s="1">
        <v>6.67</v>
      </c>
      <c r="E36" s="149">
        <v>170</v>
      </c>
      <c r="F36" s="149">
        <v>22</v>
      </c>
      <c r="G36" s="149">
        <f t="shared" si="5"/>
        <v>3740</v>
      </c>
      <c r="H36" s="145">
        <f t="shared" si="6"/>
        <v>560.71964017991002</v>
      </c>
      <c r="I36" s="3">
        <v>3385</v>
      </c>
      <c r="J36" s="146">
        <f t="shared" si="7"/>
        <v>1898035.9820089957</v>
      </c>
      <c r="K36" s="147">
        <v>25000</v>
      </c>
      <c r="L36" s="148">
        <f t="shared" si="8"/>
        <v>4250000</v>
      </c>
      <c r="M36" s="147">
        <f t="shared" si="9"/>
        <v>2351964.0179910045</v>
      </c>
    </row>
    <row r="37" spans="1:16" x14ac:dyDescent="0.2">
      <c r="A37" s="1"/>
      <c r="B37" s="145" t="s">
        <v>253</v>
      </c>
      <c r="C37" s="145" t="s">
        <v>1725</v>
      </c>
      <c r="D37" s="1">
        <v>6.67</v>
      </c>
      <c r="E37" s="149">
        <v>170</v>
      </c>
      <c r="F37" s="149">
        <v>22</v>
      </c>
      <c r="G37" s="149">
        <f t="shared" si="5"/>
        <v>3740</v>
      </c>
      <c r="H37" s="145">
        <f t="shared" si="6"/>
        <v>560.71964017991002</v>
      </c>
      <c r="I37" s="3">
        <v>3385</v>
      </c>
      <c r="J37" s="146">
        <f t="shared" si="7"/>
        <v>1898035.9820089957</v>
      </c>
      <c r="K37" s="147">
        <v>25000</v>
      </c>
      <c r="L37" s="148">
        <f t="shared" si="8"/>
        <v>4250000</v>
      </c>
      <c r="M37" s="147">
        <f t="shared" si="9"/>
        <v>2351964.0179910045</v>
      </c>
      <c r="P37" s="177"/>
    </row>
    <row r="38" spans="1:16" x14ac:dyDescent="0.2">
      <c r="A38" s="1"/>
      <c r="B38" s="145" t="s">
        <v>253</v>
      </c>
      <c r="C38" s="145" t="s">
        <v>1724</v>
      </c>
      <c r="D38" s="1">
        <v>6.67</v>
      </c>
      <c r="E38" s="149">
        <v>170</v>
      </c>
      <c r="F38" s="149">
        <v>22</v>
      </c>
      <c r="G38" s="149">
        <f t="shared" si="5"/>
        <v>3740</v>
      </c>
      <c r="H38" s="145">
        <f t="shared" si="6"/>
        <v>560.71964017991002</v>
      </c>
      <c r="I38" s="3">
        <v>3385</v>
      </c>
      <c r="J38" s="146">
        <f t="shared" si="7"/>
        <v>1898035.9820089957</v>
      </c>
      <c r="K38" s="147">
        <v>25000</v>
      </c>
      <c r="L38" s="148">
        <f t="shared" si="8"/>
        <v>4250000</v>
      </c>
      <c r="M38" s="147">
        <f t="shared" si="9"/>
        <v>2351964.0179910045</v>
      </c>
    </row>
    <row r="39" spans="1:16" x14ac:dyDescent="0.2">
      <c r="A39" s="1"/>
      <c r="B39" s="145" t="s">
        <v>253</v>
      </c>
      <c r="C39" s="145" t="s">
        <v>1682</v>
      </c>
      <c r="D39" s="1">
        <v>6.67</v>
      </c>
      <c r="E39" s="149">
        <v>200</v>
      </c>
      <c r="F39" s="149">
        <v>21</v>
      </c>
      <c r="G39" s="149">
        <f t="shared" si="5"/>
        <v>4200</v>
      </c>
      <c r="H39" s="145">
        <f t="shared" si="6"/>
        <v>629.68515742128932</v>
      </c>
      <c r="I39" s="3">
        <v>3385</v>
      </c>
      <c r="J39" s="146">
        <f t="shared" si="7"/>
        <v>2131484.2578710644</v>
      </c>
      <c r="K39" s="147">
        <v>25000</v>
      </c>
      <c r="L39" s="148">
        <f t="shared" si="8"/>
        <v>5000000</v>
      </c>
      <c r="M39" s="147">
        <f t="shared" si="9"/>
        <v>2868515.7421289356</v>
      </c>
    </row>
    <row r="40" spans="1:16" x14ac:dyDescent="0.2">
      <c r="A40" s="1"/>
      <c r="B40" s="1"/>
      <c r="C40" s="145" t="s">
        <v>1076</v>
      </c>
      <c r="D40" s="1">
        <v>6.67</v>
      </c>
      <c r="E40" s="149">
        <v>200</v>
      </c>
      <c r="F40" s="149">
        <v>23</v>
      </c>
      <c r="G40" s="149">
        <f t="shared" si="5"/>
        <v>4600</v>
      </c>
      <c r="H40" s="145">
        <f t="shared" si="6"/>
        <v>689.65517241379314</v>
      </c>
      <c r="I40" s="3">
        <v>3385</v>
      </c>
      <c r="J40" s="146">
        <f t="shared" si="7"/>
        <v>2334482.7586206896</v>
      </c>
      <c r="K40" s="147">
        <v>25000</v>
      </c>
      <c r="L40" s="148">
        <f t="shared" si="8"/>
        <v>5000000</v>
      </c>
      <c r="M40" s="147">
        <f t="shared" si="9"/>
        <v>2665517.2413793104</v>
      </c>
    </row>
    <row r="41" spans="1:16" x14ac:dyDescent="0.2">
      <c r="E41" s="98">
        <f>SUM(E3:E40)</f>
        <v>10791</v>
      </c>
      <c r="H41" s="176">
        <f>SUM(H3:H40)</f>
        <v>38537.481259370325</v>
      </c>
      <c r="J41" s="175">
        <f>SUM(J3:J40)</f>
        <v>130449374.06296851</v>
      </c>
      <c r="L41" s="50">
        <f>SUM(L3:L40)</f>
        <v>245866000</v>
      </c>
      <c r="M41" s="108">
        <f>SUM(M3:M40)</f>
        <v>115416625.93703149</v>
      </c>
    </row>
    <row r="42" spans="1:16" x14ac:dyDescent="0.2">
      <c r="D42" t="s">
        <v>1746</v>
      </c>
      <c r="E42" s="178" t="s">
        <v>1747</v>
      </c>
    </row>
    <row r="44" spans="1:16" x14ac:dyDescent="0.2">
      <c r="H44" s="150"/>
      <c r="L44" s="8"/>
      <c r="M44" s="8"/>
    </row>
    <row r="46" spans="1:16" x14ac:dyDescent="0.2">
      <c r="E46" s="35"/>
    </row>
    <row r="47" spans="1:16" x14ac:dyDescent="0.2">
      <c r="I47" s="3" t="s">
        <v>25</v>
      </c>
      <c r="J47" s="23">
        <v>130449374</v>
      </c>
    </row>
    <row r="48" spans="1:16" x14ac:dyDescent="0.2">
      <c r="I48" s="3" t="s">
        <v>27</v>
      </c>
      <c r="J48" s="9">
        <v>7000000</v>
      </c>
    </row>
    <row r="49" spans="9:10" x14ac:dyDescent="0.2">
      <c r="I49" s="3" t="s">
        <v>26</v>
      </c>
      <c r="J49" s="3">
        <v>3200000</v>
      </c>
    </row>
    <row r="50" spans="9:10" x14ac:dyDescent="0.2">
      <c r="I50" s="3" t="s">
        <v>33</v>
      </c>
      <c r="J50" s="3">
        <v>4000000</v>
      </c>
    </row>
    <row r="51" spans="9:10" x14ac:dyDescent="0.2">
      <c r="I51" s="3" t="s">
        <v>31</v>
      </c>
      <c r="J51" s="3">
        <v>8000000</v>
      </c>
    </row>
    <row r="52" spans="9:10" x14ac:dyDescent="0.2">
      <c r="I52" s="3" t="s">
        <v>36</v>
      </c>
      <c r="J52" s="3">
        <v>3410000</v>
      </c>
    </row>
    <row r="53" spans="9:10" x14ac:dyDescent="0.2">
      <c r="I53" s="3" t="s">
        <v>29</v>
      </c>
      <c r="J53" s="23">
        <v>12000000</v>
      </c>
    </row>
    <row r="54" spans="9:10" x14ac:dyDescent="0.2">
      <c r="I54" s="3" t="s">
        <v>34</v>
      </c>
      <c r="J54" s="127">
        <f>SUM(J47:J53)</f>
        <v>168059374</v>
      </c>
    </row>
    <row r="55" spans="9:10" x14ac:dyDescent="0.2">
      <c r="I55" s="3" t="s">
        <v>6</v>
      </c>
      <c r="J55" s="116">
        <v>245866000</v>
      </c>
    </row>
    <row r="56" spans="9:10" ht="18" x14ac:dyDescent="0.35">
      <c r="I56" s="3" t="s">
        <v>35</v>
      </c>
      <c r="J56" s="21">
        <f>J55-J54</f>
        <v>77806626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73"/>
  <sheetViews>
    <sheetView topLeftCell="A50" workbookViewId="0">
      <selection activeCell="I57" sqref="I57:J66"/>
    </sheetView>
  </sheetViews>
  <sheetFormatPr baseColWidth="10" defaultRowHeight="15" x14ac:dyDescent="0.2"/>
  <cols>
    <col min="3" max="3" width="22.33203125" customWidth="1"/>
    <col min="5" max="5" width="14.5" customWidth="1"/>
    <col min="10" max="10" width="14.83203125" customWidth="1"/>
    <col min="12" max="12" width="18" customWidth="1"/>
    <col min="13" max="13" width="17.33203125" customWidth="1"/>
  </cols>
  <sheetData>
    <row r="1" spans="1:13" ht="31" x14ac:dyDescent="0.35">
      <c r="A1" s="56" t="s">
        <v>1787</v>
      </c>
      <c r="B1" s="56"/>
      <c r="C1" s="56"/>
      <c r="D1" s="56"/>
      <c r="E1" s="56"/>
      <c r="F1" s="57" t="s">
        <v>1795</v>
      </c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145" t="s">
        <v>1748</v>
      </c>
      <c r="B3" s="145" t="s">
        <v>7</v>
      </c>
      <c r="C3" s="145" t="s">
        <v>1749</v>
      </c>
      <c r="D3" s="1">
        <v>6.76</v>
      </c>
      <c r="E3" s="149">
        <v>200</v>
      </c>
      <c r="F3" s="149">
        <v>28</v>
      </c>
      <c r="G3" s="149">
        <f t="shared" ref="G3:G51" si="0">E3*F3</f>
        <v>5600</v>
      </c>
      <c r="H3" s="145">
        <f t="shared" ref="H3:H51" si="1">G3/D3</f>
        <v>828.4023668639054</v>
      </c>
      <c r="I3" s="3">
        <v>3470</v>
      </c>
      <c r="J3" s="146">
        <f t="shared" ref="J3:J51" si="2">F3/D3*I3*E3</f>
        <v>2874556.2130177515</v>
      </c>
      <c r="K3" s="147">
        <v>23000</v>
      </c>
      <c r="L3" s="148">
        <f t="shared" ref="L3:L51" si="3">K3*E3</f>
        <v>4600000</v>
      </c>
      <c r="M3" s="147">
        <f t="shared" ref="M3:M51" si="4">L3-J3</f>
        <v>1725443.7869822485</v>
      </c>
    </row>
    <row r="4" spans="1:13" x14ac:dyDescent="0.2">
      <c r="A4" s="145"/>
      <c r="B4" s="145" t="s">
        <v>253</v>
      </c>
      <c r="C4" s="145" t="s">
        <v>1750</v>
      </c>
      <c r="D4" s="1">
        <v>6.76</v>
      </c>
      <c r="E4" s="149">
        <v>200</v>
      </c>
      <c r="F4" s="149">
        <v>28</v>
      </c>
      <c r="G4" s="149">
        <f t="shared" si="0"/>
        <v>5600</v>
      </c>
      <c r="H4" s="145">
        <f t="shared" si="1"/>
        <v>828.4023668639054</v>
      </c>
      <c r="I4" s="3">
        <v>3470</v>
      </c>
      <c r="J4" s="146">
        <f t="shared" si="2"/>
        <v>2874556.2130177515</v>
      </c>
      <c r="K4" s="147">
        <v>23000</v>
      </c>
      <c r="L4" s="148">
        <f t="shared" si="3"/>
        <v>4600000</v>
      </c>
      <c r="M4" s="147">
        <f t="shared" si="4"/>
        <v>1725443.7869822485</v>
      </c>
    </row>
    <row r="5" spans="1:13" x14ac:dyDescent="0.2">
      <c r="A5" s="1"/>
      <c r="B5" s="145" t="s">
        <v>253</v>
      </c>
      <c r="C5" s="145" t="s">
        <v>1751</v>
      </c>
      <c r="D5" s="1">
        <v>6.76</v>
      </c>
      <c r="E5" s="149">
        <v>200</v>
      </c>
      <c r="F5" s="149">
        <v>28</v>
      </c>
      <c r="G5" s="149">
        <f t="shared" si="0"/>
        <v>5600</v>
      </c>
      <c r="H5" s="145">
        <f t="shared" si="1"/>
        <v>828.4023668639054</v>
      </c>
      <c r="I5" s="3">
        <v>3470</v>
      </c>
      <c r="J5" s="146">
        <f t="shared" si="2"/>
        <v>2874556.2130177515</v>
      </c>
      <c r="K5" s="147">
        <v>23000</v>
      </c>
      <c r="L5" s="148">
        <f t="shared" si="3"/>
        <v>4600000</v>
      </c>
      <c r="M5" s="147">
        <f t="shared" si="4"/>
        <v>1725443.7869822485</v>
      </c>
    </row>
    <row r="6" spans="1:13" x14ac:dyDescent="0.2">
      <c r="A6" s="1"/>
      <c r="B6" s="145" t="s">
        <v>253</v>
      </c>
      <c r="C6" s="145" t="s">
        <v>1752</v>
      </c>
      <c r="D6" s="1">
        <v>6.76</v>
      </c>
      <c r="E6" s="149">
        <v>200</v>
      </c>
      <c r="F6" s="149">
        <v>27.5</v>
      </c>
      <c r="G6" s="149">
        <f t="shared" si="0"/>
        <v>5500</v>
      </c>
      <c r="H6" s="145">
        <f t="shared" si="1"/>
        <v>813.60946745562137</v>
      </c>
      <c r="I6" s="3">
        <v>3470</v>
      </c>
      <c r="J6" s="146">
        <f t="shared" si="2"/>
        <v>2823224.8520710063</v>
      </c>
      <c r="K6" s="147">
        <v>23000</v>
      </c>
      <c r="L6" s="148">
        <f t="shared" si="3"/>
        <v>4600000</v>
      </c>
      <c r="M6" s="147">
        <f t="shared" si="4"/>
        <v>1776775.1479289937</v>
      </c>
    </row>
    <row r="7" spans="1:13" x14ac:dyDescent="0.2">
      <c r="A7" s="1"/>
      <c r="B7" s="145" t="s">
        <v>253</v>
      </c>
      <c r="C7" s="145" t="s">
        <v>1753</v>
      </c>
      <c r="D7" s="1">
        <v>6.76</v>
      </c>
      <c r="E7" s="149">
        <v>200</v>
      </c>
      <c r="F7" s="149">
        <v>27</v>
      </c>
      <c r="G7" s="149">
        <f t="shared" si="0"/>
        <v>5400</v>
      </c>
      <c r="H7" s="145">
        <f t="shared" si="1"/>
        <v>798.81656804733734</v>
      </c>
      <c r="I7" s="3">
        <v>3470</v>
      </c>
      <c r="J7" s="146">
        <f t="shared" si="2"/>
        <v>2771893.4911242607</v>
      </c>
      <c r="K7" s="147">
        <v>22000</v>
      </c>
      <c r="L7" s="148">
        <f t="shared" si="3"/>
        <v>4400000</v>
      </c>
      <c r="M7" s="147">
        <f t="shared" si="4"/>
        <v>1628106.5088757393</v>
      </c>
    </row>
    <row r="8" spans="1:13" x14ac:dyDescent="0.2">
      <c r="A8" s="1"/>
      <c r="B8" s="145" t="s">
        <v>253</v>
      </c>
      <c r="C8" s="1" t="s">
        <v>1754</v>
      </c>
      <c r="D8" s="1">
        <v>6.76</v>
      </c>
      <c r="E8" s="149">
        <v>200</v>
      </c>
      <c r="F8" s="149">
        <v>27.5</v>
      </c>
      <c r="G8" s="149">
        <f t="shared" si="0"/>
        <v>5500</v>
      </c>
      <c r="H8" s="145">
        <f t="shared" si="1"/>
        <v>813.60946745562137</v>
      </c>
      <c r="I8" s="3">
        <v>3470</v>
      </c>
      <c r="J8" s="146">
        <f t="shared" si="2"/>
        <v>2823224.8520710063</v>
      </c>
      <c r="K8" s="147">
        <v>23000</v>
      </c>
      <c r="L8" s="148">
        <f t="shared" si="3"/>
        <v>4600000</v>
      </c>
      <c r="M8" s="147">
        <f t="shared" si="4"/>
        <v>1776775.1479289937</v>
      </c>
    </row>
    <row r="9" spans="1:13" x14ac:dyDescent="0.2">
      <c r="A9" s="1"/>
      <c r="B9" s="1" t="s">
        <v>253</v>
      </c>
      <c r="C9" s="145" t="s">
        <v>1755</v>
      </c>
      <c r="D9" s="1">
        <v>6.76</v>
      </c>
      <c r="E9" s="149">
        <v>200</v>
      </c>
      <c r="F9" s="149">
        <v>27.5</v>
      </c>
      <c r="G9" s="149">
        <f t="shared" si="0"/>
        <v>5500</v>
      </c>
      <c r="H9" s="145">
        <f t="shared" si="1"/>
        <v>813.60946745562137</v>
      </c>
      <c r="I9" s="3">
        <v>3470</v>
      </c>
      <c r="J9" s="146">
        <f t="shared" si="2"/>
        <v>2823224.8520710063</v>
      </c>
      <c r="K9" s="147">
        <v>23000</v>
      </c>
      <c r="L9" s="148">
        <f t="shared" si="3"/>
        <v>4600000</v>
      </c>
      <c r="M9" s="147">
        <f t="shared" si="4"/>
        <v>1776775.1479289937</v>
      </c>
    </row>
    <row r="10" spans="1:13" x14ac:dyDescent="0.2">
      <c r="A10" s="1"/>
      <c r="B10" s="145" t="s">
        <v>253</v>
      </c>
      <c r="C10" s="145" t="s">
        <v>1756</v>
      </c>
      <c r="D10" s="1">
        <v>6.76</v>
      </c>
      <c r="E10" s="149">
        <v>200</v>
      </c>
      <c r="F10" s="149">
        <v>27</v>
      </c>
      <c r="G10" s="149">
        <f t="shared" si="0"/>
        <v>5400</v>
      </c>
      <c r="H10" s="145">
        <f>G10/D10</f>
        <v>798.81656804733734</v>
      </c>
      <c r="I10" s="3">
        <v>3470</v>
      </c>
      <c r="J10" s="146">
        <f t="shared" si="2"/>
        <v>2771893.4911242607</v>
      </c>
      <c r="K10" s="147">
        <v>23000</v>
      </c>
      <c r="L10" s="148">
        <f t="shared" si="3"/>
        <v>4600000</v>
      </c>
      <c r="M10" s="147">
        <f t="shared" si="4"/>
        <v>1828106.5088757393</v>
      </c>
    </row>
    <row r="11" spans="1:13" x14ac:dyDescent="0.2">
      <c r="A11" s="1"/>
      <c r="B11" s="1" t="s">
        <v>253</v>
      </c>
      <c r="C11" s="145" t="s">
        <v>1757</v>
      </c>
      <c r="D11" s="1">
        <v>6.76</v>
      </c>
      <c r="E11" s="149">
        <v>200</v>
      </c>
      <c r="F11" s="149">
        <v>30.5</v>
      </c>
      <c r="G11" s="149">
        <f t="shared" si="0"/>
        <v>6100</v>
      </c>
      <c r="H11" s="145">
        <f t="shared" si="1"/>
        <v>902.36686390532543</v>
      </c>
      <c r="I11" s="3">
        <v>3470</v>
      </c>
      <c r="J11" s="146">
        <f t="shared" si="2"/>
        <v>3131213.0177514795</v>
      </c>
      <c r="K11" s="147">
        <v>23000</v>
      </c>
      <c r="L11" s="148">
        <f t="shared" si="3"/>
        <v>4600000</v>
      </c>
      <c r="M11" s="147">
        <f t="shared" si="4"/>
        <v>1468786.9822485205</v>
      </c>
    </row>
    <row r="12" spans="1:13" x14ac:dyDescent="0.2">
      <c r="A12" s="1"/>
      <c r="B12" s="1" t="s">
        <v>253</v>
      </c>
      <c r="C12" s="145" t="s">
        <v>1718</v>
      </c>
      <c r="D12" s="1">
        <v>6.76</v>
      </c>
      <c r="E12" s="149">
        <v>600</v>
      </c>
      <c r="F12" s="149">
        <v>24</v>
      </c>
      <c r="G12" s="149">
        <f t="shared" si="0"/>
        <v>14400</v>
      </c>
      <c r="H12" s="145">
        <f t="shared" si="1"/>
        <v>2130.1775147928993</v>
      </c>
      <c r="I12" s="3">
        <v>3470</v>
      </c>
      <c r="J12" s="146">
        <f t="shared" si="2"/>
        <v>7391715.9763313606</v>
      </c>
      <c r="K12" s="147">
        <v>20000</v>
      </c>
      <c r="L12" s="148">
        <f t="shared" si="3"/>
        <v>12000000</v>
      </c>
      <c r="M12" s="147">
        <f t="shared" si="4"/>
        <v>4608284.0236686394</v>
      </c>
    </row>
    <row r="13" spans="1:13" x14ac:dyDescent="0.2">
      <c r="B13" s="78" t="s">
        <v>253</v>
      </c>
      <c r="C13" s="150" t="s">
        <v>1758</v>
      </c>
      <c r="D13" s="1">
        <v>6.76</v>
      </c>
      <c r="E13" s="151">
        <v>200</v>
      </c>
      <c r="F13" s="151">
        <v>28</v>
      </c>
      <c r="G13" s="151">
        <f t="shared" si="0"/>
        <v>5600</v>
      </c>
      <c r="H13" s="150">
        <f t="shared" si="1"/>
        <v>828.4023668639054</v>
      </c>
      <c r="I13" s="3">
        <v>3470</v>
      </c>
      <c r="J13" s="152">
        <f t="shared" si="2"/>
        <v>2874556.2130177515</v>
      </c>
      <c r="K13" s="153">
        <v>23000</v>
      </c>
      <c r="L13" s="154">
        <f t="shared" si="3"/>
        <v>4600000</v>
      </c>
      <c r="M13" s="153">
        <f t="shared" si="4"/>
        <v>1725443.7869822485</v>
      </c>
    </row>
    <row r="14" spans="1:13" x14ac:dyDescent="0.2">
      <c r="B14" s="78" t="s">
        <v>253</v>
      </c>
      <c r="C14" s="150" t="s">
        <v>1759</v>
      </c>
      <c r="D14" s="1">
        <v>6.76</v>
      </c>
      <c r="E14" s="151">
        <v>200</v>
      </c>
      <c r="F14" s="151">
        <v>28</v>
      </c>
      <c r="G14" s="151">
        <f t="shared" si="0"/>
        <v>5600</v>
      </c>
      <c r="H14" s="150">
        <f t="shared" si="1"/>
        <v>828.4023668639054</v>
      </c>
      <c r="I14" s="3">
        <v>3470</v>
      </c>
      <c r="J14" s="152">
        <f t="shared" si="2"/>
        <v>2874556.2130177515</v>
      </c>
      <c r="K14" s="153">
        <v>23000</v>
      </c>
      <c r="L14" s="154">
        <f t="shared" si="3"/>
        <v>4600000</v>
      </c>
      <c r="M14" s="153">
        <f t="shared" si="4"/>
        <v>1725443.7869822485</v>
      </c>
    </row>
    <row r="15" spans="1:13" x14ac:dyDescent="0.2">
      <c r="B15" s="78" t="s">
        <v>253</v>
      </c>
      <c r="C15" s="150" t="s">
        <v>1752</v>
      </c>
      <c r="D15" s="1">
        <v>6.76</v>
      </c>
      <c r="E15" s="151">
        <v>200</v>
      </c>
      <c r="F15" s="151">
        <v>28</v>
      </c>
      <c r="G15" s="151">
        <f t="shared" si="0"/>
        <v>5600</v>
      </c>
      <c r="H15" s="150">
        <f t="shared" si="1"/>
        <v>828.4023668639054</v>
      </c>
      <c r="I15" s="3">
        <v>3470</v>
      </c>
      <c r="J15" s="152">
        <f t="shared" si="2"/>
        <v>2874556.2130177515</v>
      </c>
      <c r="K15" s="153">
        <v>23000</v>
      </c>
      <c r="L15" s="154">
        <f t="shared" si="3"/>
        <v>4600000</v>
      </c>
      <c r="M15" s="153">
        <f t="shared" si="4"/>
        <v>1725443.7869822485</v>
      </c>
    </row>
    <row r="16" spans="1:13" x14ac:dyDescent="0.2">
      <c r="B16" s="78" t="s">
        <v>253</v>
      </c>
      <c r="C16" s="150" t="s">
        <v>1760</v>
      </c>
      <c r="D16" s="1">
        <v>6.76</v>
      </c>
      <c r="E16" s="151">
        <v>200</v>
      </c>
      <c r="F16" s="151">
        <v>28</v>
      </c>
      <c r="G16" s="151">
        <f t="shared" si="0"/>
        <v>5600</v>
      </c>
      <c r="H16" s="150">
        <f t="shared" si="1"/>
        <v>828.4023668639054</v>
      </c>
      <c r="I16" s="3">
        <v>3470</v>
      </c>
      <c r="J16" s="152">
        <f t="shared" si="2"/>
        <v>2874556.2130177515</v>
      </c>
      <c r="K16" s="153">
        <v>23000</v>
      </c>
      <c r="L16" s="154">
        <f t="shared" si="3"/>
        <v>4600000</v>
      </c>
      <c r="M16" s="153">
        <f t="shared" si="4"/>
        <v>1725443.7869822485</v>
      </c>
    </row>
    <row r="17" spans="2:13" x14ac:dyDescent="0.2">
      <c r="B17" s="78" t="s">
        <v>253</v>
      </c>
      <c r="C17" s="150" t="s">
        <v>1761</v>
      </c>
      <c r="D17" s="1">
        <v>6.76</v>
      </c>
      <c r="E17" s="151">
        <v>200</v>
      </c>
      <c r="F17" s="151">
        <v>28</v>
      </c>
      <c r="G17" s="151">
        <f t="shared" si="0"/>
        <v>5600</v>
      </c>
      <c r="H17" s="150">
        <f t="shared" si="1"/>
        <v>828.4023668639054</v>
      </c>
      <c r="I17" s="3">
        <v>3470</v>
      </c>
      <c r="J17" s="152">
        <f t="shared" si="2"/>
        <v>2874556.2130177515</v>
      </c>
      <c r="K17" s="153">
        <v>23000</v>
      </c>
      <c r="L17" s="154">
        <f t="shared" si="3"/>
        <v>4600000</v>
      </c>
      <c r="M17" s="153">
        <f t="shared" si="4"/>
        <v>1725443.7869822485</v>
      </c>
    </row>
    <row r="18" spans="2:13" x14ac:dyDescent="0.2">
      <c r="B18" s="78" t="s">
        <v>253</v>
      </c>
      <c r="C18" s="150" t="s">
        <v>1762</v>
      </c>
      <c r="D18" s="1">
        <v>6.76</v>
      </c>
      <c r="E18" s="151">
        <v>200</v>
      </c>
      <c r="F18" s="151">
        <v>28</v>
      </c>
      <c r="G18" s="151">
        <f t="shared" si="0"/>
        <v>5600</v>
      </c>
      <c r="H18" s="150">
        <f t="shared" si="1"/>
        <v>828.4023668639054</v>
      </c>
      <c r="I18" s="3">
        <v>3470</v>
      </c>
      <c r="J18" s="152">
        <f t="shared" si="2"/>
        <v>2874556.2130177515</v>
      </c>
      <c r="K18" s="153">
        <v>23000</v>
      </c>
      <c r="L18" s="154">
        <f t="shared" si="3"/>
        <v>4600000</v>
      </c>
      <c r="M18" s="153">
        <f t="shared" si="4"/>
        <v>1725443.7869822485</v>
      </c>
    </row>
    <row r="19" spans="2:13" x14ac:dyDescent="0.2">
      <c r="B19" s="78" t="s">
        <v>253</v>
      </c>
      <c r="C19" s="150" t="s">
        <v>1763</v>
      </c>
      <c r="D19" s="1">
        <v>6.76</v>
      </c>
      <c r="E19" s="151">
        <v>200</v>
      </c>
      <c r="F19" s="151">
        <v>28</v>
      </c>
      <c r="G19" s="151">
        <f t="shared" si="0"/>
        <v>5600</v>
      </c>
      <c r="H19" s="150">
        <f t="shared" si="1"/>
        <v>828.4023668639054</v>
      </c>
      <c r="I19" s="3">
        <v>3470</v>
      </c>
      <c r="J19" s="152">
        <f t="shared" si="2"/>
        <v>2874556.2130177515</v>
      </c>
      <c r="K19" s="153">
        <v>23000</v>
      </c>
      <c r="L19" s="154">
        <f t="shared" si="3"/>
        <v>4600000</v>
      </c>
      <c r="M19" s="153">
        <f t="shared" si="4"/>
        <v>1725443.7869822485</v>
      </c>
    </row>
    <row r="20" spans="2:13" x14ac:dyDescent="0.2">
      <c r="B20" s="78" t="s">
        <v>253</v>
      </c>
      <c r="C20" s="150" t="s">
        <v>1764</v>
      </c>
      <c r="D20" s="1">
        <v>6.76</v>
      </c>
      <c r="E20" s="151">
        <v>200</v>
      </c>
      <c r="F20" s="151">
        <v>29</v>
      </c>
      <c r="G20" s="151">
        <f t="shared" si="0"/>
        <v>5800</v>
      </c>
      <c r="H20" s="150">
        <f t="shared" si="1"/>
        <v>857.98816568047334</v>
      </c>
      <c r="I20" s="3">
        <v>3470</v>
      </c>
      <c r="J20" s="152">
        <f t="shared" si="2"/>
        <v>2977218.9349112427</v>
      </c>
      <c r="K20" s="153">
        <v>23000</v>
      </c>
      <c r="L20" s="154">
        <f t="shared" si="3"/>
        <v>4600000</v>
      </c>
      <c r="M20" s="153">
        <f t="shared" si="4"/>
        <v>1622781.0650887573</v>
      </c>
    </row>
    <row r="21" spans="2:13" x14ac:dyDescent="0.2">
      <c r="B21" s="78" t="s">
        <v>253</v>
      </c>
      <c r="C21" s="150" t="s">
        <v>1765</v>
      </c>
      <c r="D21" s="1">
        <v>6.76</v>
      </c>
      <c r="E21" s="151">
        <v>200</v>
      </c>
      <c r="F21" s="151">
        <v>27</v>
      </c>
      <c r="G21" s="151">
        <f t="shared" si="0"/>
        <v>5400</v>
      </c>
      <c r="H21" s="150">
        <f t="shared" si="1"/>
        <v>798.81656804733734</v>
      </c>
      <c r="I21" s="3">
        <v>3470</v>
      </c>
      <c r="J21" s="152">
        <f t="shared" si="2"/>
        <v>2771893.4911242607</v>
      </c>
      <c r="K21" s="153">
        <v>23000</v>
      </c>
      <c r="L21" s="154">
        <f t="shared" si="3"/>
        <v>4600000</v>
      </c>
      <c r="M21" s="153">
        <f t="shared" si="4"/>
        <v>1828106.5088757393</v>
      </c>
    </row>
    <row r="22" spans="2:13" x14ac:dyDescent="0.2">
      <c r="B22" s="78" t="s">
        <v>1766</v>
      </c>
      <c r="C22" s="150" t="s">
        <v>1767</v>
      </c>
      <c r="D22" s="1">
        <v>6.76</v>
      </c>
      <c r="E22" s="151">
        <v>300</v>
      </c>
      <c r="F22" s="151">
        <v>22</v>
      </c>
      <c r="G22" s="151">
        <f t="shared" si="0"/>
        <v>6600</v>
      </c>
      <c r="H22" s="150">
        <f t="shared" si="1"/>
        <v>976.33136094674558</v>
      </c>
      <c r="I22" s="3">
        <v>3470</v>
      </c>
      <c r="J22" s="152">
        <f t="shared" si="2"/>
        <v>3387869.8224852071</v>
      </c>
      <c r="K22" s="153">
        <v>20000</v>
      </c>
      <c r="L22" s="154">
        <f t="shared" si="3"/>
        <v>6000000</v>
      </c>
      <c r="M22" s="153">
        <f t="shared" si="4"/>
        <v>2612130.1775147929</v>
      </c>
    </row>
    <row r="23" spans="2:13" x14ac:dyDescent="0.2">
      <c r="C23" s="150" t="s">
        <v>1768</v>
      </c>
      <c r="D23" s="1">
        <v>6.76</v>
      </c>
      <c r="E23" s="151">
        <v>300</v>
      </c>
      <c r="F23" s="151">
        <v>22</v>
      </c>
      <c r="G23" s="151">
        <f t="shared" si="0"/>
        <v>6600</v>
      </c>
      <c r="H23" s="150">
        <f t="shared" si="1"/>
        <v>976.33136094674558</v>
      </c>
      <c r="I23" s="3">
        <v>3470</v>
      </c>
      <c r="J23" s="152">
        <f t="shared" si="2"/>
        <v>3387869.8224852071</v>
      </c>
      <c r="K23" s="153">
        <v>20000</v>
      </c>
      <c r="L23" s="154">
        <f t="shared" si="3"/>
        <v>6000000</v>
      </c>
      <c r="M23" s="153">
        <f t="shared" si="4"/>
        <v>2612130.1775147929</v>
      </c>
    </row>
    <row r="24" spans="2:13" x14ac:dyDescent="0.2">
      <c r="B24" t="s">
        <v>253</v>
      </c>
      <c r="C24" s="150" t="s">
        <v>1769</v>
      </c>
      <c r="D24" s="1">
        <v>6.76</v>
      </c>
      <c r="E24" s="151">
        <v>200</v>
      </c>
      <c r="F24" s="151">
        <v>29</v>
      </c>
      <c r="G24" s="151">
        <f t="shared" si="0"/>
        <v>5800</v>
      </c>
      <c r="H24" s="150">
        <f t="shared" si="1"/>
        <v>857.98816568047334</v>
      </c>
      <c r="I24" s="3">
        <v>3470</v>
      </c>
      <c r="J24" s="152">
        <f t="shared" si="2"/>
        <v>2977218.9349112427</v>
      </c>
      <c r="K24" s="153">
        <v>23000</v>
      </c>
      <c r="L24" s="154">
        <f t="shared" si="3"/>
        <v>4600000</v>
      </c>
      <c r="M24" s="153">
        <f t="shared" si="4"/>
        <v>1622781.0650887573</v>
      </c>
    </row>
    <row r="25" spans="2:13" x14ac:dyDescent="0.2">
      <c r="B25" t="s">
        <v>253</v>
      </c>
      <c r="C25" s="150" t="s">
        <v>1770</v>
      </c>
      <c r="D25" s="1">
        <v>6.76</v>
      </c>
      <c r="E25" s="151">
        <v>200</v>
      </c>
      <c r="F25" s="151">
        <v>28.5</v>
      </c>
      <c r="G25" s="151">
        <f t="shared" si="0"/>
        <v>5700</v>
      </c>
      <c r="H25" s="150">
        <f t="shared" si="1"/>
        <v>843.19526627218943</v>
      </c>
      <c r="I25" s="3">
        <v>3470</v>
      </c>
      <c r="J25" s="152">
        <f t="shared" si="2"/>
        <v>2925887.5739644971</v>
      </c>
      <c r="K25" s="153">
        <v>23000</v>
      </c>
      <c r="L25" s="154">
        <f t="shared" si="3"/>
        <v>4600000</v>
      </c>
      <c r="M25" s="153">
        <f t="shared" si="4"/>
        <v>1674112.4260355029</v>
      </c>
    </row>
    <row r="26" spans="2:13" x14ac:dyDescent="0.2">
      <c r="B26" t="s">
        <v>253</v>
      </c>
      <c r="C26" s="150" t="s">
        <v>1771</v>
      </c>
      <c r="D26" s="1">
        <v>6.76</v>
      </c>
      <c r="E26" s="151">
        <v>200</v>
      </c>
      <c r="F26" s="151">
        <v>29</v>
      </c>
      <c r="G26" s="151">
        <f t="shared" si="0"/>
        <v>5800</v>
      </c>
      <c r="H26" s="150">
        <f t="shared" si="1"/>
        <v>857.98816568047334</v>
      </c>
      <c r="I26" s="3">
        <v>3470</v>
      </c>
      <c r="J26" s="152">
        <f t="shared" si="2"/>
        <v>2977218.9349112427</v>
      </c>
      <c r="K26" s="153">
        <v>23000</v>
      </c>
      <c r="L26" s="154">
        <f t="shared" si="3"/>
        <v>4600000</v>
      </c>
      <c r="M26" s="153">
        <f t="shared" si="4"/>
        <v>1622781.0650887573</v>
      </c>
    </row>
    <row r="27" spans="2:13" x14ac:dyDescent="0.2">
      <c r="B27" s="161" t="s">
        <v>253</v>
      </c>
      <c r="C27" s="150" t="s">
        <v>1772</v>
      </c>
      <c r="D27" s="1">
        <v>6.76</v>
      </c>
      <c r="E27" s="151">
        <v>200</v>
      </c>
      <c r="F27" s="151">
        <v>28</v>
      </c>
      <c r="G27" s="151">
        <f t="shared" si="0"/>
        <v>5600</v>
      </c>
      <c r="H27" s="150">
        <f t="shared" si="1"/>
        <v>828.4023668639054</v>
      </c>
      <c r="I27" s="3">
        <v>3470</v>
      </c>
      <c r="J27" s="152">
        <f t="shared" si="2"/>
        <v>2874556.2130177515</v>
      </c>
      <c r="K27" s="153">
        <v>23000</v>
      </c>
      <c r="L27" s="154">
        <f t="shared" si="3"/>
        <v>4600000</v>
      </c>
      <c r="M27" s="153">
        <f t="shared" si="4"/>
        <v>1725443.7869822485</v>
      </c>
    </row>
    <row r="28" spans="2:13" x14ac:dyDescent="0.2">
      <c r="B28" t="s">
        <v>253</v>
      </c>
      <c r="C28" s="150" t="s">
        <v>1408</v>
      </c>
      <c r="D28" s="1">
        <v>6.76</v>
      </c>
      <c r="E28" s="151">
        <v>200</v>
      </c>
      <c r="F28" s="151">
        <v>26</v>
      </c>
      <c r="G28" s="151">
        <f t="shared" si="0"/>
        <v>5200</v>
      </c>
      <c r="H28" s="150">
        <f t="shared" si="1"/>
        <v>769.23076923076928</v>
      </c>
      <c r="I28" s="3">
        <v>3470</v>
      </c>
      <c r="J28" s="152">
        <f t="shared" si="2"/>
        <v>2669230.769230769</v>
      </c>
      <c r="K28" s="153">
        <v>22000</v>
      </c>
      <c r="L28" s="154">
        <f t="shared" si="3"/>
        <v>4400000</v>
      </c>
      <c r="M28" s="153">
        <f t="shared" si="4"/>
        <v>1730769.230769231</v>
      </c>
    </row>
    <row r="29" spans="2:13" x14ac:dyDescent="0.2">
      <c r="B29" t="s">
        <v>253</v>
      </c>
      <c r="C29" s="150" t="s">
        <v>1773</v>
      </c>
      <c r="D29" s="1">
        <v>6.76</v>
      </c>
      <c r="E29" s="151">
        <v>200</v>
      </c>
      <c r="F29" s="151">
        <v>28</v>
      </c>
      <c r="G29" s="151">
        <f t="shared" si="0"/>
        <v>5600</v>
      </c>
      <c r="H29" s="150">
        <f>G29/D29</f>
        <v>828.4023668639054</v>
      </c>
      <c r="I29" s="3">
        <v>3470</v>
      </c>
      <c r="J29" s="152">
        <f t="shared" si="2"/>
        <v>2874556.2130177515</v>
      </c>
      <c r="K29" s="153">
        <v>23000</v>
      </c>
      <c r="L29" s="154">
        <f t="shared" si="3"/>
        <v>4600000</v>
      </c>
      <c r="M29" s="153">
        <f t="shared" si="4"/>
        <v>1725443.7869822485</v>
      </c>
    </row>
    <row r="30" spans="2:13" x14ac:dyDescent="0.2">
      <c r="B30" t="s">
        <v>253</v>
      </c>
      <c r="C30" s="150" t="s">
        <v>253</v>
      </c>
      <c r="D30" s="1">
        <v>6.76</v>
      </c>
      <c r="E30" s="151">
        <v>200</v>
      </c>
      <c r="F30" s="151">
        <v>26</v>
      </c>
      <c r="G30" s="151">
        <f t="shared" si="0"/>
        <v>5200</v>
      </c>
      <c r="H30" s="150">
        <f t="shared" si="1"/>
        <v>769.23076923076928</v>
      </c>
      <c r="I30" s="3">
        <v>3470</v>
      </c>
      <c r="J30" s="152">
        <f t="shared" si="2"/>
        <v>2669230.769230769</v>
      </c>
      <c r="K30" s="153">
        <v>22000</v>
      </c>
      <c r="L30" s="154">
        <f t="shared" si="3"/>
        <v>4400000</v>
      </c>
      <c r="M30" s="153">
        <f t="shared" si="4"/>
        <v>1730769.230769231</v>
      </c>
    </row>
    <row r="31" spans="2:13" x14ac:dyDescent="0.2">
      <c r="B31" t="s">
        <v>253</v>
      </c>
      <c r="C31" s="150" t="s">
        <v>1794</v>
      </c>
      <c r="D31" s="1">
        <v>6.76</v>
      </c>
      <c r="E31" s="151">
        <v>200</v>
      </c>
      <c r="F31" s="151">
        <v>23</v>
      </c>
      <c r="G31" s="151">
        <f t="shared" si="0"/>
        <v>4600</v>
      </c>
      <c r="H31" s="150">
        <f t="shared" si="1"/>
        <v>680.47337278106511</v>
      </c>
      <c r="I31" s="3">
        <v>3470</v>
      </c>
      <c r="J31" s="152">
        <f t="shared" si="2"/>
        <v>2361242.6035502963</v>
      </c>
      <c r="K31" s="153">
        <v>20000</v>
      </c>
      <c r="L31" s="154">
        <f t="shared" si="3"/>
        <v>4000000</v>
      </c>
      <c r="M31" s="153">
        <f t="shared" si="4"/>
        <v>1638757.3964497037</v>
      </c>
    </row>
    <row r="32" spans="2:13" x14ac:dyDescent="0.2">
      <c r="B32" t="s">
        <v>253</v>
      </c>
      <c r="C32" s="150" t="s">
        <v>1774</v>
      </c>
      <c r="D32" s="1">
        <v>6.76</v>
      </c>
      <c r="E32" s="151">
        <v>200</v>
      </c>
      <c r="F32" s="151">
        <v>28</v>
      </c>
      <c r="G32" s="151">
        <f t="shared" si="0"/>
        <v>5600</v>
      </c>
      <c r="H32" s="150">
        <f t="shared" si="1"/>
        <v>828.4023668639054</v>
      </c>
      <c r="I32" s="3">
        <v>3470</v>
      </c>
      <c r="J32" s="152">
        <f t="shared" si="2"/>
        <v>2874556.2130177515</v>
      </c>
      <c r="K32" s="153">
        <v>23000</v>
      </c>
      <c r="L32" s="154">
        <f t="shared" si="3"/>
        <v>4600000</v>
      </c>
      <c r="M32" s="153">
        <f t="shared" si="4"/>
        <v>1725443.7869822485</v>
      </c>
    </row>
    <row r="33" spans="2:13" x14ac:dyDescent="0.2">
      <c r="B33" s="161" t="s">
        <v>253</v>
      </c>
      <c r="C33" s="150" t="s">
        <v>1776</v>
      </c>
      <c r="D33" s="1">
        <v>6.76</v>
      </c>
      <c r="E33" s="151">
        <v>400</v>
      </c>
      <c r="F33" s="151">
        <v>26</v>
      </c>
      <c r="G33" s="151">
        <f t="shared" si="0"/>
        <v>10400</v>
      </c>
      <c r="H33" s="150">
        <f t="shared" si="1"/>
        <v>1538.4615384615386</v>
      </c>
      <c r="I33" s="3">
        <v>3470</v>
      </c>
      <c r="J33" s="152">
        <f t="shared" si="2"/>
        <v>5338461.538461538</v>
      </c>
      <c r="K33" s="153">
        <v>22000</v>
      </c>
      <c r="L33" s="154">
        <f t="shared" si="3"/>
        <v>8800000</v>
      </c>
      <c r="M33" s="153">
        <f t="shared" si="4"/>
        <v>3461538.461538462</v>
      </c>
    </row>
    <row r="34" spans="2:13" x14ac:dyDescent="0.2">
      <c r="B34" t="s">
        <v>253</v>
      </c>
      <c r="C34" s="150" t="s">
        <v>1775</v>
      </c>
      <c r="D34" s="1">
        <v>6.76</v>
      </c>
      <c r="E34" s="151">
        <v>300</v>
      </c>
      <c r="F34" s="151">
        <v>27</v>
      </c>
      <c r="G34" s="151">
        <f t="shared" si="0"/>
        <v>8100</v>
      </c>
      <c r="H34" s="150">
        <f t="shared" si="1"/>
        <v>1198.2248520710059</v>
      </c>
      <c r="I34" s="3">
        <v>3470</v>
      </c>
      <c r="J34" s="152">
        <f t="shared" si="2"/>
        <v>4157840.2366863908</v>
      </c>
      <c r="K34" s="153">
        <v>22000</v>
      </c>
      <c r="L34" s="154">
        <f t="shared" si="3"/>
        <v>6600000</v>
      </c>
      <c r="M34" s="153">
        <f t="shared" si="4"/>
        <v>2442159.7633136092</v>
      </c>
    </row>
    <row r="35" spans="2:13" x14ac:dyDescent="0.2">
      <c r="B35" t="s">
        <v>7</v>
      </c>
      <c r="C35" s="150" t="s">
        <v>1777</v>
      </c>
      <c r="D35" s="1">
        <v>6.76</v>
      </c>
      <c r="E35" s="151">
        <v>900</v>
      </c>
      <c r="F35" s="151">
        <v>25</v>
      </c>
      <c r="G35" s="151">
        <f t="shared" si="0"/>
        <v>22500</v>
      </c>
      <c r="H35" s="150">
        <f t="shared" si="1"/>
        <v>3328.4023668639056</v>
      </c>
      <c r="I35" s="3">
        <v>3470</v>
      </c>
      <c r="J35" s="152">
        <f t="shared" si="2"/>
        <v>11549556.213017751</v>
      </c>
      <c r="K35" s="153">
        <v>22000</v>
      </c>
      <c r="L35" s="154">
        <f t="shared" si="3"/>
        <v>19800000</v>
      </c>
      <c r="M35" s="8">
        <f t="shared" si="4"/>
        <v>8250443.7869822495</v>
      </c>
    </row>
    <row r="36" spans="2:13" x14ac:dyDescent="0.2">
      <c r="C36" s="150" t="s">
        <v>1791</v>
      </c>
      <c r="D36" s="1">
        <v>6.76</v>
      </c>
      <c r="E36" s="151">
        <v>255</v>
      </c>
      <c r="F36" s="151">
        <v>23.5</v>
      </c>
      <c r="G36" s="151">
        <f t="shared" si="0"/>
        <v>5992.5</v>
      </c>
      <c r="H36" s="150">
        <f t="shared" si="1"/>
        <v>886.46449704142015</v>
      </c>
      <c r="I36" s="3">
        <v>3470</v>
      </c>
      <c r="J36" s="152">
        <f t="shared" si="2"/>
        <v>3076031.8047337281</v>
      </c>
      <c r="K36" s="153">
        <v>20000</v>
      </c>
      <c r="L36" s="154">
        <f t="shared" si="3"/>
        <v>5100000</v>
      </c>
      <c r="M36" s="8">
        <f t="shared" si="4"/>
        <v>2023968.1952662719</v>
      </c>
    </row>
    <row r="37" spans="2:13" x14ac:dyDescent="0.2">
      <c r="B37" t="s">
        <v>253</v>
      </c>
      <c r="C37" s="150" t="s">
        <v>1791</v>
      </c>
      <c r="D37" s="1">
        <v>6.76</v>
      </c>
      <c r="E37" s="151">
        <v>215</v>
      </c>
      <c r="F37" s="151">
        <v>23.5</v>
      </c>
      <c r="G37" s="151">
        <f t="shared" si="0"/>
        <v>5052.5</v>
      </c>
      <c r="H37" s="150">
        <f t="shared" si="1"/>
        <v>747.41124260355036</v>
      </c>
      <c r="I37" s="3">
        <v>3470</v>
      </c>
      <c r="J37" s="152">
        <f t="shared" si="2"/>
        <v>2593517.0118343197</v>
      </c>
      <c r="K37" s="153">
        <v>20000</v>
      </c>
      <c r="L37" s="154">
        <f t="shared" si="3"/>
        <v>4300000</v>
      </c>
      <c r="M37" s="8">
        <f t="shared" si="4"/>
        <v>1706482.9881656803</v>
      </c>
    </row>
    <row r="38" spans="2:13" x14ac:dyDescent="0.2">
      <c r="B38" t="s">
        <v>253</v>
      </c>
      <c r="C38" s="150" t="s">
        <v>1778</v>
      </c>
      <c r="D38" s="1">
        <v>6.76</v>
      </c>
      <c r="E38" s="151">
        <v>200</v>
      </c>
      <c r="F38" s="151">
        <v>24</v>
      </c>
      <c r="G38" s="151">
        <f t="shared" si="0"/>
        <v>4800</v>
      </c>
      <c r="H38" s="150">
        <f t="shared" si="1"/>
        <v>710.05917159763317</v>
      </c>
      <c r="I38" s="3">
        <v>3470</v>
      </c>
      <c r="J38" s="152">
        <f t="shared" si="2"/>
        <v>2463905.325443787</v>
      </c>
      <c r="K38" s="153">
        <v>20000</v>
      </c>
      <c r="L38" s="154">
        <f t="shared" si="3"/>
        <v>4000000</v>
      </c>
      <c r="M38" s="168">
        <f t="shared" si="4"/>
        <v>1536094.674556213</v>
      </c>
    </row>
    <row r="39" spans="2:13" x14ac:dyDescent="0.2">
      <c r="B39" t="s">
        <v>253</v>
      </c>
      <c r="C39" s="150" t="s">
        <v>979</v>
      </c>
      <c r="D39" s="1">
        <v>6.76</v>
      </c>
      <c r="E39" s="151">
        <v>200</v>
      </c>
      <c r="F39" s="151">
        <v>26</v>
      </c>
      <c r="G39" s="151">
        <f t="shared" si="0"/>
        <v>5200</v>
      </c>
      <c r="H39" s="150">
        <f t="shared" si="1"/>
        <v>769.23076923076928</v>
      </c>
      <c r="I39" s="3">
        <v>3470</v>
      </c>
      <c r="J39" s="152">
        <f t="shared" si="2"/>
        <v>2669230.769230769</v>
      </c>
      <c r="K39" s="153">
        <v>20000</v>
      </c>
      <c r="L39" s="154">
        <f t="shared" si="3"/>
        <v>4000000</v>
      </c>
      <c r="M39" s="168">
        <f t="shared" si="4"/>
        <v>1330769.230769231</v>
      </c>
    </row>
    <row r="40" spans="2:13" x14ac:dyDescent="0.2">
      <c r="B40" t="s">
        <v>253</v>
      </c>
      <c r="C40" s="150" t="s">
        <v>1779</v>
      </c>
      <c r="D40" s="1">
        <v>6.76</v>
      </c>
      <c r="E40" s="151">
        <v>200</v>
      </c>
      <c r="F40" s="151">
        <v>28</v>
      </c>
      <c r="G40" s="151">
        <f t="shared" si="0"/>
        <v>5600</v>
      </c>
      <c r="H40" s="150">
        <f t="shared" si="1"/>
        <v>828.4023668639054</v>
      </c>
      <c r="I40" s="3">
        <v>3470</v>
      </c>
      <c r="J40" s="152">
        <f t="shared" si="2"/>
        <v>2874556.2130177515</v>
      </c>
      <c r="K40" s="153">
        <v>22000</v>
      </c>
      <c r="L40" s="154">
        <f t="shared" si="3"/>
        <v>4400000</v>
      </c>
      <c r="M40" s="168">
        <f t="shared" si="4"/>
        <v>1525443.7869822485</v>
      </c>
    </row>
    <row r="41" spans="2:13" x14ac:dyDescent="0.2">
      <c r="B41" t="s">
        <v>253</v>
      </c>
      <c r="C41" s="150" t="s">
        <v>1780</v>
      </c>
      <c r="D41" s="1">
        <v>6.76</v>
      </c>
      <c r="E41" s="151">
        <v>200</v>
      </c>
      <c r="F41" s="151">
        <v>24</v>
      </c>
      <c r="G41" s="151">
        <f t="shared" si="0"/>
        <v>4800</v>
      </c>
      <c r="H41" s="150">
        <f t="shared" si="1"/>
        <v>710.05917159763317</v>
      </c>
      <c r="I41" s="3">
        <v>3470</v>
      </c>
      <c r="J41" s="152">
        <f t="shared" si="2"/>
        <v>2463905.325443787</v>
      </c>
      <c r="K41" s="153">
        <v>20000</v>
      </c>
      <c r="L41" s="154">
        <f t="shared" si="3"/>
        <v>4000000</v>
      </c>
      <c r="M41" s="168">
        <f t="shared" si="4"/>
        <v>1536094.674556213</v>
      </c>
    </row>
    <row r="42" spans="2:13" x14ac:dyDescent="0.2">
      <c r="B42" t="s">
        <v>7</v>
      </c>
      <c r="C42" s="150" t="s">
        <v>1781</v>
      </c>
      <c r="D42" s="1">
        <v>6.76</v>
      </c>
      <c r="E42" s="151">
        <v>250</v>
      </c>
      <c r="F42" s="151">
        <v>20</v>
      </c>
      <c r="G42" s="151">
        <f t="shared" si="0"/>
        <v>5000</v>
      </c>
      <c r="H42" s="150">
        <f t="shared" si="1"/>
        <v>739.64497041420123</v>
      </c>
      <c r="I42" s="3">
        <v>3470</v>
      </c>
      <c r="J42" s="152">
        <f t="shared" si="2"/>
        <v>2566568.0473372783</v>
      </c>
      <c r="K42" s="153">
        <v>20000</v>
      </c>
      <c r="L42" s="154">
        <f t="shared" si="3"/>
        <v>5000000</v>
      </c>
      <c r="M42" s="168">
        <f t="shared" si="4"/>
        <v>2433431.9526627217</v>
      </c>
    </row>
    <row r="43" spans="2:13" x14ac:dyDescent="0.2">
      <c r="B43" t="s">
        <v>1782</v>
      </c>
      <c r="C43" s="150" t="s">
        <v>1783</v>
      </c>
      <c r="D43" s="1">
        <v>6.76</v>
      </c>
      <c r="E43" s="151">
        <v>65</v>
      </c>
      <c r="F43" s="151">
        <v>18</v>
      </c>
      <c r="G43" s="151">
        <f t="shared" si="0"/>
        <v>1170</v>
      </c>
      <c r="H43" s="150">
        <f t="shared" si="1"/>
        <v>173.07692307692309</v>
      </c>
      <c r="I43" s="3">
        <v>3470</v>
      </c>
      <c r="J43" s="152">
        <f t="shared" si="2"/>
        <v>600576.92307692312</v>
      </c>
      <c r="K43" s="153">
        <v>25000</v>
      </c>
      <c r="L43" s="154">
        <f t="shared" si="3"/>
        <v>1625000</v>
      </c>
      <c r="M43" s="168">
        <f t="shared" si="4"/>
        <v>1024423.0769230769</v>
      </c>
    </row>
    <row r="44" spans="2:13" x14ac:dyDescent="0.2">
      <c r="B44" t="s">
        <v>1070</v>
      </c>
      <c r="C44" s="150" t="s">
        <v>1784</v>
      </c>
      <c r="D44" s="1">
        <v>6.76</v>
      </c>
      <c r="E44" s="151">
        <v>150</v>
      </c>
      <c r="F44" s="151">
        <v>18</v>
      </c>
      <c r="G44" s="151">
        <f t="shared" si="0"/>
        <v>2700</v>
      </c>
      <c r="H44" s="150">
        <f t="shared" si="1"/>
        <v>399.40828402366867</v>
      </c>
      <c r="I44" s="3">
        <v>3470</v>
      </c>
      <c r="J44" s="152">
        <f t="shared" si="2"/>
        <v>1385946.7455621301</v>
      </c>
      <c r="K44" s="153">
        <v>23000</v>
      </c>
      <c r="L44" s="154">
        <f t="shared" si="3"/>
        <v>3450000</v>
      </c>
      <c r="M44" s="168">
        <f t="shared" si="4"/>
        <v>2064053.2544378699</v>
      </c>
    </row>
    <row r="45" spans="2:13" x14ac:dyDescent="0.2">
      <c r="B45" t="s">
        <v>253</v>
      </c>
      <c r="C45" s="150" t="s">
        <v>1785</v>
      </c>
      <c r="D45" s="1">
        <v>6.76</v>
      </c>
      <c r="E45" s="151">
        <v>150</v>
      </c>
      <c r="F45" s="151">
        <v>18</v>
      </c>
      <c r="G45" s="151">
        <f t="shared" si="0"/>
        <v>2700</v>
      </c>
      <c r="H45" s="150">
        <f t="shared" si="1"/>
        <v>399.40828402366867</v>
      </c>
      <c r="I45" s="3">
        <v>3470</v>
      </c>
      <c r="J45" s="152">
        <f t="shared" si="2"/>
        <v>1385946.7455621301</v>
      </c>
      <c r="K45" s="153">
        <v>23000</v>
      </c>
      <c r="L45" s="154">
        <f t="shared" si="3"/>
        <v>3450000</v>
      </c>
      <c r="M45" s="168">
        <f t="shared" si="4"/>
        <v>2064053.2544378699</v>
      </c>
    </row>
    <row r="46" spans="2:13" x14ac:dyDescent="0.2">
      <c r="B46" t="s">
        <v>253</v>
      </c>
      <c r="C46" s="150" t="s">
        <v>1786</v>
      </c>
      <c r="D46" s="1">
        <v>6.76</v>
      </c>
      <c r="E46" s="151">
        <v>200</v>
      </c>
      <c r="F46" s="151">
        <v>18</v>
      </c>
      <c r="G46" s="151">
        <f t="shared" si="0"/>
        <v>3600</v>
      </c>
      <c r="H46" s="150">
        <f t="shared" si="1"/>
        <v>532.54437869822482</v>
      </c>
      <c r="I46" s="3">
        <v>3470</v>
      </c>
      <c r="J46" s="152">
        <f t="shared" si="2"/>
        <v>1847928.9940828404</v>
      </c>
      <c r="K46" s="153">
        <v>23000</v>
      </c>
      <c r="L46" s="154">
        <f t="shared" si="3"/>
        <v>4600000</v>
      </c>
      <c r="M46" s="168">
        <f t="shared" si="4"/>
        <v>2752071.0059171598</v>
      </c>
    </row>
    <row r="47" spans="2:13" x14ac:dyDescent="0.2">
      <c r="B47" t="s">
        <v>7</v>
      </c>
      <c r="C47" s="150" t="s">
        <v>1788</v>
      </c>
      <c r="D47" s="1">
        <v>6.76</v>
      </c>
      <c r="E47" s="151">
        <v>219</v>
      </c>
      <c r="F47" s="151">
        <v>15</v>
      </c>
      <c r="G47" s="151">
        <f t="shared" si="0"/>
        <v>3285</v>
      </c>
      <c r="H47" s="150">
        <f t="shared" si="1"/>
        <v>485.94674556213022</v>
      </c>
      <c r="I47" s="3">
        <v>3470</v>
      </c>
      <c r="J47" s="152">
        <f t="shared" si="2"/>
        <v>1686235.2071005916</v>
      </c>
      <c r="K47" s="153">
        <v>20000</v>
      </c>
      <c r="L47" s="154">
        <f t="shared" si="3"/>
        <v>4380000</v>
      </c>
      <c r="M47" s="168">
        <f t="shared" si="4"/>
        <v>2693764.7928994084</v>
      </c>
    </row>
    <row r="48" spans="2:13" x14ac:dyDescent="0.2">
      <c r="C48" s="150" t="s">
        <v>253</v>
      </c>
      <c r="D48" s="1">
        <v>6.76</v>
      </c>
      <c r="E48" s="151">
        <v>150</v>
      </c>
      <c r="F48" s="151">
        <v>18</v>
      </c>
      <c r="G48" s="151">
        <f t="shared" si="0"/>
        <v>2700</v>
      </c>
      <c r="H48" s="150">
        <f t="shared" si="1"/>
        <v>399.40828402366867</v>
      </c>
      <c r="I48" s="3">
        <v>3470</v>
      </c>
      <c r="J48" s="152">
        <f t="shared" si="2"/>
        <v>1385946.7455621301</v>
      </c>
      <c r="K48" s="153">
        <v>20000</v>
      </c>
      <c r="L48" s="154">
        <f t="shared" si="3"/>
        <v>3000000</v>
      </c>
      <c r="M48" s="168">
        <f t="shared" si="4"/>
        <v>1614053.2544378699</v>
      </c>
    </row>
    <row r="49" spans="2:13" x14ac:dyDescent="0.2">
      <c r="B49" t="s">
        <v>1789</v>
      </c>
      <c r="C49" s="150" t="s">
        <v>1790</v>
      </c>
      <c r="D49" s="1">
        <v>6.76</v>
      </c>
      <c r="E49" s="151">
        <v>300</v>
      </c>
      <c r="F49" s="151">
        <v>22</v>
      </c>
      <c r="G49" s="151">
        <f t="shared" si="0"/>
        <v>6600</v>
      </c>
      <c r="H49" s="150">
        <f t="shared" si="1"/>
        <v>976.33136094674558</v>
      </c>
      <c r="I49" s="3">
        <v>3470</v>
      </c>
      <c r="J49" s="152">
        <f t="shared" si="2"/>
        <v>3387869.8224852071</v>
      </c>
      <c r="K49" s="153">
        <v>25000</v>
      </c>
      <c r="L49" s="154">
        <f t="shared" si="3"/>
        <v>7500000</v>
      </c>
      <c r="M49" s="168">
        <f t="shared" si="4"/>
        <v>4112130.1775147929</v>
      </c>
    </row>
    <row r="50" spans="2:13" x14ac:dyDescent="0.2">
      <c r="B50" t="s">
        <v>7</v>
      </c>
      <c r="C50" s="179" t="s">
        <v>1792</v>
      </c>
      <c r="D50" s="1">
        <v>6.76</v>
      </c>
      <c r="E50" s="35">
        <v>412</v>
      </c>
      <c r="F50" s="35">
        <v>16</v>
      </c>
      <c r="G50" s="35">
        <f t="shared" si="0"/>
        <v>6592</v>
      </c>
      <c r="H50" s="150">
        <f t="shared" si="1"/>
        <v>975.14792899408292</v>
      </c>
      <c r="I50" s="3">
        <v>3470</v>
      </c>
      <c r="J50" s="180">
        <f t="shared" si="2"/>
        <v>3383763.3136094678</v>
      </c>
      <c r="K50" s="168">
        <v>20000</v>
      </c>
      <c r="L50" s="181">
        <f t="shared" si="3"/>
        <v>8240000</v>
      </c>
      <c r="M50" s="168">
        <f t="shared" si="4"/>
        <v>4856236.6863905322</v>
      </c>
    </row>
    <row r="51" spans="2:13" x14ac:dyDescent="0.2">
      <c r="B51" t="s">
        <v>253</v>
      </c>
      <c r="C51" s="179" t="s">
        <v>1793</v>
      </c>
      <c r="D51" s="1">
        <v>6.76</v>
      </c>
      <c r="E51" s="35">
        <v>180</v>
      </c>
      <c r="F51" s="35">
        <v>15.5</v>
      </c>
      <c r="G51" s="35">
        <f t="shared" si="0"/>
        <v>2790</v>
      </c>
      <c r="H51" s="150">
        <f t="shared" si="1"/>
        <v>412.72189349112426</v>
      </c>
      <c r="I51" s="3">
        <v>3470</v>
      </c>
      <c r="J51" s="180">
        <f t="shared" si="2"/>
        <v>1432144.9704142013</v>
      </c>
      <c r="K51" s="168">
        <v>20000</v>
      </c>
      <c r="L51" s="181">
        <f t="shared" si="3"/>
        <v>3600000</v>
      </c>
      <c r="M51" s="168">
        <f t="shared" si="4"/>
        <v>2167855.0295857987</v>
      </c>
    </row>
    <row r="52" spans="2:13" x14ac:dyDescent="0.2">
      <c r="D52" s="1"/>
      <c r="E52" s="7">
        <f>SUM(E3:E51)</f>
        <v>11546</v>
      </c>
      <c r="H52" s="150">
        <f>SUM(H3:H51)</f>
        <v>42438.16568047335</v>
      </c>
      <c r="I52" s="3"/>
      <c r="J52" s="122">
        <f>SUM(J3:J51)</f>
        <v>147260434.91124263</v>
      </c>
      <c r="L52" s="49">
        <f>SUM(L3:L51)</f>
        <v>252845000</v>
      </c>
      <c r="M52" s="48">
        <f>SUM(M3:M51)</f>
        <v>105584565.08875737</v>
      </c>
    </row>
    <row r="53" spans="2:13" x14ac:dyDescent="0.2">
      <c r="C53" s="179" t="s">
        <v>1832</v>
      </c>
      <c r="D53" s="1"/>
      <c r="I53" s="3"/>
    </row>
    <row r="57" spans="2:13" x14ac:dyDescent="0.2">
      <c r="I57" s="3" t="s">
        <v>25</v>
      </c>
      <c r="J57" s="169">
        <v>147260434</v>
      </c>
    </row>
    <row r="58" spans="2:13" x14ac:dyDescent="0.2">
      <c r="I58" s="3" t="s">
        <v>27</v>
      </c>
      <c r="J58" s="9">
        <v>4200000</v>
      </c>
    </row>
    <row r="59" spans="2:13" x14ac:dyDescent="0.2">
      <c r="I59" s="3" t="s">
        <v>26</v>
      </c>
      <c r="J59" s="3">
        <v>3745000</v>
      </c>
    </row>
    <row r="60" spans="2:13" x14ac:dyDescent="0.2">
      <c r="I60" s="3" t="s">
        <v>33</v>
      </c>
      <c r="J60" s="3">
        <v>4000000</v>
      </c>
    </row>
    <row r="61" spans="2:13" x14ac:dyDescent="0.2">
      <c r="I61" s="3" t="s">
        <v>31</v>
      </c>
      <c r="J61" s="3">
        <v>8000000</v>
      </c>
    </row>
    <row r="62" spans="2:13" x14ac:dyDescent="0.2">
      <c r="I62" s="3" t="s">
        <v>36</v>
      </c>
      <c r="J62" s="3">
        <v>3410000</v>
      </c>
    </row>
    <row r="63" spans="2:13" x14ac:dyDescent="0.2">
      <c r="I63" s="3" t="s">
        <v>29</v>
      </c>
      <c r="J63" s="23">
        <v>13000000</v>
      </c>
    </row>
    <row r="64" spans="2:13" x14ac:dyDescent="0.2">
      <c r="I64" s="3" t="s">
        <v>34</v>
      </c>
      <c r="J64" s="127">
        <f>SUM(J57:J63)</f>
        <v>183615434</v>
      </c>
    </row>
    <row r="65" spans="6:10" x14ac:dyDescent="0.2">
      <c r="I65" s="3" t="s">
        <v>6</v>
      </c>
      <c r="J65" s="116">
        <v>254985000</v>
      </c>
    </row>
    <row r="66" spans="6:10" ht="18" x14ac:dyDescent="0.35">
      <c r="I66" s="3" t="s">
        <v>35</v>
      </c>
      <c r="J66" s="21">
        <f>J65-J64</f>
        <v>71369566</v>
      </c>
    </row>
    <row r="73" spans="6:10" x14ac:dyDescent="0.2">
      <c r="F73" t="s">
        <v>1076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57"/>
  <sheetViews>
    <sheetView workbookViewId="0">
      <selection activeCell="M1" sqref="A1:M11"/>
    </sheetView>
  </sheetViews>
  <sheetFormatPr baseColWidth="10" defaultRowHeight="15" x14ac:dyDescent="0.2"/>
  <cols>
    <col min="3" max="3" width="17.33203125" customWidth="1"/>
    <col min="4" max="4" width="10.83203125" customWidth="1"/>
    <col min="5" max="5" width="12.1640625" customWidth="1"/>
    <col min="10" max="10" width="16.33203125" customWidth="1"/>
    <col min="12" max="12" width="13.1640625" customWidth="1"/>
  </cols>
  <sheetData>
    <row r="1" spans="1:13" ht="31" x14ac:dyDescent="0.35">
      <c r="A1" s="56" t="s">
        <v>1797</v>
      </c>
      <c r="B1" s="56"/>
      <c r="C1" s="56"/>
      <c r="D1" s="56"/>
      <c r="E1" s="56"/>
      <c r="F1" s="57" t="s">
        <v>1795</v>
      </c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145" t="s">
        <v>1796</v>
      </c>
      <c r="B3" s="145" t="s">
        <v>7</v>
      </c>
      <c r="C3" s="145" t="s">
        <v>1798</v>
      </c>
      <c r="D3" s="1">
        <v>6.94</v>
      </c>
      <c r="E3" s="149">
        <v>200</v>
      </c>
      <c r="F3" s="149">
        <v>27</v>
      </c>
      <c r="G3" s="149">
        <f t="shared" ref="G3:G37" si="0">E3*F3</f>
        <v>5400</v>
      </c>
      <c r="H3" s="145">
        <f t="shared" ref="H3:H37" si="1">G3/D3</f>
        <v>778.09798270893373</v>
      </c>
      <c r="I3" s="3">
        <v>3630</v>
      </c>
      <c r="J3" s="146">
        <f t="shared" ref="J3:J37" si="2">F3/D3*I3*E3</f>
        <v>2824495.6772334292</v>
      </c>
      <c r="K3" s="147">
        <v>23000</v>
      </c>
      <c r="L3" s="148">
        <f t="shared" ref="L3:L37" si="3">K3*E3</f>
        <v>4600000</v>
      </c>
      <c r="M3" s="147">
        <f t="shared" ref="M3:M37" si="4">L3-J3</f>
        <v>1775504.3227665708</v>
      </c>
    </row>
    <row r="4" spans="1:13" x14ac:dyDescent="0.2">
      <c r="A4" s="145"/>
      <c r="B4" s="145" t="s">
        <v>253</v>
      </c>
      <c r="C4" s="145" t="s">
        <v>1799</v>
      </c>
      <c r="D4" s="1">
        <v>6.94</v>
      </c>
      <c r="E4" s="149">
        <v>200</v>
      </c>
      <c r="F4" s="149">
        <v>27</v>
      </c>
      <c r="G4" s="149">
        <f t="shared" si="0"/>
        <v>5400</v>
      </c>
      <c r="H4" s="145">
        <f t="shared" si="1"/>
        <v>778.09798270893373</v>
      </c>
      <c r="I4" s="3">
        <v>3630</v>
      </c>
      <c r="J4" s="146">
        <f t="shared" si="2"/>
        <v>2824495.6772334292</v>
      </c>
      <c r="K4" s="147">
        <v>23000</v>
      </c>
      <c r="L4" s="148">
        <f t="shared" si="3"/>
        <v>4600000</v>
      </c>
      <c r="M4" s="147">
        <f t="shared" si="4"/>
        <v>1775504.3227665708</v>
      </c>
    </row>
    <row r="5" spans="1:13" x14ac:dyDescent="0.2">
      <c r="A5" s="1"/>
      <c r="B5" s="145" t="s">
        <v>253</v>
      </c>
      <c r="C5" s="145" t="s">
        <v>1800</v>
      </c>
      <c r="D5" s="1">
        <v>6.94</v>
      </c>
      <c r="E5" s="149">
        <v>200</v>
      </c>
      <c r="F5" s="149">
        <v>28</v>
      </c>
      <c r="G5" s="149">
        <f t="shared" si="0"/>
        <v>5600</v>
      </c>
      <c r="H5" s="145">
        <f t="shared" si="1"/>
        <v>806.9164265129682</v>
      </c>
      <c r="I5" s="3">
        <v>3630</v>
      </c>
      <c r="J5" s="146">
        <f t="shared" si="2"/>
        <v>2929106.6282420745</v>
      </c>
      <c r="K5" s="147">
        <v>23000</v>
      </c>
      <c r="L5" s="148">
        <f t="shared" si="3"/>
        <v>4600000</v>
      </c>
      <c r="M5" s="147">
        <f t="shared" si="4"/>
        <v>1670893.3717579255</v>
      </c>
    </row>
    <row r="6" spans="1:13" x14ac:dyDescent="0.2">
      <c r="A6" s="1"/>
      <c r="B6" s="145" t="s">
        <v>253</v>
      </c>
      <c r="C6" s="145" t="s">
        <v>1801</v>
      </c>
      <c r="D6" s="1">
        <v>6.94</v>
      </c>
      <c r="E6" s="149">
        <v>200</v>
      </c>
      <c r="F6" s="149">
        <v>28</v>
      </c>
      <c r="G6" s="149">
        <f t="shared" si="0"/>
        <v>5600</v>
      </c>
      <c r="H6" s="145">
        <f t="shared" si="1"/>
        <v>806.9164265129682</v>
      </c>
      <c r="I6" s="3">
        <v>3630</v>
      </c>
      <c r="J6" s="146">
        <f t="shared" si="2"/>
        <v>2929106.6282420745</v>
      </c>
      <c r="K6" s="147">
        <v>23000</v>
      </c>
      <c r="L6" s="148">
        <f t="shared" si="3"/>
        <v>4600000</v>
      </c>
      <c r="M6" s="147">
        <f t="shared" si="4"/>
        <v>1670893.3717579255</v>
      </c>
    </row>
    <row r="7" spans="1:13" x14ac:dyDescent="0.2">
      <c r="A7" s="1"/>
      <c r="B7" s="145" t="s">
        <v>253</v>
      </c>
      <c r="C7" s="145" t="s">
        <v>1802</v>
      </c>
      <c r="D7" s="1">
        <v>6.94</v>
      </c>
      <c r="E7" s="149">
        <v>200</v>
      </c>
      <c r="F7" s="149">
        <v>29</v>
      </c>
      <c r="G7" s="149">
        <f t="shared" si="0"/>
        <v>5800</v>
      </c>
      <c r="H7" s="145">
        <f t="shared" si="1"/>
        <v>835.73487031700279</v>
      </c>
      <c r="I7" s="3">
        <v>3630</v>
      </c>
      <c r="J7" s="146">
        <f t="shared" si="2"/>
        <v>3033717.5792507203</v>
      </c>
      <c r="K7" s="147">
        <v>22000</v>
      </c>
      <c r="L7" s="148">
        <f t="shared" si="3"/>
        <v>4400000</v>
      </c>
      <c r="M7" s="147">
        <f t="shared" si="4"/>
        <v>1366282.4207492797</v>
      </c>
    </row>
    <row r="8" spans="1:13" x14ac:dyDescent="0.2">
      <c r="A8" s="1"/>
      <c r="B8" s="145" t="s">
        <v>253</v>
      </c>
      <c r="C8" s="1" t="s">
        <v>1803</v>
      </c>
      <c r="D8" s="1">
        <v>6.94</v>
      </c>
      <c r="E8" s="149">
        <v>200</v>
      </c>
      <c r="F8" s="149">
        <v>28</v>
      </c>
      <c r="G8" s="149">
        <f t="shared" si="0"/>
        <v>5600</v>
      </c>
      <c r="H8" s="145">
        <f t="shared" si="1"/>
        <v>806.9164265129682</v>
      </c>
      <c r="I8" s="3">
        <v>3630</v>
      </c>
      <c r="J8" s="146">
        <f t="shared" si="2"/>
        <v>2929106.6282420745</v>
      </c>
      <c r="K8" s="147">
        <v>23000</v>
      </c>
      <c r="L8" s="148">
        <f t="shared" si="3"/>
        <v>4600000</v>
      </c>
      <c r="M8" s="147">
        <f t="shared" si="4"/>
        <v>1670893.3717579255</v>
      </c>
    </row>
    <row r="9" spans="1:13" x14ac:dyDescent="0.2">
      <c r="A9" s="1"/>
      <c r="B9" s="1" t="s">
        <v>253</v>
      </c>
      <c r="C9" s="145" t="s">
        <v>1804</v>
      </c>
      <c r="D9" s="1">
        <v>6.94</v>
      </c>
      <c r="E9" s="149">
        <v>200</v>
      </c>
      <c r="F9" s="149">
        <v>28</v>
      </c>
      <c r="G9" s="149">
        <f t="shared" si="0"/>
        <v>5600</v>
      </c>
      <c r="H9" s="145">
        <f t="shared" si="1"/>
        <v>806.9164265129682</v>
      </c>
      <c r="I9" s="3">
        <v>3630</v>
      </c>
      <c r="J9" s="146">
        <f t="shared" si="2"/>
        <v>2929106.6282420745</v>
      </c>
      <c r="K9" s="147">
        <v>23000</v>
      </c>
      <c r="L9" s="148">
        <f t="shared" si="3"/>
        <v>4600000</v>
      </c>
      <c r="M9" s="147">
        <f t="shared" si="4"/>
        <v>1670893.3717579255</v>
      </c>
    </row>
    <row r="10" spans="1:13" x14ac:dyDescent="0.2">
      <c r="A10" s="1"/>
      <c r="B10" s="145" t="s">
        <v>253</v>
      </c>
      <c r="C10" s="145" t="s">
        <v>1805</v>
      </c>
      <c r="D10" s="1">
        <v>6.94</v>
      </c>
      <c r="E10" s="149">
        <v>214</v>
      </c>
      <c r="F10" s="149">
        <v>27</v>
      </c>
      <c r="G10" s="149">
        <f t="shared" si="0"/>
        <v>5778</v>
      </c>
      <c r="H10" s="145">
        <f>G10/D10</f>
        <v>832.56484149855908</v>
      </c>
      <c r="I10" s="3">
        <v>3630</v>
      </c>
      <c r="J10" s="146">
        <f t="shared" si="2"/>
        <v>3022210.3746397691</v>
      </c>
      <c r="K10" s="147">
        <v>23000</v>
      </c>
      <c r="L10" s="148">
        <f t="shared" si="3"/>
        <v>4922000</v>
      </c>
      <c r="M10" s="147">
        <f t="shared" si="4"/>
        <v>1899789.6253602309</v>
      </c>
    </row>
    <row r="11" spans="1:13" x14ac:dyDescent="0.2">
      <c r="A11" s="1"/>
      <c r="B11" s="1" t="s">
        <v>1766</v>
      </c>
      <c r="C11" s="145" t="s">
        <v>1806</v>
      </c>
      <c r="D11" s="1">
        <v>6.94</v>
      </c>
      <c r="E11" s="149">
        <v>200</v>
      </c>
      <c r="F11" s="149">
        <v>28</v>
      </c>
      <c r="G11" s="149">
        <f t="shared" si="0"/>
        <v>5600</v>
      </c>
      <c r="H11" s="145">
        <f t="shared" si="1"/>
        <v>806.9164265129682</v>
      </c>
      <c r="I11" s="3">
        <v>3630</v>
      </c>
      <c r="J11" s="146">
        <f t="shared" si="2"/>
        <v>2929106.6282420745</v>
      </c>
      <c r="K11" s="147">
        <v>23000</v>
      </c>
      <c r="L11" s="148">
        <f t="shared" si="3"/>
        <v>4600000</v>
      </c>
      <c r="M11" s="147">
        <f t="shared" si="4"/>
        <v>1670893.3717579255</v>
      </c>
    </row>
    <row r="12" spans="1:13" x14ac:dyDescent="0.2">
      <c r="B12" s="150" t="s">
        <v>253</v>
      </c>
      <c r="C12" s="150" t="s">
        <v>1807</v>
      </c>
      <c r="D12" s="1">
        <v>6.94</v>
      </c>
      <c r="E12" s="151">
        <v>200</v>
      </c>
      <c r="F12" s="151">
        <v>20</v>
      </c>
      <c r="G12" s="151">
        <f t="shared" si="0"/>
        <v>4000</v>
      </c>
      <c r="H12" s="150">
        <f t="shared" si="1"/>
        <v>576.36887608069162</v>
      </c>
      <c r="I12" s="3">
        <v>3630</v>
      </c>
      <c r="J12" s="152">
        <f t="shared" si="2"/>
        <v>2092219.0201729108</v>
      </c>
      <c r="K12" s="153">
        <v>20000</v>
      </c>
      <c r="L12" s="154">
        <f t="shared" si="3"/>
        <v>4000000</v>
      </c>
      <c r="M12" s="153">
        <f t="shared" si="4"/>
        <v>1907780.9798270892</v>
      </c>
    </row>
    <row r="13" spans="1:13" x14ac:dyDescent="0.2">
      <c r="B13" s="78" t="s">
        <v>253</v>
      </c>
      <c r="C13" s="150" t="s">
        <v>1808</v>
      </c>
      <c r="D13" s="1">
        <v>6.94</v>
      </c>
      <c r="E13" s="151">
        <v>200</v>
      </c>
      <c r="F13" s="151">
        <v>29.5</v>
      </c>
      <c r="G13" s="151">
        <f t="shared" si="0"/>
        <v>5900</v>
      </c>
      <c r="H13" s="150">
        <f t="shared" si="1"/>
        <v>850.14409221902008</v>
      </c>
      <c r="I13" s="3">
        <v>3630</v>
      </c>
      <c r="J13" s="152">
        <f t="shared" si="2"/>
        <v>3086023.0547550432</v>
      </c>
      <c r="K13" s="153">
        <v>23000</v>
      </c>
      <c r="L13" s="154">
        <f t="shared" si="3"/>
        <v>4600000</v>
      </c>
      <c r="M13" s="153">
        <f t="shared" si="4"/>
        <v>1513976.9452449568</v>
      </c>
    </row>
    <row r="14" spans="1:13" x14ac:dyDescent="0.2">
      <c r="B14" s="150" t="s">
        <v>253</v>
      </c>
      <c r="C14" s="150" t="s">
        <v>1809</v>
      </c>
      <c r="D14" s="1">
        <v>6.94</v>
      </c>
      <c r="E14" s="151">
        <v>200</v>
      </c>
      <c r="F14" s="151">
        <v>28</v>
      </c>
      <c r="G14" s="151">
        <f t="shared" si="0"/>
        <v>5600</v>
      </c>
      <c r="H14" s="150">
        <f t="shared" si="1"/>
        <v>806.9164265129682</v>
      </c>
      <c r="I14" s="3">
        <v>3630</v>
      </c>
      <c r="J14" s="152">
        <f t="shared" si="2"/>
        <v>2929106.6282420745</v>
      </c>
      <c r="K14" s="153">
        <v>23000</v>
      </c>
      <c r="L14" s="154">
        <f t="shared" si="3"/>
        <v>4600000</v>
      </c>
      <c r="M14" s="153">
        <f t="shared" si="4"/>
        <v>1670893.3717579255</v>
      </c>
    </row>
    <row r="15" spans="1:13" x14ac:dyDescent="0.2">
      <c r="B15" s="78" t="s">
        <v>253</v>
      </c>
      <c r="C15" s="150" t="s">
        <v>1810</v>
      </c>
      <c r="D15" s="1">
        <v>6.94</v>
      </c>
      <c r="E15" s="151">
        <v>200</v>
      </c>
      <c r="F15" s="151">
        <v>25</v>
      </c>
      <c r="G15" s="151">
        <f t="shared" si="0"/>
        <v>5000</v>
      </c>
      <c r="H15" s="150">
        <f t="shared" si="1"/>
        <v>720.46109510086455</v>
      </c>
      <c r="I15" s="3">
        <v>3630</v>
      </c>
      <c r="J15" s="152">
        <f t="shared" si="2"/>
        <v>2615273.775216138</v>
      </c>
      <c r="K15" s="153">
        <v>20000</v>
      </c>
      <c r="L15" s="154">
        <f t="shared" si="3"/>
        <v>4000000</v>
      </c>
      <c r="M15" s="153">
        <f t="shared" si="4"/>
        <v>1384726.224783862</v>
      </c>
    </row>
    <row r="16" spans="1:13" x14ac:dyDescent="0.2">
      <c r="B16" s="150" t="s">
        <v>253</v>
      </c>
      <c r="C16" s="150" t="s">
        <v>1770</v>
      </c>
      <c r="D16" s="1">
        <v>6.94</v>
      </c>
      <c r="E16" s="151">
        <v>200</v>
      </c>
      <c r="F16" s="151">
        <v>28</v>
      </c>
      <c r="G16" s="151">
        <f t="shared" si="0"/>
        <v>5600</v>
      </c>
      <c r="H16" s="150">
        <f t="shared" si="1"/>
        <v>806.9164265129682</v>
      </c>
      <c r="I16" s="3">
        <v>3630</v>
      </c>
      <c r="J16" s="152">
        <f t="shared" si="2"/>
        <v>2929106.6282420745</v>
      </c>
      <c r="K16" s="153">
        <v>23000</v>
      </c>
      <c r="L16" s="154">
        <f t="shared" si="3"/>
        <v>4600000</v>
      </c>
      <c r="M16" s="153">
        <f t="shared" si="4"/>
        <v>1670893.3717579255</v>
      </c>
    </row>
    <row r="17" spans="2:13" x14ac:dyDescent="0.2">
      <c r="B17" s="78" t="s">
        <v>253</v>
      </c>
      <c r="C17" s="150" t="s">
        <v>1811</v>
      </c>
      <c r="D17" s="1">
        <v>6.94</v>
      </c>
      <c r="E17" s="151">
        <v>200</v>
      </c>
      <c r="F17" s="151">
        <v>29</v>
      </c>
      <c r="G17" s="151">
        <f t="shared" si="0"/>
        <v>5800</v>
      </c>
      <c r="H17" s="150">
        <f t="shared" si="1"/>
        <v>835.73487031700279</v>
      </c>
      <c r="I17" s="3">
        <v>3630</v>
      </c>
      <c r="J17" s="152">
        <f t="shared" si="2"/>
        <v>3033717.5792507203</v>
      </c>
      <c r="K17" s="153">
        <v>23000</v>
      </c>
      <c r="L17" s="154">
        <f t="shared" si="3"/>
        <v>4600000</v>
      </c>
      <c r="M17" s="153">
        <f t="shared" si="4"/>
        <v>1566282.4207492797</v>
      </c>
    </row>
    <row r="18" spans="2:13" x14ac:dyDescent="0.2">
      <c r="B18" s="150" t="s">
        <v>253</v>
      </c>
      <c r="C18" s="150" t="s">
        <v>1812</v>
      </c>
      <c r="D18" s="1">
        <v>6.94</v>
      </c>
      <c r="E18" s="151">
        <v>200</v>
      </c>
      <c r="F18" s="151">
        <v>29</v>
      </c>
      <c r="G18" s="151">
        <f t="shared" si="0"/>
        <v>5800</v>
      </c>
      <c r="H18" s="150">
        <f t="shared" si="1"/>
        <v>835.73487031700279</v>
      </c>
      <c r="I18" s="3">
        <v>3630</v>
      </c>
      <c r="J18" s="152">
        <f t="shared" si="2"/>
        <v>3033717.5792507203</v>
      </c>
      <c r="K18" s="153">
        <v>23000</v>
      </c>
      <c r="L18" s="154">
        <f t="shared" si="3"/>
        <v>4600000</v>
      </c>
      <c r="M18" s="153">
        <f t="shared" si="4"/>
        <v>1566282.4207492797</v>
      </c>
    </row>
    <row r="19" spans="2:13" x14ac:dyDescent="0.2">
      <c r="B19" s="78" t="s">
        <v>253</v>
      </c>
      <c r="C19" s="150" t="s">
        <v>1813</v>
      </c>
      <c r="D19" s="1">
        <v>6.94</v>
      </c>
      <c r="E19" s="151">
        <v>200</v>
      </c>
      <c r="F19" s="151">
        <v>26</v>
      </c>
      <c r="G19" s="151">
        <f t="shared" si="0"/>
        <v>5200</v>
      </c>
      <c r="H19" s="150">
        <f t="shared" si="1"/>
        <v>749.27953890489914</v>
      </c>
      <c r="I19" s="3">
        <v>3630</v>
      </c>
      <c r="J19" s="152">
        <f t="shared" si="2"/>
        <v>2719884.7262247838</v>
      </c>
      <c r="K19" s="153">
        <v>22000</v>
      </c>
      <c r="L19" s="154">
        <f t="shared" si="3"/>
        <v>4400000</v>
      </c>
      <c r="M19" s="153">
        <f t="shared" si="4"/>
        <v>1680115.2737752162</v>
      </c>
    </row>
    <row r="20" spans="2:13" x14ac:dyDescent="0.2">
      <c r="B20" s="150" t="s">
        <v>253</v>
      </c>
      <c r="C20" s="150" t="s">
        <v>1814</v>
      </c>
      <c r="D20" s="1">
        <v>6.94</v>
      </c>
      <c r="E20" s="151">
        <v>200</v>
      </c>
      <c r="F20" s="151">
        <v>23</v>
      </c>
      <c r="G20" s="151">
        <f t="shared" si="0"/>
        <v>4600</v>
      </c>
      <c r="H20" s="150">
        <f t="shared" si="1"/>
        <v>662.82420749279538</v>
      </c>
      <c r="I20" s="3">
        <v>3630</v>
      </c>
      <c r="J20" s="152">
        <f t="shared" si="2"/>
        <v>2406051.8731988473</v>
      </c>
      <c r="K20" s="153">
        <v>20000</v>
      </c>
      <c r="L20" s="154">
        <f t="shared" si="3"/>
        <v>4000000</v>
      </c>
      <c r="M20" s="153">
        <f t="shared" si="4"/>
        <v>1593948.1268011527</v>
      </c>
    </row>
    <row r="21" spans="2:13" x14ac:dyDescent="0.2">
      <c r="B21" s="78" t="s">
        <v>253</v>
      </c>
      <c r="C21" s="150" t="s">
        <v>1815</v>
      </c>
      <c r="D21" s="1">
        <v>6.94</v>
      </c>
      <c r="E21" s="151">
        <v>300</v>
      </c>
      <c r="F21" s="151">
        <v>25</v>
      </c>
      <c r="G21" s="151">
        <f t="shared" si="0"/>
        <v>7500</v>
      </c>
      <c r="H21" s="150">
        <f t="shared" si="1"/>
        <v>1080.6916426512967</v>
      </c>
      <c r="I21" s="3">
        <v>3630</v>
      </c>
      <c r="J21" s="152">
        <f t="shared" si="2"/>
        <v>3922910.6628242075</v>
      </c>
      <c r="K21" s="153">
        <v>20000</v>
      </c>
      <c r="L21" s="154">
        <f t="shared" si="3"/>
        <v>6000000</v>
      </c>
      <c r="M21" s="153">
        <f t="shared" si="4"/>
        <v>2077089.3371757925</v>
      </c>
    </row>
    <row r="22" spans="2:13" x14ac:dyDescent="0.2">
      <c r="B22" s="150" t="s">
        <v>253</v>
      </c>
      <c r="C22" s="150" t="s">
        <v>1816</v>
      </c>
      <c r="D22" s="1">
        <v>6.94</v>
      </c>
      <c r="E22" s="151">
        <v>300</v>
      </c>
      <c r="F22" s="151">
        <v>25</v>
      </c>
      <c r="G22" s="151">
        <f t="shared" si="0"/>
        <v>7500</v>
      </c>
      <c r="H22" s="150">
        <f t="shared" si="1"/>
        <v>1080.6916426512967</v>
      </c>
      <c r="I22" s="3">
        <v>3630</v>
      </c>
      <c r="J22" s="152">
        <f t="shared" si="2"/>
        <v>3922910.6628242075</v>
      </c>
      <c r="K22" s="153">
        <v>20000</v>
      </c>
      <c r="L22" s="154">
        <f t="shared" si="3"/>
        <v>6000000</v>
      </c>
      <c r="M22" s="153">
        <f t="shared" si="4"/>
        <v>2077089.3371757925</v>
      </c>
    </row>
    <row r="23" spans="2:13" x14ac:dyDescent="0.2">
      <c r="B23" s="78" t="s">
        <v>253</v>
      </c>
      <c r="C23" s="150" t="s">
        <v>1817</v>
      </c>
      <c r="D23" s="1">
        <v>6.94</v>
      </c>
      <c r="E23" s="151">
        <v>200</v>
      </c>
      <c r="F23" s="151">
        <v>24</v>
      </c>
      <c r="G23" s="151">
        <f t="shared" si="0"/>
        <v>4800</v>
      </c>
      <c r="H23" s="150">
        <f t="shared" si="1"/>
        <v>691.64265129682997</v>
      </c>
      <c r="I23" s="3">
        <v>3630</v>
      </c>
      <c r="J23" s="152">
        <f t="shared" si="2"/>
        <v>2510662.8242074926</v>
      </c>
      <c r="K23" s="153">
        <v>20000</v>
      </c>
      <c r="L23" s="154">
        <f t="shared" si="3"/>
        <v>4000000</v>
      </c>
      <c r="M23" s="153">
        <f t="shared" si="4"/>
        <v>1489337.1757925074</v>
      </c>
    </row>
    <row r="24" spans="2:13" x14ac:dyDescent="0.2">
      <c r="B24" s="150" t="s">
        <v>253</v>
      </c>
      <c r="C24" s="150" t="s">
        <v>1818</v>
      </c>
      <c r="D24" s="1">
        <v>6.94</v>
      </c>
      <c r="E24" s="151">
        <v>200</v>
      </c>
      <c r="F24" s="151">
        <v>26</v>
      </c>
      <c r="G24" s="151">
        <f t="shared" si="0"/>
        <v>5200</v>
      </c>
      <c r="H24" s="150">
        <f t="shared" si="1"/>
        <v>749.27953890489914</v>
      </c>
      <c r="I24" s="3">
        <v>3630</v>
      </c>
      <c r="J24" s="152">
        <f t="shared" si="2"/>
        <v>2719884.7262247838</v>
      </c>
      <c r="K24" s="153">
        <v>22000</v>
      </c>
      <c r="L24" s="154">
        <f t="shared" si="3"/>
        <v>4400000</v>
      </c>
      <c r="M24" s="153">
        <f t="shared" si="4"/>
        <v>1680115.2737752162</v>
      </c>
    </row>
    <row r="25" spans="2:13" x14ac:dyDescent="0.2">
      <c r="B25" s="78" t="s">
        <v>253</v>
      </c>
      <c r="C25" s="150" t="s">
        <v>1819</v>
      </c>
      <c r="D25" s="1">
        <v>6.94</v>
      </c>
      <c r="E25" s="151">
        <v>200</v>
      </c>
      <c r="F25" s="151">
        <v>28</v>
      </c>
      <c r="G25" s="151">
        <f t="shared" si="0"/>
        <v>5600</v>
      </c>
      <c r="H25" s="150">
        <f t="shared" si="1"/>
        <v>806.9164265129682</v>
      </c>
      <c r="I25" s="3">
        <v>3630</v>
      </c>
      <c r="J25" s="152">
        <f t="shared" si="2"/>
        <v>2929106.6282420745</v>
      </c>
      <c r="K25" s="153">
        <v>23000</v>
      </c>
      <c r="L25" s="154">
        <f t="shared" si="3"/>
        <v>4600000</v>
      </c>
      <c r="M25" s="153">
        <f t="shared" si="4"/>
        <v>1670893.3717579255</v>
      </c>
    </row>
    <row r="26" spans="2:13" x14ac:dyDescent="0.2">
      <c r="B26" s="150" t="s">
        <v>253</v>
      </c>
      <c r="C26" s="150" t="s">
        <v>1820</v>
      </c>
      <c r="D26" s="1">
        <v>6.94</v>
      </c>
      <c r="E26" s="151">
        <v>200</v>
      </c>
      <c r="F26" s="151">
        <v>28</v>
      </c>
      <c r="G26" s="151">
        <f t="shared" si="0"/>
        <v>5600</v>
      </c>
      <c r="H26" s="150">
        <f t="shared" si="1"/>
        <v>806.9164265129682</v>
      </c>
      <c r="I26" s="3">
        <v>3630</v>
      </c>
      <c r="J26" s="152">
        <f t="shared" si="2"/>
        <v>2929106.6282420745</v>
      </c>
      <c r="K26" s="153">
        <v>23000</v>
      </c>
      <c r="L26" s="154">
        <f t="shared" si="3"/>
        <v>4600000</v>
      </c>
      <c r="M26" s="153">
        <f t="shared" si="4"/>
        <v>1670893.3717579255</v>
      </c>
    </row>
    <row r="27" spans="2:13" x14ac:dyDescent="0.2">
      <c r="B27" s="78" t="s">
        <v>253</v>
      </c>
      <c r="C27" s="150" t="s">
        <v>1821</v>
      </c>
      <c r="D27" s="1">
        <v>6.94</v>
      </c>
      <c r="E27" s="151">
        <v>200</v>
      </c>
      <c r="F27" s="151">
        <v>30</v>
      </c>
      <c r="G27" s="151">
        <f t="shared" si="0"/>
        <v>6000</v>
      </c>
      <c r="H27" s="150">
        <f t="shared" si="1"/>
        <v>864.55331412103737</v>
      </c>
      <c r="I27" s="3">
        <v>3630</v>
      </c>
      <c r="J27" s="152">
        <f t="shared" si="2"/>
        <v>3138328.5302593657</v>
      </c>
      <c r="K27" s="153">
        <v>23000</v>
      </c>
      <c r="L27" s="154">
        <f t="shared" si="3"/>
        <v>4600000</v>
      </c>
      <c r="M27" s="153">
        <f t="shared" si="4"/>
        <v>1461671.4697406343</v>
      </c>
    </row>
    <row r="28" spans="2:13" x14ac:dyDescent="0.2">
      <c r="B28" s="150" t="s">
        <v>253</v>
      </c>
      <c r="C28" s="150" t="s">
        <v>1822</v>
      </c>
      <c r="D28" s="1">
        <v>6.94</v>
      </c>
      <c r="E28" s="151">
        <v>200</v>
      </c>
      <c r="F28" s="151">
        <v>28</v>
      </c>
      <c r="G28" s="151">
        <f t="shared" si="0"/>
        <v>5600</v>
      </c>
      <c r="H28" s="150">
        <f t="shared" si="1"/>
        <v>806.9164265129682</v>
      </c>
      <c r="I28" s="3">
        <v>3630</v>
      </c>
      <c r="J28" s="152">
        <f t="shared" si="2"/>
        <v>2929106.6282420745</v>
      </c>
      <c r="K28" s="153">
        <v>23000</v>
      </c>
      <c r="L28" s="154">
        <f t="shared" si="3"/>
        <v>4600000</v>
      </c>
      <c r="M28" s="153">
        <f t="shared" si="4"/>
        <v>1670893.3717579255</v>
      </c>
    </row>
    <row r="29" spans="2:13" x14ac:dyDescent="0.2">
      <c r="B29" s="78" t="s">
        <v>253</v>
      </c>
      <c r="C29" s="150" t="s">
        <v>1823</v>
      </c>
      <c r="D29" s="1">
        <v>6.94</v>
      </c>
      <c r="E29" s="151">
        <v>200</v>
      </c>
      <c r="F29" s="151">
        <v>29</v>
      </c>
      <c r="G29" s="151">
        <f t="shared" si="0"/>
        <v>5800</v>
      </c>
      <c r="H29" s="150">
        <f t="shared" si="1"/>
        <v>835.73487031700279</v>
      </c>
      <c r="I29" s="3">
        <v>3630</v>
      </c>
      <c r="J29" s="152">
        <f t="shared" si="2"/>
        <v>3033717.5792507203</v>
      </c>
      <c r="K29" s="153">
        <v>23000</v>
      </c>
      <c r="L29" s="154">
        <f t="shared" si="3"/>
        <v>4600000</v>
      </c>
      <c r="M29" s="153">
        <f t="shared" si="4"/>
        <v>1566282.4207492797</v>
      </c>
    </row>
    <row r="30" spans="2:13" x14ac:dyDescent="0.2">
      <c r="B30" s="150" t="s">
        <v>253</v>
      </c>
      <c r="C30" s="150" t="s">
        <v>1824</v>
      </c>
      <c r="D30" s="1">
        <v>6.94</v>
      </c>
      <c r="E30" s="151">
        <v>200</v>
      </c>
      <c r="F30" s="151">
        <v>28.5</v>
      </c>
      <c r="G30" s="151">
        <f t="shared" si="0"/>
        <v>5700</v>
      </c>
      <c r="H30" s="150">
        <f t="shared" si="1"/>
        <v>821.32564841498549</v>
      </c>
      <c r="I30" s="3">
        <v>3630</v>
      </c>
      <c r="J30" s="152">
        <f t="shared" si="2"/>
        <v>2981412.1037463979</v>
      </c>
      <c r="K30" s="153">
        <v>23000</v>
      </c>
      <c r="L30" s="154">
        <f t="shared" si="3"/>
        <v>4600000</v>
      </c>
      <c r="M30" s="153">
        <f t="shared" si="4"/>
        <v>1618587.8962536021</v>
      </c>
    </row>
    <row r="31" spans="2:13" x14ac:dyDescent="0.2">
      <c r="B31" s="78" t="s">
        <v>253</v>
      </c>
      <c r="C31" s="150" t="s">
        <v>1825</v>
      </c>
      <c r="D31" s="1">
        <v>6.94</v>
      </c>
      <c r="E31" s="151">
        <v>200</v>
      </c>
      <c r="F31" s="151">
        <v>28</v>
      </c>
      <c r="G31" s="151">
        <f t="shared" si="0"/>
        <v>5600</v>
      </c>
      <c r="H31" s="150">
        <f t="shared" si="1"/>
        <v>806.9164265129682</v>
      </c>
      <c r="I31" s="3">
        <v>3630</v>
      </c>
      <c r="J31" s="152">
        <f t="shared" si="2"/>
        <v>2929106.6282420745</v>
      </c>
      <c r="K31" s="153">
        <v>23000</v>
      </c>
      <c r="L31" s="154">
        <f t="shared" si="3"/>
        <v>4600000</v>
      </c>
      <c r="M31" s="153">
        <f t="shared" si="4"/>
        <v>1670893.3717579255</v>
      </c>
    </row>
    <row r="32" spans="2:13" x14ac:dyDescent="0.2">
      <c r="B32" s="150" t="s">
        <v>253</v>
      </c>
      <c r="C32" s="150" t="s">
        <v>1826</v>
      </c>
      <c r="D32" s="1">
        <v>6.94</v>
      </c>
      <c r="E32" s="151">
        <v>200</v>
      </c>
      <c r="F32" s="151">
        <v>28.5</v>
      </c>
      <c r="G32" s="151">
        <f t="shared" si="0"/>
        <v>5700</v>
      </c>
      <c r="H32" s="150">
        <f t="shared" si="1"/>
        <v>821.32564841498549</v>
      </c>
      <c r="I32" s="3">
        <v>3630</v>
      </c>
      <c r="J32" s="152">
        <f t="shared" si="2"/>
        <v>2981412.1037463979</v>
      </c>
      <c r="K32" s="153">
        <v>23000</v>
      </c>
      <c r="L32" s="154">
        <f t="shared" si="3"/>
        <v>4600000</v>
      </c>
      <c r="M32" s="153">
        <f t="shared" si="4"/>
        <v>1618587.8962536021</v>
      </c>
    </row>
    <row r="33" spans="2:13" x14ac:dyDescent="0.2">
      <c r="B33" s="78" t="s">
        <v>253</v>
      </c>
      <c r="C33" s="150" t="s">
        <v>1827</v>
      </c>
      <c r="D33" s="1">
        <v>6.94</v>
      </c>
      <c r="E33" s="151">
        <v>200</v>
      </c>
      <c r="F33" s="151">
        <v>28</v>
      </c>
      <c r="G33" s="151">
        <f t="shared" si="0"/>
        <v>5600</v>
      </c>
      <c r="H33" s="150">
        <f t="shared" si="1"/>
        <v>806.9164265129682</v>
      </c>
      <c r="I33" s="3">
        <v>3630</v>
      </c>
      <c r="J33" s="152">
        <f t="shared" si="2"/>
        <v>2929106.6282420745</v>
      </c>
      <c r="K33" s="153">
        <v>23000</v>
      </c>
      <c r="L33" s="154">
        <f t="shared" si="3"/>
        <v>4600000</v>
      </c>
      <c r="M33" s="153">
        <f t="shared" si="4"/>
        <v>1670893.3717579255</v>
      </c>
    </row>
    <row r="34" spans="2:13" x14ac:dyDescent="0.2">
      <c r="B34" s="150" t="s">
        <v>253</v>
      </c>
      <c r="C34" s="150" t="s">
        <v>1828</v>
      </c>
      <c r="D34" s="1">
        <v>6.94</v>
      </c>
      <c r="E34" s="151">
        <v>219</v>
      </c>
      <c r="F34" s="151">
        <v>30</v>
      </c>
      <c r="G34" s="151">
        <f t="shared" si="0"/>
        <v>6570</v>
      </c>
      <c r="H34" s="150">
        <f t="shared" si="1"/>
        <v>946.68587896253598</v>
      </c>
      <c r="I34" s="3">
        <v>3630</v>
      </c>
      <c r="J34" s="152">
        <f t="shared" si="2"/>
        <v>3436469.7406340055</v>
      </c>
      <c r="K34" s="153">
        <v>23000</v>
      </c>
      <c r="L34" s="154">
        <f t="shared" si="3"/>
        <v>5037000</v>
      </c>
      <c r="M34" s="153">
        <f t="shared" si="4"/>
        <v>1600530.2593659945</v>
      </c>
    </row>
    <row r="35" spans="2:13" x14ac:dyDescent="0.2">
      <c r="B35" s="78" t="s">
        <v>253</v>
      </c>
      <c r="C35" s="150" t="s">
        <v>1829</v>
      </c>
      <c r="D35" s="1">
        <v>6.94</v>
      </c>
      <c r="E35" s="151">
        <v>150</v>
      </c>
      <c r="F35" s="151">
        <v>28</v>
      </c>
      <c r="G35" s="151">
        <f t="shared" si="0"/>
        <v>4200</v>
      </c>
      <c r="H35" s="150">
        <f t="shared" si="1"/>
        <v>605.18731988472621</v>
      </c>
      <c r="I35" s="3">
        <v>3630</v>
      </c>
      <c r="J35" s="152">
        <f t="shared" si="2"/>
        <v>2196829.9711815561</v>
      </c>
      <c r="K35" s="153">
        <v>23000</v>
      </c>
      <c r="L35" s="154">
        <f t="shared" si="3"/>
        <v>3450000</v>
      </c>
      <c r="M35" s="153">
        <f t="shared" si="4"/>
        <v>1253170.0288184439</v>
      </c>
    </row>
    <row r="36" spans="2:13" x14ac:dyDescent="0.2">
      <c r="B36" s="150" t="s">
        <v>253</v>
      </c>
      <c r="C36" s="150" t="s">
        <v>1830</v>
      </c>
      <c r="D36" s="1">
        <v>6.94</v>
      </c>
      <c r="E36" s="151">
        <v>199</v>
      </c>
      <c r="F36" s="151">
        <v>31</v>
      </c>
      <c r="G36" s="151">
        <f t="shared" si="0"/>
        <v>6169</v>
      </c>
      <c r="H36" s="150">
        <f t="shared" si="1"/>
        <v>888.90489913544661</v>
      </c>
      <c r="I36" s="3">
        <v>3630</v>
      </c>
      <c r="J36" s="152">
        <f t="shared" si="2"/>
        <v>3226724.7838616716</v>
      </c>
      <c r="K36" s="153">
        <v>25000</v>
      </c>
      <c r="L36" s="154">
        <f t="shared" si="3"/>
        <v>4975000</v>
      </c>
      <c r="M36" s="153">
        <f t="shared" si="4"/>
        <v>1748275.2161383284</v>
      </c>
    </row>
    <row r="37" spans="2:13" x14ac:dyDescent="0.2">
      <c r="B37" s="78" t="s">
        <v>1766</v>
      </c>
      <c r="C37" s="150" t="s">
        <v>1798</v>
      </c>
      <c r="D37" s="1">
        <v>6.94</v>
      </c>
      <c r="E37" s="35">
        <v>1000</v>
      </c>
      <c r="F37" s="35">
        <v>27.5</v>
      </c>
      <c r="G37" s="35">
        <f t="shared" si="0"/>
        <v>27500</v>
      </c>
      <c r="H37" s="150">
        <f t="shared" si="1"/>
        <v>3962.5360230547549</v>
      </c>
      <c r="I37" s="3">
        <v>3630</v>
      </c>
      <c r="J37" s="180">
        <f t="shared" si="2"/>
        <v>14384005.76368876</v>
      </c>
      <c r="K37" s="168">
        <v>22000</v>
      </c>
      <c r="L37" s="181">
        <f t="shared" si="3"/>
        <v>22000000</v>
      </c>
      <c r="M37" s="168">
        <f t="shared" si="4"/>
        <v>7615994.2363112401</v>
      </c>
    </row>
    <row r="38" spans="2:13" x14ac:dyDescent="0.2">
      <c r="B38" s="78"/>
      <c r="C38" s="150"/>
      <c r="D38" s="1">
        <v>6.94</v>
      </c>
      <c r="E38" s="7">
        <f>SUM(E3:E37)</f>
        <v>7982</v>
      </c>
      <c r="H38" s="184">
        <f>SUM(H3:H37)</f>
        <v>31486.599423631127</v>
      </c>
      <c r="I38" s="3">
        <v>3630</v>
      </c>
      <c r="J38" s="183">
        <f>SUM(J3:J37)</f>
        <v>114296355.90778098</v>
      </c>
      <c r="L38" s="49">
        <f>SUM(L3:L37)</f>
        <v>178184000</v>
      </c>
      <c r="M38" s="182">
        <f>SUM(M3:M37)</f>
        <v>63887644.092219032</v>
      </c>
    </row>
    <row r="39" spans="2:13" x14ac:dyDescent="0.2">
      <c r="D39" s="1"/>
      <c r="I39" s="3"/>
    </row>
    <row r="40" spans="2:13" x14ac:dyDescent="0.2">
      <c r="D40" s="1"/>
      <c r="I40" s="3"/>
    </row>
    <row r="41" spans="2:13" x14ac:dyDescent="0.2">
      <c r="D41" s="1"/>
      <c r="I41" s="3"/>
    </row>
    <row r="42" spans="2:13" x14ac:dyDescent="0.2">
      <c r="D42" s="1"/>
      <c r="I42" s="3"/>
    </row>
    <row r="43" spans="2:13" x14ac:dyDescent="0.2">
      <c r="D43" s="1"/>
      <c r="I43" s="3"/>
    </row>
    <row r="44" spans="2:13" x14ac:dyDescent="0.2">
      <c r="D44" s="1"/>
      <c r="I44" s="3"/>
    </row>
    <row r="45" spans="2:13" x14ac:dyDescent="0.2">
      <c r="D45" s="1"/>
      <c r="I45" s="3"/>
    </row>
    <row r="46" spans="2:13" x14ac:dyDescent="0.2">
      <c r="D46" s="1"/>
      <c r="I46" s="3"/>
    </row>
    <row r="48" spans="2:13" x14ac:dyDescent="0.2">
      <c r="I48" s="3" t="s">
        <v>25</v>
      </c>
      <c r="J48" s="169">
        <v>114296355</v>
      </c>
    </row>
    <row r="49" spans="9:12" x14ac:dyDescent="0.2">
      <c r="I49" s="3" t="s">
        <v>27</v>
      </c>
      <c r="J49" s="9">
        <v>2950000</v>
      </c>
    </row>
    <row r="50" spans="9:12" x14ac:dyDescent="0.2">
      <c r="I50" s="3" t="s">
        <v>26</v>
      </c>
      <c r="J50" s="3">
        <v>3745000</v>
      </c>
    </row>
    <row r="51" spans="9:12" x14ac:dyDescent="0.2">
      <c r="I51" s="3" t="s">
        <v>33</v>
      </c>
      <c r="J51" s="3">
        <v>4000000</v>
      </c>
    </row>
    <row r="52" spans="9:12" x14ac:dyDescent="0.2">
      <c r="I52" s="3" t="s">
        <v>31</v>
      </c>
      <c r="J52" s="3">
        <v>8000000</v>
      </c>
    </row>
    <row r="53" spans="9:12" x14ac:dyDescent="0.2">
      <c r="I53" s="3" t="s">
        <v>36</v>
      </c>
      <c r="J53" s="3">
        <v>3410000</v>
      </c>
    </row>
    <row r="54" spans="9:12" x14ac:dyDescent="0.2">
      <c r="I54" s="3" t="s">
        <v>29</v>
      </c>
      <c r="J54" s="23">
        <v>11582000</v>
      </c>
      <c r="K54" s="54" t="s">
        <v>1831</v>
      </c>
      <c r="L54" s="185"/>
    </row>
    <row r="55" spans="9:12" x14ac:dyDescent="0.2">
      <c r="I55" s="3" t="s">
        <v>34</v>
      </c>
      <c r="J55" s="127">
        <f>SUM(J48:J54)</f>
        <v>147983355</v>
      </c>
    </row>
    <row r="56" spans="9:12" x14ac:dyDescent="0.2">
      <c r="I56" s="3" t="s">
        <v>6</v>
      </c>
      <c r="J56" s="116">
        <v>178184000</v>
      </c>
    </row>
    <row r="57" spans="9:12" ht="18" x14ac:dyDescent="0.35">
      <c r="I57" s="3" t="s">
        <v>35</v>
      </c>
      <c r="J57" s="21">
        <f>J56-J55</f>
        <v>30200645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50"/>
  <sheetViews>
    <sheetView workbookViewId="0">
      <selection activeCell="P19" sqref="P19"/>
    </sheetView>
  </sheetViews>
  <sheetFormatPr baseColWidth="10" defaultRowHeight="15" x14ac:dyDescent="0.2"/>
  <cols>
    <col min="3" max="3" width="17.83203125" customWidth="1"/>
    <col min="10" max="10" width="14.6640625" customWidth="1"/>
  </cols>
  <sheetData>
    <row r="1" spans="1:13" ht="31" x14ac:dyDescent="0.35">
      <c r="A1" s="56" t="s">
        <v>1833</v>
      </c>
      <c r="B1" s="56"/>
      <c r="C1" s="56"/>
      <c r="D1" s="56"/>
      <c r="E1" s="56"/>
      <c r="F1" s="57" t="s">
        <v>1795</v>
      </c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145" t="s">
        <v>1834</v>
      </c>
      <c r="B3" s="145" t="s">
        <v>7</v>
      </c>
      <c r="C3" s="145" t="s">
        <v>1835</v>
      </c>
      <c r="D3" s="1">
        <v>6.89</v>
      </c>
      <c r="E3" s="149">
        <v>200</v>
      </c>
      <c r="F3" s="149">
        <v>29</v>
      </c>
      <c r="G3" s="149">
        <f t="shared" ref="G3:G18" si="0">E3*F3</f>
        <v>5800</v>
      </c>
      <c r="H3" s="145">
        <f t="shared" ref="H3:H18" si="1">G3/D3</f>
        <v>841.79970972423803</v>
      </c>
      <c r="I3" s="3">
        <v>3630</v>
      </c>
      <c r="J3" s="146">
        <f t="shared" ref="J3:J18" si="2">F3/D3*I3*E3</f>
        <v>3055732.9462989843</v>
      </c>
      <c r="K3" s="147">
        <v>23000</v>
      </c>
      <c r="L3" s="148">
        <f t="shared" ref="L3:L18" si="3">K3*E3</f>
        <v>4600000</v>
      </c>
      <c r="M3" s="147">
        <f t="shared" ref="M3:M18" si="4">L3-J3</f>
        <v>1544267.0537010157</v>
      </c>
    </row>
    <row r="4" spans="1:13" x14ac:dyDescent="0.2">
      <c r="A4" s="145"/>
      <c r="B4" s="145" t="s">
        <v>253</v>
      </c>
      <c r="C4" s="145" t="s">
        <v>1836</v>
      </c>
      <c r="D4" s="1">
        <v>6.89</v>
      </c>
      <c r="E4" s="149">
        <v>200</v>
      </c>
      <c r="F4" s="149">
        <v>28.5</v>
      </c>
      <c r="G4" s="149">
        <f t="shared" si="0"/>
        <v>5700</v>
      </c>
      <c r="H4" s="145">
        <f t="shared" si="1"/>
        <v>827.28592162554435</v>
      </c>
      <c r="I4" s="3">
        <v>3630</v>
      </c>
      <c r="J4" s="146">
        <f t="shared" si="2"/>
        <v>3003047.8955007256</v>
      </c>
      <c r="K4" s="147">
        <v>23000</v>
      </c>
      <c r="L4" s="148">
        <f t="shared" si="3"/>
        <v>4600000</v>
      </c>
      <c r="M4" s="147">
        <f t="shared" si="4"/>
        <v>1596952.1044992744</v>
      </c>
    </row>
    <row r="5" spans="1:13" x14ac:dyDescent="0.2">
      <c r="A5" s="1"/>
      <c r="B5" s="145" t="s">
        <v>253</v>
      </c>
      <c r="C5" s="145" t="s">
        <v>1837</v>
      </c>
      <c r="D5" s="1">
        <v>6.89</v>
      </c>
      <c r="E5" s="149">
        <v>200</v>
      </c>
      <c r="F5" s="149">
        <v>29</v>
      </c>
      <c r="G5" s="149">
        <f t="shared" si="0"/>
        <v>5800</v>
      </c>
      <c r="H5" s="145">
        <f t="shared" si="1"/>
        <v>841.79970972423803</v>
      </c>
      <c r="I5" s="3">
        <v>3630</v>
      </c>
      <c r="J5" s="146">
        <f t="shared" si="2"/>
        <v>3055732.9462989843</v>
      </c>
      <c r="K5" s="147">
        <v>23000</v>
      </c>
      <c r="L5" s="148">
        <f t="shared" si="3"/>
        <v>4600000</v>
      </c>
      <c r="M5" s="147">
        <f t="shared" si="4"/>
        <v>1544267.0537010157</v>
      </c>
    </row>
    <row r="6" spans="1:13" x14ac:dyDescent="0.2">
      <c r="A6" s="1"/>
      <c r="B6" s="145" t="s">
        <v>253</v>
      </c>
      <c r="C6" s="145" t="s">
        <v>1838</v>
      </c>
      <c r="D6" s="1">
        <v>6.89</v>
      </c>
      <c r="E6" s="149">
        <v>200</v>
      </c>
      <c r="F6" s="149">
        <v>28</v>
      </c>
      <c r="G6" s="149">
        <f t="shared" si="0"/>
        <v>5600</v>
      </c>
      <c r="H6" s="145">
        <f t="shared" si="1"/>
        <v>812.77213352685055</v>
      </c>
      <c r="I6" s="3">
        <v>3630</v>
      </c>
      <c r="J6" s="146">
        <f t="shared" si="2"/>
        <v>2950362.8447024673</v>
      </c>
      <c r="K6" s="147">
        <v>23000</v>
      </c>
      <c r="L6" s="148">
        <f t="shared" si="3"/>
        <v>4600000</v>
      </c>
      <c r="M6" s="147">
        <f t="shared" si="4"/>
        <v>1649637.1552975327</v>
      </c>
    </row>
    <row r="7" spans="1:13" x14ac:dyDescent="0.2">
      <c r="A7" s="1"/>
      <c r="B7" s="145" t="s">
        <v>253</v>
      </c>
      <c r="C7" s="145" t="s">
        <v>1839</v>
      </c>
      <c r="D7" s="1">
        <v>6.89</v>
      </c>
      <c r="E7" s="149">
        <v>200</v>
      </c>
      <c r="F7" s="149">
        <v>24</v>
      </c>
      <c r="G7" s="149">
        <f t="shared" si="0"/>
        <v>4800</v>
      </c>
      <c r="H7" s="145">
        <f t="shared" si="1"/>
        <v>696.66182873730043</v>
      </c>
      <c r="I7" s="3">
        <v>3630</v>
      </c>
      <c r="J7" s="146">
        <f t="shared" si="2"/>
        <v>2528882.4383164006</v>
      </c>
      <c r="K7" s="147">
        <v>20000</v>
      </c>
      <c r="L7" s="148">
        <f t="shared" si="3"/>
        <v>4000000</v>
      </c>
      <c r="M7" s="147">
        <f t="shared" si="4"/>
        <v>1471117.5616835994</v>
      </c>
    </row>
    <row r="8" spans="1:13" x14ac:dyDescent="0.2">
      <c r="A8" s="1"/>
      <c r="B8" s="145" t="s">
        <v>253</v>
      </c>
      <c r="C8" s="1" t="s">
        <v>1840</v>
      </c>
      <c r="D8" s="1">
        <v>6.89</v>
      </c>
      <c r="E8" s="149">
        <v>200</v>
      </c>
      <c r="F8" s="149">
        <v>28.5</v>
      </c>
      <c r="G8" s="149">
        <f t="shared" si="0"/>
        <v>5700</v>
      </c>
      <c r="H8" s="145">
        <f t="shared" si="1"/>
        <v>827.28592162554435</v>
      </c>
      <c r="I8" s="3">
        <v>3630</v>
      </c>
      <c r="J8" s="146">
        <f t="shared" si="2"/>
        <v>3003047.8955007256</v>
      </c>
      <c r="K8" s="147">
        <v>23000</v>
      </c>
      <c r="L8" s="148">
        <f t="shared" si="3"/>
        <v>4600000</v>
      </c>
      <c r="M8" s="147">
        <f t="shared" si="4"/>
        <v>1596952.1044992744</v>
      </c>
    </row>
    <row r="9" spans="1:13" x14ac:dyDescent="0.2">
      <c r="A9" s="1"/>
      <c r="B9" s="1" t="s">
        <v>253</v>
      </c>
      <c r="C9" s="145" t="s">
        <v>1841</v>
      </c>
      <c r="D9" s="1">
        <v>6.89</v>
      </c>
      <c r="E9" s="149">
        <v>200</v>
      </c>
      <c r="F9" s="149">
        <v>30</v>
      </c>
      <c r="G9" s="149">
        <f t="shared" si="0"/>
        <v>6000</v>
      </c>
      <c r="H9" s="145">
        <f t="shared" si="1"/>
        <v>870.82728592162562</v>
      </c>
      <c r="I9" s="3">
        <v>3630</v>
      </c>
      <c r="J9" s="146">
        <f t="shared" si="2"/>
        <v>3161103.0478955009</v>
      </c>
      <c r="K9" s="147">
        <v>23000</v>
      </c>
      <c r="L9" s="148">
        <f t="shared" si="3"/>
        <v>4600000</v>
      </c>
      <c r="M9" s="147">
        <f t="shared" si="4"/>
        <v>1438896.9521044991</v>
      </c>
    </row>
    <row r="10" spans="1:13" x14ac:dyDescent="0.2">
      <c r="A10" s="1"/>
      <c r="B10" s="145" t="s">
        <v>253</v>
      </c>
      <c r="C10" s="145" t="s">
        <v>1842</v>
      </c>
      <c r="D10" s="1">
        <v>6.89</v>
      </c>
      <c r="E10" s="149">
        <v>200</v>
      </c>
      <c r="F10" s="149">
        <v>29</v>
      </c>
      <c r="G10" s="149">
        <f t="shared" si="0"/>
        <v>5800</v>
      </c>
      <c r="H10" s="145">
        <f>G10/D10</f>
        <v>841.79970972423803</v>
      </c>
      <c r="I10" s="3">
        <v>3630</v>
      </c>
      <c r="J10" s="146">
        <f t="shared" si="2"/>
        <v>3055732.9462989843</v>
      </c>
      <c r="K10" s="147">
        <v>23000</v>
      </c>
      <c r="L10" s="148">
        <f t="shared" si="3"/>
        <v>4600000</v>
      </c>
      <c r="M10" s="147">
        <f t="shared" si="4"/>
        <v>1544267.0537010157</v>
      </c>
    </row>
    <row r="11" spans="1:13" x14ac:dyDescent="0.2">
      <c r="A11" s="1"/>
      <c r="B11" s="1" t="s">
        <v>1766</v>
      </c>
      <c r="C11" s="145" t="s">
        <v>1843</v>
      </c>
      <c r="D11" s="1">
        <v>6.89</v>
      </c>
      <c r="E11" s="149">
        <v>200</v>
      </c>
      <c r="F11" s="149">
        <v>28.5</v>
      </c>
      <c r="G11" s="149">
        <f t="shared" si="0"/>
        <v>5700</v>
      </c>
      <c r="H11" s="145">
        <f t="shared" si="1"/>
        <v>827.28592162554435</v>
      </c>
      <c r="I11" s="3">
        <v>3630</v>
      </c>
      <c r="J11" s="146">
        <f t="shared" si="2"/>
        <v>3003047.8955007256</v>
      </c>
      <c r="K11" s="147">
        <v>23000</v>
      </c>
      <c r="L11" s="148">
        <f t="shared" si="3"/>
        <v>4600000</v>
      </c>
      <c r="M11" s="147">
        <f t="shared" si="4"/>
        <v>1596952.1044992744</v>
      </c>
    </row>
    <row r="12" spans="1:13" x14ac:dyDescent="0.2">
      <c r="C12" s="150" t="s">
        <v>1844</v>
      </c>
      <c r="D12" s="1">
        <v>6.89</v>
      </c>
      <c r="E12" s="151">
        <v>200</v>
      </c>
      <c r="F12" s="151">
        <v>29</v>
      </c>
      <c r="G12" s="151">
        <f t="shared" si="0"/>
        <v>5800</v>
      </c>
      <c r="H12" s="150">
        <f t="shared" si="1"/>
        <v>841.79970972423803</v>
      </c>
      <c r="I12" s="3">
        <v>3630</v>
      </c>
      <c r="J12" s="152">
        <f t="shared" si="2"/>
        <v>3055732.9462989843</v>
      </c>
      <c r="K12" s="153">
        <v>22000</v>
      </c>
      <c r="L12" s="154">
        <f t="shared" si="3"/>
        <v>4400000</v>
      </c>
      <c r="M12" s="153">
        <f t="shared" si="4"/>
        <v>1344267.0537010157</v>
      </c>
    </row>
    <row r="13" spans="1:13" x14ac:dyDescent="0.2">
      <c r="C13" s="150" t="s">
        <v>1845</v>
      </c>
      <c r="D13" s="1">
        <v>6.89</v>
      </c>
      <c r="E13" s="151">
        <v>200</v>
      </c>
      <c r="F13" s="151">
        <v>28.5</v>
      </c>
      <c r="G13" s="151">
        <f t="shared" si="0"/>
        <v>5700</v>
      </c>
      <c r="H13" s="150">
        <f t="shared" si="1"/>
        <v>827.28592162554435</v>
      </c>
      <c r="I13" s="3">
        <v>3630</v>
      </c>
      <c r="J13" s="152">
        <f t="shared" si="2"/>
        <v>3003047.8955007256</v>
      </c>
      <c r="K13" s="153">
        <v>22000</v>
      </c>
      <c r="L13" s="154">
        <f t="shared" si="3"/>
        <v>4400000</v>
      </c>
      <c r="M13" s="153">
        <f t="shared" si="4"/>
        <v>1396952.1044992744</v>
      </c>
    </row>
    <row r="14" spans="1:13" x14ac:dyDescent="0.2">
      <c r="C14" s="150" t="s">
        <v>1846</v>
      </c>
      <c r="D14" s="1">
        <v>6.89</v>
      </c>
      <c r="E14" s="151">
        <v>200</v>
      </c>
      <c r="F14" s="151">
        <v>28.5</v>
      </c>
      <c r="G14" s="151">
        <f t="shared" si="0"/>
        <v>5700</v>
      </c>
      <c r="H14" s="150">
        <f t="shared" si="1"/>
        <v>827.28592162554435</v>
      </c>
      <c r="I14" s="3">
        <v>3630</v>
      </c>
      <c r="J14" s="152">
        <f t="shared" si="2"/>
        <v>3003047.8955007256</v>
      </c>
      <c r="K14" s="153">
        <v>22000</v>
      </c>
      <c r="L14" s="154">
        <f t="shared" si="3"/>
        <v>4400000</v>
      </c>
      <c r="M14" s="153">
        <f t="shared" si="4"/>
        <v>1396952.1044992744</v>
      </c>
    </row>
    <row r="15" spans="1:13" x14ac:dyDescent="0.2">
      <c r="C15" s="150" t="s">
        <v>1847</v>
      </c>
      <c r="D15" s="1">
        <v>6.89</v>
      </c>
      <c r="E15" s="151">
        <v>200</v>
      </c>
      <c r="F15" s="151">
        <v>28.5</v>
      </c>
      <c r="G15" s="151">
        <f t="shared" si="0"/>
        <v>5700</v>
      </c>
      <c r="H15" s="150">
        <f t="shared" si="1"/>
        <v>827.28592162554435</v>
      </c>
      <c r="I15" s="3">
        <v>3630</v>
      </c>
      <c r="J15" s="152">
        <f t="shared" si="2"/>
        <v>3003047.8955007256</v>
      </c>
      <c r="K15" s="153">
        <v>22000</v>
      </c>
      <c r="L15" s="154">
        <f t="shared" si="3"/>
        <v>4400000</v>
      </c>
      <c r="M15" s="153">
        <f t="shared" si="4"/>
        <v>1396952.1044992744</v>
      </c>
    </row>
    <row r="16" spans="1:13" x14ac:dyDescent="0.2">
      <c r="B16" t="s">
        <v>1848</v>
      </c>
      <c r="C16" s="150" t="s">
        <v>1849</v>
      </c>
      <c r="D16" s="1">
        <v>6.89</v>
      </c>
      <c r="E16" s="151">
        <v>300</v>
      </c>
      <c r="F16" s="151">
        <v>23</v>
      </c>
      <c r="G16" s="151">
        <f t="shared" si="0"/>
        <v>6900</v>
      </c>
      <c r="H16" s="150">
        <f t="shared" si="1"/>
        <v>1001.4513788098694</v>
      </c>
      <c r="I16" s="3">
        <v>3630</v>
      </c>
      <c r="J16" s="152">
        <f t="shared" si="2"/>
        <v>3635268.5050798263</v>
      </c>
      <c r="K16" s="153">
        <v>20000</v>
      </c>
      <c r="L16" s="154">
        <f t="shared" si="3"/>
        <v>6000000</v>
      </c>
      <c r="M16" s="153">
        <f t="shared" si="4"/>
        <v>2364731.4949201737</v>
      </c>
    </row>
    <row r="17" spans="2:13" x14ac:dyDescent="0.2">
      <c r="B17" t="s">
        <v>253</v>
      </c>
      <c r="C17" s="150" t="s">
        <v>1850</v>
      </c>
      <c r="D17" s="1">
        <v>6.89</v>
      </c>
      <c r="E17" s="151">
        <v>200</v>
      </c>
      <c r="F17" s="151">
        <v>23</v>
      </c>
      <c r="G17" s="151">
        <f t="shared" si="0"/>
        <v>4600</v>
      </c>
      <c r="H17" s="150">
        <f t="shared" si="1"/>
        <v>667.63425253991295</v>
      </c>
      <c r="I17" s="3">
        <v>3630</v>
      </c>
      <c r="J17" s="152">
        <f t="shared" si="2"/>
        <v>2423512.3367198841</v>
      </c>
      <c r="K17" s="153">
        <v>20000</v>
      </c>
      <c r="L17" s="154">
        <f t="shared" si="3"/>
        <v>4000000</v>
      </c>
      <c r="M17" s="153">
        <f t="shared" si="4"/>
        <v>1576487.6632801159</v>
      </c>
    </row>
    <row r="18" spans="2:13" x14ac:dyDescent="0.2">
      <c r="B18" t="s">
        <v>1851</v>
      </c>
      <c r="C18" s="150" t="s">
        <v>498</v>
      </c>
      <c r="D18" s="1">
        <v>6.89</v>
      </c>
      <c r="E18" s="151">
        <v>600</v>
      </c>
      <c r="F18" s="151">
        <v>19</v>
      </c>
      <c r="G18" s="151">
        <f t="shared" si="0"/>
        <v>11400</v>
      </c>
      <c r="H18" s="150">
        <f t="shared" si="1"/>
        <v>1654.5718432510887</v>
      </c>
      <c r="I18" s="3">
        <v>3630</v>
      </c>
      <c r="J18" s="152">
        <f t="shared" si="2"/>
        <v>6006095.7910014512</v>
      </c>
      <c r="K18" s="153">
        <v>20000</v>
      </c>
      <c r="L18" s="154">
        <f t="shared" si="3"/>
        <v>12000000</v>
      </c>
      <c r="M18" s="153">
        <f t="shared" si="4"/>
        <v>5993904.2089985488</v>
      </c>
    </row>
    <row r="19" spans="2:13" x14ac:dyDescent="0.2">
      <c r="D19" s="1">
        <v>6.89</v>
      </c>
      <c r="E19">
        <f>SUM(E3:E18)</f>
        <v>3700</v>
      </c>
      <c r="H19" s="150">
        <f>SUM(H3:H18)</f>
        <v>14034.833091436865</v>
      </c>
      <c r="I19" s="3">
        <v>3630</v>
      </c>
      <c r="J19" s="122">
        <f>SUM(J3:J18)</f>
        <v>50946444.121915832</v>
      </c>
      <c r="M19" s="8">
        <f>SUM(M3:M18)</f>
        <v>29453555.878084179</v>
      </c>
    </row>
    <row r="20" spans="2:13" x14ac:dyDescent="0.2">
      <c r="D20" s="1">
        <v>6.89</v>
      </c>
      <c r="I20" s="3">
        <v>3630</v>
      </c>
    </row>
    <row r="21" spans="2:13" x14ac:dyDescent="0.2">
      <c r="D21" s="1">
        <v>6.89</v>
      </c>
      <c r="I21" s="3">
        <v>3630</v>
      </c>
    </row>
    <row r="22" spans="2:13" x14ac:dyDescent="0.2">
      <c r="D22" s="1">
        <v>6.89</v>
      </c>
      <c r="I22" s="3">
        <v>3630</v>
      </c>
    </row>
    <row r="23" spans="2:13" x14ac:dyDescent="0.2">
      <c r="D23" s="1">
        <v>6.89</v>
      </c>
      <c r="I23" s="3">
        <v>3630</v>
      </c>
    </row>
    <row r="24" spans="2:13" x14ac:dyDescent="0.2">
      <c r="D24" s="1">
        <v>6.89</v>
      </c>
      <c r="I24" s="3">
        <v>3630</v>
      </c>
    </row>
    <row r="25" spans="2:13" x14ac:dyDescent="0.2">
      <c r="D25" s="1">
        <v>6.89</v>
      </c>
      <c r="I25" s="3">
        <v>3630</v>
      </c>
    </row>
    <row r="26" spans="2:13" x14ac:dyDescent="0.2">
      <c r="D26" s="1">
        <v>6.89</v>
      </c>
      <c r="I26" s="3">
        <v>3630</v>
      </c>
    </row>
    <row r="27" spans="2:13" x14ac:dyDescent="0.2">
      <c r="D27" s="1">
        <v>6.89</v>
      </c>
      <c r="I27" s="3">
        <v>3630</v>
      </c>
    </row>
    <row r="28" spans="2:13" x14ac:dyDescent="0.2">
      <c r="D28" s="1">
        <v>6.89</v>
      </c>
      <c r="I28" s="3">
        <v>3630</v>
      </c>
    </row>
    <row r="29" spans="2:13" x14ac:dyDescent="0.2">
      <c r="D29" s="1">
        <v>6.89</v>
      </c>
      <c r="I29" s="3">
        <v>3630</v>
      </c>
    </row>
    <row r="30" spans="2:13" x14ac:dyDescent="0.2">
      <c r="D30" s="1">
        <v>6.89</v>
      </c>
      <c r="I30" s="3">
        <v>3630</v>
      </c>
    </row>
    <row r="31" spans="2:13" x14ac:dyDescent="0.2">
      <c r="D31" s="1">
        <v>6.89</v>
      </c>
      <c r="I31" s="3">
        <v>3630</v>
      </c>
    </row>
    <row r="32" spans="2:13" x14ac:dyDescent="0.2">
      <c r="D32" s="1">
        <v>6.89</v>
      </c>
      <c r="I32" s="3">
        <v>3630</v>
      </c>
    </row>
    <row r="33" spans="4:9" x14ac:dyDescent="0.2">
      <c r="D33" s="1">
        <v>6.89</v>
      </c>
      <c r="I33" s="3">
        <v>3630</v>
      </c>
    </row>
    <row r="34" spans="4:9" x14ac:dyDescent="0.2">
      <c r="D34" s="1">
        <v>6.89</v>
      </c>
      <c r="I34" s="3">
        <v>3630</v>
      </c>
    </row>
    <row r="35" spans="4:9" x14ac:dyDescent="0.2">
      <c r="D35" s="1">
        <v>6.89</v>
      </c>
      <c r="I35" s="3">
        <v>3630</v>
      </c>
    </row>
    <row r="36" spans="4:9" x14ac:dyDescent="0.2">
      <c r="D36" s="1">
        <v>6.89</v>
      </c>
      <c r="I36" s="3">
        <v>3630</v>
      </c>
    </row>
    <row r="37" spans="4:9" x14ac:dyDescent="0.2">
      <c r="D37" s="1">
        <v>6.89</v>
      </c>
      <c r="I37" s="3">
        <v>3630</v>
      </c>
    </row>
    <row r="38" spans="4:9" x14ac:dyDescent="0.2">
      <c r="D38" s="1">
        <v>6.89</v>
      </c>
      <c r="I38" s="3">
        <v>3630</v>
      </c>
    </row>
    <row r="39" spans="4:9" x14ac:dyDescent="0.2">
      <c r="D39" s="1">
        <v>6.89</v>
      </c>
      <c r="I39" s="3">
        <v>3630</v>
      </c>
    </row>
    <row r="40" spans="4:9" x14ac:dyDescent="0.2">
      <c r="D40" s="1">
        <v>6.89</v>
      </c>
      <c r="I40" s="3">
        <v>3630</v>
      </c>
    </row>
    <row r="41" spans="4:9" x14ac:dyDescent="0.2">
      <c r="D41" s="1">
        <v>6.89</v>
      </c>
      <c r="I41" s="3">
        <v>3630</v>
      </c>
    </row>
    <row r="42" spans="4:9" x14ac:dyDescent="0.2">
      <c r="D42" s="1">
        <v>6.89</v>
      </c>
      <c r="I42" s="3">
        <v>3630</v>
      </c>
    </row>
    <row r="43" spans="4:9" x14ac:dyDescent="0.2">
      <c r="D43" s="1">
        <v>6.89</v>
      </c>
      <c r="I43" s="3">
        <v>3630</v>
      </c>
    </row>
    <row r="44" spans="4:9" x14ac:dyDescent="0.2">
      <c r="D44" s="1">
        <v>6.89</v>
      </c>
      <c r="I44" s="3">
        <v>3630</v>
      </c>
    </row>
    <row r="45" spans="4:9" x14ac:dyDescent="0.2">
      <c r="D45" s="1">
        <v>6.89</v>
      </c>
      <c r="I45" s="3">
        <v>3630</v>
      </c>
    </row>
    <row r="46" spans="4:9" x14ac:dyDescent="0.2">
      <c r="D46" s="1">
        <v>6.89</v>
      </c>
      <c r="I46" s="3">
        <v>3630</v>
      </c>
    </row>
    <row r="47" spans="4:9" x14ac:dyDescent="0.2">
      <c r="D47" s="1">
        <v>6.89</v>
      </c>
      <c r="I47" s="3">
        <v>3630</v>
      </c>
    </row>
    <row r="48" spans="4:9" x14ac:dyDescent="0.2">
      <c r="D48" s="1">
        <v>6.89</v>
      </c>
      <c r="I48" s="3">
        <v>3630</v>
      </c>
    </row>
    <row r="49" spans="4:9" x14ac:dyDescent="0.2">
      <c r="D49" s="1">
        <v>6.89</v>
      </c>
      <c r="I49" s="3">
        <v>3630</v>
      </c>
    </row>
    <row r="50" spans="4:9" x14ac:dyDescent="0.2">
      <c r="D50" s="1">
        <v>6.89</v>
      </c>
      <c r="I50" s="3">
        <v>3630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271AF-28C0-3241-90E0-86F22327D5A8}">
  <dimension ref="A1:M47"/>
  <sheetViews>
    <sheetView topLeftCell="A13" workbookViewId="0">
      <selection activeCell="I38" sqref="I38:J47"/>
    </sheetView>
  </sheetViews>
  <sheetFormatPr baseColWidth="10" defaultRowHeight="15" x14ac:dyDescent="0.2"/>
  <cols>
    <col min="2" max="2" width="16.6640625" customWidth="1"/>
    <col min="3" max="3" width="19.83203125" customWidth="1"/>
    <col min="5" max="5" width="12.6640625" customWidth="1"/>
    <col min="10" max="10" width="14.33203125" customWidth="1"/>
    <col min="12" max="12" width="14.6640625" customWidth="1"/>
    <col min="13" max="13" width="13.5" customWidth="1"/>
  </cols>
  <sheetData>
    <row r="1" spans="1:13" ht="31" x14ac:dyDescent="0.35">
      <c r="A1" s="56" t="s">
        <v>1852</v>
      </c>
      <c r="B1" s="56"/>
      <c r="C1" s="56"/>
      <c r="D1" s="56"/>
      <c r="E1" s="56"/>
      <c r="F1" s="57" t="s">
        <v>1795</v>
      </c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145" t="s">
        <v>1853</v>
      </c>
      <c r="B3" s="145" t="s">
        <v>7</v>
      </c>
      <c r="C3" s="145" t="s">
        <v>1854</v>
      </c>
      <c r="D3" s="1">
        <v>7.15</v>
      </c>
      <c r="E3" s="149">
        <v>100</v>
      </c>
      <c r="F3" s="149">
        <v>38</v>
      </c>
      <c r="G3" s="149">
        <f>E3*F3</f>
        <v>3800</v>
      </c>
      <c r="H3" s="145">
        <f t="shared" ref="H3:H33" si="0">G3/D3</f>
        <v>531.46853146853141</v>
      </c>
      <c r="I3" s="3">
        <v>3820</v>
      </c>
      <c r="J3" s="146">
        <f>F3/D3*I3*E3</f>
        <v>2030209.79020979</v>
      </c>
      <c r="K3" s="147">
        <v>35000</v>
      </c>
      <c r="L3" s="148">
        <f>K3*E3</f>
        <v>3500000</v>
      </c>
      <c r="M3" s="147">
        <f t="shared" ref="M3:M33" si="1">L3-J3</f>
        <v>1469790.20979021</v>
      </c>
    </row>
    <row r="4" spans="1:13" x14ac:dyDescent="0.2">
      <c r="A4" s="145"/>
      <c r="B4" s="145" t="s">
        <v>253</v>
      </c>
      <c r="C4" s="145" t="s">
        <v>1855</v>
      </c>
      <c r="D4" s="1">
        <v>7.15</v>
      </c>
      <c r="E4" s="149">
        <v>130</v>
      </c>
      <c r="F4" s="149">
        <v>38</v>
      </c>
      <c r="G4" s="149">
        <f t="shared" ref="G4:G33" si="2">E4*F4</f>
        <v>4940</v>
      </c>
      <c r="H4" s="145">
        <f t="shared" si="0"/>
        <v>690.90909090909088</v>
      </c>
      <c r="I4" s="3">
        <v>3820</v>
      </c>
      <c r="J4" s="146">
        <f t="shared" ref="J4:J33" si="3">F4/D4*I4*E4</f>
        <v>2639272.7272727271</v>
      </c>
      <c r="K4" s="147">
        <v>35000</v>
      </c>
      <c r="L4" s="148">
        <f t="shared" ref="L4:L33" si="4">K4*E4</f>
        <v>4550000</v>
      </c>
      <c r="M4" s="147">
        <f t="shared" si="1"/>
        <v>1910727.2727272729</v>
      </c>
    </row>
    <row r="5" spans="1:13" x14ac:dyDescent="0.2">
      <c r="A5" s="1"/>
      <c r="B5" s="145" t="s">
        <v>7</v>
      </c>
      <c r="C5" s="145" t="s">
        <v>1856</v>
      </c>
      <c r="D5" s="1">
        <v>7.15</v>
      </c>
      <c r="E5" s="149">
        <v>100</v>
      </c>
      <c r="F5" s="149">
        <v>33</v>
      </c>
      <c r="G5" s="149">
        <f t="shared" si="2"/>
        <v>3300</v>
      </c>
      <c r="H5" s="145">
        <f t="shared" si="0"/>
        <v>461.53846153846149</v>
      </c>
      <c r="I5" s="3">
        <v>3820</v>
      </c>
      <c r="J5" s="146">
        <f t="shared" si="3"/>
        <v>1763076.923076923</v>
      </c>
      <c r="K5" s="147">
        <v>35000</v>
      </c>
      <c r="L5" s="148">
        <f t="shared" si="4"/>
        <v>3500000</v>
      </c>
      <c r="M5" s="147">
        <f t="shared" si="1"/>
        <v>1736923.076923077</v>
      </c>
    </row>
    <row r="6" spans="1:13" x14ac:dyDescent="0.2">
      <c r="A6" s="1"/>
      <c r="B6" s="145" t="s">
        <v>1857</v>
      </c>
      <c r="C6" s="145">
        <v>6896</v>
      </c>
      <c r="D6" s="1">
        <v>7.15</v>
      </c>
      <c r="E6" s="149">
        <v>100</v>
      </c>
      <c r="F6" s="149">
        <v>32</v>
      </c>
      <c r="G6" s="149">
        <f t="shared" si="2"/>
        <v>3200</v>
      </c>
      <c r="H6" s="145">
        <f t="shared" si="0"/>
        <v>447.55244755244752</v>
      </c>
      <c r="I6" s="3">
        <v>3820</v>
      </c>
      <c r="J6" s="146">
        <f t="shared" si="3"/>
        <v>1709650.3496503495</v>
      </c>
      <c r="K6" s="147">
        <v>25000</v>
      </c>
      <c r="L6" s="148">
        <f t="shared" si="4"/>
        <v>2500000</v>
      </c>
      <c r="M6" s="147">
        <f t="shared" si="1"/>
        <v>790349.65034965053</v>
      </c>
    </row>
    <row r="7" spans="1:13" x14ac:dyDescent="0.2">
      <c r="A7" s="1"/>
      <c r="B7" s="145" t="s">
        <v>253</v>
      </c>
      <c r="C7" s="145" t="s">
        <v>1858</v>
      </c>
      <c r="D7" s="1">
        <v>7.15</v>
      </c>
      <c r="E7" s="149">
        <v>100</v>
      </c>
      <c r="F7" s="149">
        <v>32</v>
      </c>
      <c r="G7" s="149">
        <f t="shared" si="2"/>
        <v>3200</v>
      </c>
      <c r="H7" s="145">
        <f t="shared" si="0"/>
        <v>447.55244755244752</v>
      </c>
      <c r="I7" s="3">
        <v>3820</v>
      </c>
      <c r="J7" s="146">
        <f t="shared" si="3"/>
        <v>1709650.3496503495</v>
      </c>
      <c r="K7" s="147">
        <v>25000</v>
      </c>
      <c r="L7" s="148">
        <f t="shared" si="4"/>
        <v>2500000</v>
      </c>
      <c r="M7" s="147">
        <f t="shared" si="1"/>
        <v>790349.65034965053</v>
      </c>
    </row>
    <row r="8" spans="1:13" x14ac:dyDescent="0.2">
      <c r="A8" s="1"/>
      <c r="B8" s="145" t="s">
        <v>253</v>
      </c>
      <c r="C8" s="1" t="s">
        <v>1859</v>
      </c>
      <c r="D8" s="1">
        <v>7.15</v>
      </c>
      <c r="E8" s="149">
        <v>100</v>
      </c>
      <c r="F8" s="149">
        <v>32</v>
      </c>
      <c r="G8" s="149">
        <f t="shared" si="2"/>
        <v>3200</v>
      </c>
      <c r="H8" s="145">
        <f t="shared" si="0"/>
        <v>447.55244755244752</v>
      </c>
      <c r="I8" s="3">
        <v>3820</v>
      </c>
      <c r="J8" s="146">
        <f t="shared" si="3"/>
        <v>1709650.3496503495</v>
      </c>
      <c r="K8" s="147">
        <v>25000</v>
      </c>
      <c r="L8" s="148">
        <f t="shared" si="4"/>
        <v>2500000</v>
      </c>
      <c r="M8" s="147">
        <f t="shared" si="1"/>
        <v>790349.65034965053</v>
      </c>
    </row>
    <row r="9" spans="1:13" x14ac:dyDescent="0.2">
      <c r="A9" s="1"/>
      <c r="B9" s="1" t="s">
        <v>253</v>
      </c>
      <c r="C9" s="145" t="s">
        <v>1860</v>
      </c>
      <c r="D9" s="1">
        <v>7.15</v>
      </c>
      <c r="E9" s="149">
        <v>100</v>
      </c>
      <c r="F9" s="149">
        <v>32</v>
      </c>
      <c r="G9" s="149">
        <f t="shared" si="2"/>
        <v>3200</v>
      </c>
      <c r="H9" s="145">
        <f t="shared" si="0"/>
        <v>447.55244755244752</v>
      </c>
      <c r="I9" s="3">
        <v>3820</v>
      </c>
      <c r="J9" s="146">
        <f t="shared" si="3"/>
        <v>1709650.3496503495</v>
      </c>
      <c r="K9" s="147">
        <v>25000</v>
      </c>
      <c r="L9" s="148">
        <f t="shared" si="4"/>
        <v>2500000</v>
      </c>
      <c r="M9" s="147">
        <f t="shared" si="1"/>
        <v>790349.65034965053</v>
      </c>
    </row>
    <row r="10" spans="1:13" x14ac:dyDescent="0.2">
      <c r="A10" s="1"/>
      <c r="B10" s="145" t="s">
        <v>1873</v>
      </c>
      <c r="C10" s="145" t="s">
        <v>1862</v>
      </c>
      <c r="D10" s="1">
        <v>7.15</v>
      </c>
      <c r="E10" s="149">
        <v>550</v>
      </c>
      <c r="F10" s="149">
        <v>15</v>
      </c>
      <c r="G10" s="149">
        <f t="shared" si="2"/>
        <v>8250</v>
      </c>
      <c r="H10" s="145">
        <f>G10/D10</f>
        <v>1153.8461538461538</v>
      </c>
      <c r="I10" s="3">
        <v>3820</v>
      </c>
      <c r="J10" s="146">
        <f t="shared" si="3"/>
        <v>4407692.307692308</v>
      </c>
      <c r="K10" s="147">
        <v>20000</v>
      </c>
      <c r="L10" s="148">
        <f t="shared" si="4"/>
        <v>11000000</v>
      </c>
      <c r="M10" s="147">
        <f t="shared" si="1"/>
        <v>6592307.692307692</v>
      </c>
    </row>
    <row r="11" spans="1:13" x14ac:dyDescent="0.2">
      <c r="A11" s="1"/>
      <c r="B11" s="1" t="s">
        <v>1863</v>
      </c>
      <c r="C11" s="145" t="s">
        <v>1864</v>
      </c>
      <c r="D11" s="1">
        <v>7.15</v>
      </c>
      <c r="E11" s="149">
        <v>150</v>
      </c>
      <c r="F11" s="149">
        <v>28</v>
      </c>
      <c r="G11" s="149">
        <f t="shared" si="2"/>
        <v>4200</v>
      </c>
      <c r="H11" s="145">
        <f t="shared" si="0"/>
        <v>587.41258741258741</v>
      </c>
      <c r="I11" s="3">
        <v>3820</v>
      </c>
      <c r="J11" s="146">
        <f t="shared" si="3"/>
        <v>2243916.0839160839</v>
      </c>
      <c r="K11" s="147">
        <v>25000</v>
      </c>
      <c r="L11" s="148">
        <f t="shared" si="4"/>
        <v>3750000</v>
      </c>
      <c r="M11" s="147">
        <f t="shared" si="1"/>
        <v>1506083.9160839161</v>
      </c>
    </row>
    <row r="12" spans="1:13" x14ac:dyDescent="0.2">
      <c r="B12" s="150" t="s">
        <v>1865</v>
      </c>
      <c r="C12" s="150" t="s">
        <v>1866</v>
      </c>
      <c r="D12" s="1">
        <v>7.15</v>
      </c>
      <c r="E12" s="151">
        <v>236</v>
      </c>
      <c r="F12" s="151">
        <v>14</v>
      </c>
      <c r="G12" s="151">
        <f t="shared" si="2"/>
        <v>3304</v>
      </c>
      <c r="H12" s="150">
        <f t="shared" si="0"/>
        <v>462.09790209790208</v>
      </c>
      <c r="I12" s="3">
        <v>3820</v>
      </c>
      <c r="J12" s="152">
        <f t="shared" si="3"/>
        <v>1765213.9860139859</v>
      </c>
      <c r="K12" s="153">
        <v>15000</v>
      </c>
      <c r="L12" s="154">
        <f t="shared" si="4"/>
        <v>3540000</v>
      </c>
      <c r="M12" s="153">
        <f t="shared" si="1"/>
        <v>1774786.0139860141</v>
      </c>
    </row>
    <row r="13" spans="1:13" x14ac:dyDescent="0.2">
      <c r="B13" s="78" t="s">
        <v>253</v>
      </c>
      <c r="C13" s="150" t="s">
        <v>253</v>
      </c>
      <c r="D13" s="1">
        <v>7.15</v>
      </c>
      <c r="E13" s="151">
        <v>70</v>
      </c>
      <c r="F13" s="151">
        <v>14.5</v>
      </c>
      <c r="G13" s="151">
        <f t="shared" si="2"/>
        <v>1015</v>
      </c>
      <c r="H13" s="150">
        <f t="shared" si="0"/>
        <v>141.95804195804195</v>
      </c>
      <c r="I13" s="3">
        <v>3820</v>
      </c>
      <c r="J13" s="152">
        <f t="shared" si="3"/>
        <v>542279.72027972026</v>
      </c>
      <c r="K13" s="153">
        <v>15000</v>
      </c>
      <c r="L13" s="154">
        <f t="shared" si="4"/>
        <v>1050000</v>
      </c>
      <c r="M13" s="153">
        <f t="shared" si="1"/>
        <v>507720.27972027974</v>
      </c>
    </row>
    <row r="14" spans="1:13" x14ac:dyDescent="0.2">
      <c r="B14" s="150" t="s">
        <v>1861</v>
      </c>
      <c r="C14" s="150" t="s">
        <v>1867</v>
      </c>
      <c r="D14" s="1">
        <v>7.15</v>
      </c>
      <c r="E14" s="151">
        <v>470</v>
      </c>
      <c r="F14" s="151">
        <v>41</v>
      </c>
      <c r="G14" s="151">
        <f t="shared" si="2"/>
        <v>19270</v>
      </c>
      <c r="H14" s="150">
        <f t="shared" si="0"/>
        <v>2695.1048951048951</v>
      </c>
      <c r="I14" s="3">
        <v>3820</v>
      </c>
      <c r="J14" s="152">
        <f t="shared" si="3"/>
        <v>10295300.699300699</v>
      </c>
      <c r="K14" s="153">
        <v>35000</v>
      </c>
      <c r="L14" s="154">
        <f t="shared" si="4"/>
        <v>16450000</v>
      </c>
      <c r="M14" s="153">
        <f t="shared" si="1"/>
        <v>6154699.3006993011</v>
      </c>
    </row>
    <row r="15" spans="1:13" x14ac:dyDescent="0.2">
      <c r="B15" s="78" t="s">
        <v>1868</v>
      </c>
      <c r="C15" s="150" t="s">
        <v>1869</v>
      </c>
      <c r="D15" s="1">
        <v>7.15</v>
      </c>
      <c r="E15" s="151">
        <v>150</v>
      </c>
      <c r="F15" s="151">
        <v>24</v>
      </c>
      <c r="G15" s="151">
        <f t="shared" si="2"/>
        <v>3600</v>
      </c>
      <c r="H15" s="150">
        <f t="shared" si="0"/>
        <v>503.49650349650346</v>
      </c>
      <c r="I15" s="3">
        <v>3820</v>
      </c>
      <c r="J15" s="152">
        <f t="shared" si="3"/>
        <v>1923356.6433566434</v>
      </c>
      <c r="K15" s="153">
        <v>35000</v>
      </c>
      <c r="L15" s="154">
        <f t="shared" si="4"/>
        <v>5250000</v>
      </c>
      <c r="M15" s="153">
        <f t="shared" si="1"/>
        <v>3326643.3566433564</v>
      </c>
    </row>
    <row r="16" spans="1:13" x14ac:dyDescent="0.2">
      <c r="B16" s="150" t="s">
        <v>1652</v>
      </c>
      <c r="C16" s="150" t="s">
        <v>1870</v>
      </c>
      <c r="D16" s="1">
        <v>7.15</v>
      </c>
      <c r="E16" s="151">
        <v>103</v>
      </c>
      <c r="F16" s="151">
        <v>30</v>
      </c>
      <c r="G16" s="151">
        <f t="shared" si="2"/>
        <v>3090</v>
      </c>
      <c r="H16" s="150">
        <f t="shared" si="0"/>
        <v>432.16783216783216</v>
      </c>
      <c r="I16" s="3">
        <v>3820</v>
      </c>
      <c r="J16" s="152">
        <f t="shared" si="3"/>
        <v>1650881.1188811189</v>
      </c>
      <c r="K16" s="153">
        <v>45000</v>
      </c>
      <c r="L16" s="154">
        <f t="shared" si="4"/>
        <v>4635000</v>
      </c>
      <c r="M16" s="153">
        <f t="shared" si="1"/>
        <v>2984118.8811188811</v>
      </c>
    </row>
    <row r="17" spans="2:13" x14ac:dyDescent="0.2">
      <c r="B17" s="78" t="s">
        <v>1871</v>
      </c>
      <c r="C17" s="150" t="s">
        <v>1872</v>
      </c>
      <c r="D17" s="1">
        <v>7.15</v>
      </c>
      <c r="E17" s="151">
        <v>100</v>
      </c>
      <c r="F17" s="151">
        <v>35</v>
      </c>
      <c r="G17" s="151">
        <f t="shared" si="2"/>
        <v>3500</v>
      </c>
      <c r="H17" s="150">
        <f t="shared" si="0"/>
        <v>489.51048951048949</v>
      </c>
      <c r="I17" s="3">
        <v>3820</v>
      </c>
      <c r="J17" s="152">
        <f t="shared" si="3"/>
        <v>1869930.0699300701</v>
      </c>
      <c r="K17" s="153">
        <v>45000</v>
      </c>
      <c r="L17" s="154">
        <f t="shared" si="4"/>
        <v>4500000</v>
      </c>
      <c r="M17" s="153">
        <f t="shared" si="1"/>
        <v>2630069.9300699299</v>
      </c>
    </row>
    <row r="18" spans="2:13" x14ac:dyDescent="0.2">
      <c r="B18" s="150" t="s">
        <v>1873</v>
      </c>
      <c r="C18" s="150" t="s">
        <v>1874</v>
      </c>
      <c r="D18" s="1">
        <v>7.15</v>
      </c>
      <c r="E18" s="151">
        <v>600</v>
      </c>
      <c r="F18" s="151">
        <v>24</v>
      </c>
      <c r="G18" s="151">
        <f t="shared" si="2"/>
        <v>14400</v>
      </c>
      <c r="H18" s="150">
        <f t="shared" si="0"/>
        <v>2013.9860139860139</v>
      </c>
      <c r="I18" s="3">
        <v>3820</v>
      </c>
      <c r="J18" s="152">
        <f t="shared" si="3"/>
        <v>7693426.5734265735</v>
      </c>
      <c r="K18" s="153">
        <v>22000</v>
      </c>
      <c r="L18" s="154">
        <f t="shared" si="4"/>
        <v>13200000</v>
      </c>
      <c r="M18" s="153">
        <f t="shared" si="1"/>
        <v>5506573.4265734265</v>
      </c>
    </row>
    <row r="19" spans="2:13" x14ac:dyDescent="0.2">
      <c r="B19" s="78" t="s">
        <v>253</v>
      </c>
      <c r="C19" s="150" t="s">
        <v>1875</v>
      </c>
      <c r="D19" s="1">
        <v>7.15</v>
      </c>
      <c r="E19" s="151">
        <v>500</v>
      </c>
      <c r="F19" s="151">
        <v>23</v>
      </c>
      <c r="G19" s="151">
        <f t="shared" si="2"/>
        <v>11500</v>
      </c>
      <c r="H19" s="150">
        <f t="shared" si="0"/>
        <v>1608.3916083916083</v>
      </c>
      <c r="I19" s="3">
        <v>3820</v>
      </c>
      <c r="J19" s="152">
        <f t="shared" si="3"/>
        <v>6144055.9440559437</v>
      </c>
      <c r="K19" s="153">
        <v>22000</v>
      </c>
      <c r="L19" s="154">
        <f t="shared" si="4"/>
        <v>11000000</v>
      </c>
      <c r="M19" s="153">
        <f t="shared" si="1"/>
        <v>4855944.0559440563</v>
      </c>
    </row>
    <row r="20" spans="2:13" x14ac:dyDescent="0.2">
      <c r="B20" s="150" t="s">
        <v>1876</v>
      </c>
      <c r="C20" s="150" t="s">
        <v>1877</v>
      </c>
      <c r="D20" s="1">
        <v>7.15</v>
      </c>
      <c r="E20" s="151">
        <v>150</v>
      </c>
      <c r="F20" s="151">
        <v>29</v>
      </c>
      <c r="G20" s="151">
        <f t="shared" si="2"/>
        <v>4350</v>
      </c>
      <c r="H20" s="150">
        <f t="shared" si="0"/>
        <v>608.39160839160832</v>
      </c>
      <c r="I20" s="3">
        <v>3820</v>
      </c>
      <c r="J20" s="152">
        <f t="shared" si="3"/>
        <v>2324055.9440559437</v>
      </c>
      <c r="K20" s="153">
        <v>35000</v>
      </c>
      <c r="L20" s="154">
        <f t="shared" si="4"/>
        <v>5250000</v>
      </c>
      <c r="M20" s="153">
        <f t="shared" si="1"/>
        <v>2925944.0559440563</v>
      </c>
    </row>
    <row r="21" spans="2:13" x14ac:dyDescent="0.2">
      <c r="B21" s="78" t="s">
        <v>1865</v>
      </c>
      <c r="C21" s="150" t="s">
        <v>1878</v>
      </c>
      <c r="D21" s="1">
        <v>7.15</v>
      </c>
      <c r="E21" s="151">
        <v>565</v>
      </c>
      <c r="F21" s="151">
        <v>14</v>
      </c>
      <c r="G21" s="151">
        <f t="shared" si="2"/>
        <v>7910</v>
      </c>
      <c r="H21" s="150">
        <f t="shared" si="0"/>
        <v>1106.2937062937062</v>
      </c>
      <c r="I21" s="3">
        <v>3820</v>
      </c>
      <c r="J21" s="152">
        <f t="shared" si="3"/>
        <v>4226041.9580419576</v>
      </c>
      <c r="K21" s="153">
        <v>15000</v>
      </c>
      <c r="L21" s="154">
        <f t="shared" si="4"/>
        <v>8475000</v>
      </c>
      <c r="M21" s="153">
        <f t="shared" si="1"/>
        <v>4248958.0419580424</v>
      </c>
    </row>
    <row r="22" spans="2:13" x14ac:dyDescent="0.2">
      <c r="B22" s="150" t="s">
        <v>253</v>
      </c>
      <c r="C22" s="150" t="s">
        <v>253</v>
      </c>
      <c r="D22" s="1">
        <v>7.15</v>
      </c>
      <c r="E22" s="151">
        <v>785</v>
      </c>
      <c r="F22" s="151">
        <v>13</v>
      </c>
      <c r="G22" s="151">
        <f t="shared" si="2"/>
        <v>10205</v>
      </c>
      <c r="H22" s="150">
        <f t="shared" si="0"/>
        <v>1427.2727272727273</v>
      </c>
      <c r="I22" s="3">
        <v>3820</v>
      </c>
      <c r="J22" s="152">
        <f t="shared" si="3"/>
        <v>5452181.8181818174</v>
      </c>
      <c r="K22" s="153">
        <v>15000</v>
      </c>
      <c r="L22" s="154">
        <f t="shared" si="4"/>
        <v>11775000</v>
      </c>
      <c r="M22" s="153">
        <f t="shared" si="1"/>
        <v>6322818.1818181826</v>
      </c>
    </row>
    <row r="23" spans="2:13" x14ac:dyDescent="0.2">
      <c r="B23" s="78" t="s">
        <v>253</v>
      </c>
      <c r="C23" s="150" t="s">
        <v>253</v>
      </c>
      <c r="D23" s="1">
        <v>7.15</v>
      </c>
      <c r="E23" s="151">
        <v>210</v>
      </c>
      <c r="F23" s="151">
        <v>10</v>
      </c>
      <c r="G23" s="151">
        <f t="shared" si="2"/>
        <v>2100</v>
      </c>
      <c r="H23" s="150">
        <f t="shared" si="0"/>
        <v>293.70629370629371</v>
      </c>
      <c r="I23" s="3">
        <v>3820</v>
      </c>
      <c r="J23" s="152">
        <f t="shared" si="3"/>
        <v>1121958.041958042</v>
      </c>
      <c r="K23" s="153">
        <v>13000</v>
      </c>
      <c r="L23" s="154">
        <f t="shared" si="4"/>
        <v>2730000</v>
      </c>
      <c r="M23" s="153">
        <f t="shared" si="1"/>
        <v>1608041.958041958</v>
      </c>
    </row>
    <row r="24" spans="2:13" x14ac:dyDescent="0.2">
      <c r="B24" s="150" t="s">
        <v>1882</v>
      </c>
      <c r="D24" s="1">
        <v>7.15</v>
      </c>
      <c r="E24" s="151">
        <v>100</v>
      </c>
      <c r="F24" s="151">
        <v>40</v>
      </c>
      <c r="G24" s="151">
        <f t="shared" si="2"/>
        <v>4000</v>
      </c>
      <c r="H24" s="150">
        <f t="shared" si="0"/>
        <v>559.44055944055947</v>
      </c>
      <c r="I24" s="3">
        <v>3820</v>
      </c>
      <c r="J24" s="152">
        <f t="shared" si="3"/>
        <v>2137062.9370629368</v>
      </c>
      <c r="K24" s="153">
        <v>50000</v>
      </c>
      <c r="L24" s="154">
        <f t="shared" si="4"/>
        <v>5000000</v>
      </c>
      <c r="M24" s="153">
        <f t="shared" si="1"/>
        <v>2862937.0629370632</v>
      </c>
    </row>
    <row r="25" spans="2:13" x14ac:dyDescent="0.2">
      <c r="B25" s="78" t="s">
        <v>1876</v>
      </c>
      <c r="D25" s="1">
        <v>7.15</v>
      </c>
      <c r="E25" s="151">
        <v>100</v>
      </c>
      <c r="F25" s="151">
        <v>20</v>
      </c>
      <c r="G25" s="151">
        <f t="shared" si="2"/>
        <v>2000</v>
      </c>
      <c r="H25" s="150">
        <f t="shared" si="0"/>
        <v>279.72027972027973</v>
      </c>
      <c r="I25" s="3">
        <v>3820</v>
      </c>
      <c r="J25" s="152">
        <f t="shared" si="3"/>
        <v>1068531.4685314684</v>
      </c>
      <c r="K25" s="153">
        <v>35000</v>
      </c>
      <c r="L25" s="154">
        <f t="shared" si="4"/>
        <v>3500000</v>
      </c>
      <c r="M25" s="153">
        <f t="shared" si="1"/>
        <v>2431468.5314685316</v>
      </c>
    </row>
    <row r="26" spans="2:13" x14ac:dyDescent="0.2">
      <c r="B26" s="150" t="s">
        <v>1876</v>
      </c>
      <c r="D26" s="1">
        <v>7.15</v>
      </c>
      <c r="E26" s="151">
        <v>66</v>
      </c>
      <c r="F26" s="151">
        <v>30</v>
      </c>
      <c r="G26" s="151">
        <f t="shared" si="2"/>
        <v>1980</v>
      </c>
      <c r="H26" s="150">
        <f t="shared" si="0"/>
        <v>276.92307692307691</v>
      </c>
      <c r="I26" s="3">
        <v>3820</v>
      </c>
      <c r="J26" s="152">
        <f t="shared" si="3"/>
        <v>1057846.1538461538</v>
      </c>
      <c r="K26" s="153">
        <v>35000</v>
      </c>
      <c r="L26" s="154">
        <f t="shared" si="4"/>
        <v>2310000</v>
      </c>
      <c r="M26" s="153">
        <f t="shared" si="1"/>
        <v>1252153.8461538462</v>
      </c>
    </row>
    <row r="27" spans="2:13" x14ac:dyDescent="0.2">
      <c r="B27" s="78" t="s">
        <v>1879</v>
      </c>
      <c r="D27" s="1">
        <v>7.15</v>
      </c>
      <c r="E27" s="151">
        <v>256</v>
      </c>
      <c r="F27" s="151">
        <v>30</v>
      </c>
      <c r="G27" s="151">
        <f t="shared" si="2"/>
        <v>7680</v>
      </c>
      <c r="H27" s="150">
        <f t="shared" si="0"/>
        <v>1074.1258741258741</v>
      </c>
      <c r="I27" s="3">
        <v>3820</v>
      </c>
      <c r="J27" s="152">
        <f t="shared" si="3"/>
        <v>4103160.8391608391</v>
      </c>
      <c r="K27" s="153">
        <v>40000</v>
      </c>
      <c r="L27" s="154">
        <f t="shared" si="4"/>
        <v>10240000</v>
      </c>
      <c r="M27" s="153">
        <f t="shared" si="1"/>
        <v>6136839.1608391609</v>
      </c>
    </row>
    <row r="28" spans="2:13" x14ac:dyDescent="0.2">
      <c r="B28" s="150" t="s">
        <v>1880</v>
      </c>
      <c r="C28" t="s">
        <v>1864</v>
      </c>
      <c r="D28" s="1">
        <v>7.15</v>
      </c>
      <c r="E28" s="151">
        <v>356</v>
      </c>
      <c r="F28" s="151">
        <v>25</v>
      </c>
      <c r="G28" s="151">
        <f t="shared" si="2"/>
        <v>8900</v>
      </c>
      <c r="H28" s="150">
        <f t="shared" si="0"/>
        <v>1244.7552447552448</v>
      </c>
      <c r="I28" s="3">
        <v>3820</v>
      </c>
      <c r="J28" s="152">
        <f t="shared" si="3"/>
        <v>4754965.0349650346</v>
      </c>
      <c r="K28" s="153">
        <v>30000</v>
      </c>
      <c r="L28" s="154">
        <f t="shared" si="4"/>
        <v>10680000</v>
      </c>
      <c r="M28" s="153">
        <f t="shared" si="1"/>
        <v>5925034.9650349654</v>
      </c>
    </row>
    <row r="29" spans="2:13" x14ac:dyDescent="0.2">
      <c r="B29" s="78" t="s">
        <v>1881</v>
      </c>
      <c r="C29" t="s">
        <v>253</v>
      </c>
      <c r="D29" s="1">
        <v>7.15</v>
      </c>
      <c r="E29" s="151">
        <v>190</v>
      </c>
      <c r="F29" s="151">
        <v>40</v>
      </c>
      <c r="G29" s="151">
        <f t="shared" si="2"/>
        <v>7600</v>
      </c>
      <c r="H29" s="150">
        <f t="shared" si="0"/>
        <v>1062.9370629370628</v>
      </c>
      <c r="I29" s="3">
        <v>3820</v>
      </c>
      <c r="J29" s="152">
        <f t="shared" si="3"/>
        <v>4060419.58041958</v>
      </c>
      <c r="K29" s="153">
        <v>30000</v>
      </c>
      <c r="L29" s="154">
        <f t="shared" si="4"/>
        <v>5700000</v>
      </c>
      <c r="M29" s="153">
        <f t="shared" si="1"/>
        <v>1639580.41958042</v>
      </c>
    </row>
    <row r="30" spans="2:13" x14ac:dyDescent="0.2">
      <c r="B30" s="150" t="s">
        <v>253</v>
      </c>
      <c r="C30" t="s">
        <v>253</v>
      </c>
      <c r="D30" s="1">
        <v>7.15</v>
      </c>
      <c r="E30" s="151">
        <v>284</v>
      </c>
      <c r="F30" s="151">
        <v>40</v>
      </c>
      <c r="G30" s="151">
        <f t="shared" si="2"/>
        <v>11360</v>
      </c>
      <c r="H30" s="150">
        <f t="shared" si="0"/>
        <v>1588.8111888111887</v>
      </c>
      <c r="I30" s="3">
        <v>3820</v>
      </c>
      <c r="J30" s="152">
        <f t="shared" si="3"/>
        <v>6069258.7412587404</v>
      </c>
      <c r="K30" s="153">
        <v>30000</v>
      </c>
      <c r="L30" s="154">
        <f t="shared" si="4"/>
        <v>8520000</v>
      </c>
      <c r="M30" s="153">
        <f t="shared" si="1"/>
        <v>2450741.2587412596</v>
      </c>
    </row>
    <row r="31" spans="2:13" x14ac:dyDescent="0.2">
      <c r="B31" s="78" t="s">
        <v>253</v>
      </c>
      <c r="C31" t="s">
        <v>253</v>
      </c>
      <c r="D31" s="1">
        <v>7.15</v>
      </c>
      <c r="E31" s="151">
        <v>248</v>
      </c>
      <c r="F31" s="151">
        <v>40</v>
      </c>
      <c r="G31" s="151">
        <f t="shared" si="2"/>
        <v>9920</v>
      </c>
      <c r="H31" s="150">
        <f t="shared" si="0"/>
        <v>1387.4125874125873</v>
      </c>
      <c r="I31" s="3">
        <v>3820</v>
      </c>
      <c r="J31" s="152">
        <f t="shared" si="3"/>
        <v>5299916.0839160839</v>
      </c>
      <c r="K31" s="153">
        <v>30000</v>
      </c>
      <c r="L31" s="154">
        <f t="shared" si="4"/>
        <v>7440000</v>
      </c>
      <c r="M31" s="153">
        <f t="shared" si="1"/>
        <v>2140083.9160839161</v>
      </c>
    </row>
    <row r="32" spans="2:13" x14ac:dyDescent="0.2">
      <c r="B32" s="150" t="s">
        <v>253</v>
      </c>
      <c r="C32" t="s">
        <v>253</v>
      </c>
      <c r="D32" s="1">
        <v>7.15</v>
      </c>
      <c r="E32" s="151">
        <v>95</v>
      </c>
      <c r="F32" s="151">
        <v>35</v>
      </c>
      <c r="G32" s="151">
        <f t="shared" si="2"/>
        <v>3325</v>
      </c>
      <c r="H32" s="150">
        <f t="shared" si="0"/>
        <v>465.03496503496501</v>
      </c>
      <c r="I32" s="3">
        <v>3820</v>
      </c>
      <c r="J32" s="152">
        <f t="shared" si="3"/>
        <v>1776433.5664335666</v>
      </c>
      <c r="K32" s="153">
        <v>30000</v>
      </c>
      <c r="L32" s="154">
        <f t="shared" si="4"/>
        <v>2850000</v>
      </c>
      <c r="M32" s="153">
        <f t="shared" si="1"/>
        <v>1073566.4335664334</v>
      </c>
    </row>
    <row r="33" spans="2:13" x14ac:dyDescent="0.2">
      <c r="B33" s="179" t="s">
        <v>1883</v>
      </c>
      <c r="C33" t="s">
        <v>1550</v>
      </c>
      <c r="D33" s="1">
        <v>7.15</v>
      </c>
      <c r="E33" s="35">
        <v>350</v>
      </c>
      <c r="F33" s="35">
        <v>24</v>
      </c>
      <c r="G33" s="35">
        <f t="shared" si="2"/>
        <v>8400</v>
      </c>
      <c r="H33" s="150">
        <f t="shared" si="0"/>
        <v>1174.8251748251748</v>
      </c>
      <c r="I33" s="3">
        <v>3820</v>
      </c>
      <c r="J33" s="180">
        <f t="shared" si="3"/>
        <v>4487832.1678321678</v>
      </c>
      <c r="K33" s="168">
        <v>35000</v>
      </c>
      <c r="L33" s="181">
        <f t="shared" si="4"/>
        <v>12250000</v>
      </c>
      <c r="M33" s="168">
        <f t="shared" si="1"/>
        <v>7762167.8321678322</v>
      </c>
    </row>
    <row r="34" spans="2:13" x14ac:dyDescent="0.2">
      <c r="D34" s="1"/>
      <c r="E34" s="7">
        <f>SUM(E3:E33)</f>
        <v>7414</v>
      </c>
      <c r="F34" s="41"/>
      <c r="G34" s="41"/>
      <c r="H34" s="188">
        <f>SUM(H3:H33)</f>
        <v>26111.748251748253</v>
      </c>
      <c r="I34" s="186"/>
      <c r="J34" s="187">
        <f>SUM(J3:J33)</f>
        <v>99746878.32167834</v>
      </c>
      <c r="K34" s="41"/>
      <c r="L34" s="48">
        <f>SUM(L3:L33)</f>
        <v>192645000</v>
      </c>
      <c r="M34" s="48">
        <f>SUM(M3:M33)</f>
        <v>92898121.678321674</v>
      </c>
    </row>
    <row r="38" spans="2:13" x14ac:dyDescent="0.2">
      <c r="I38" s="3" t="s">
        <v>25</v>
      </c>
      <c r="J38" s="169">
        <v>99746878</v>
      </c>
    </row>
    <row r="39" spans="2:13" x14ac:dyDescent="0.2">
      <c r="I39" s="3" t="s">
        <v>27</v>
      </c>
      <c r="J39" s="9">
        <v>5722605</v>
      </c>
    </row>
    <row r="40" spans="2:13" x14ac:dyDescent="0.2">
      <c r="I40" s="3" t="s">
        <v>26</v>
      </c>
      <c r="J40" s="3">
        <v>6360000</v>
      </c>
    </row>
    <row r="41" spans="2:13" x14ac:dyDescent="0.2">
      <c r="I41" s="3" t="s">
        <v>33</v>
      </c>
      <c r="J41" s="3">
        <v>4000000</v>
      </c>
    </row>
    <row r="42" spans="2:13" x14ac:dyDescent="0.2">
      <c r="I42" s="3" t="s">
        <v>31</v>
      </c>
      <c r="J42" s="3">
        <v>3000000</v>
      </c>
    </row>
    <row r="43" spans="2:13" x14ac:dyDescent="0.2">
      <c r="I43" s="3" t="s">
        <v>36</v>
      </c>
      <c r="J43" s="3">
        <v>2500000</v>
      </c>
    </row>
    <row r="44" spans="2:13" x14ac:dyDescent="0.2">
      <c r="I44" s="3" t="s">
        <v>29</v>
      </c>
      <c r="J44" s="23">
        <v>24757000</v>
      </c>
    </row>
    <row r="45" spans="2:13" x14ac:dyDescent="0.2">
      <c r="I45" s="3" t="s">
        <v>34</v>
      </c>
      <c r="J45" s="127">
        <f>SUM(J38:J44)</f>
        <v>146086483</v>
      </c>
    </row>
    <row r="46" spans="2:13" x14ac:dyDescent="0.2">
      <c r="I46" s="3" t="s">
        <v>6</v>
      </c>
      <c r="J46" s="116">
        <v>192898122</v>
      </c>
    </row>
    <row r="47" spans="2:13" ht="18" x14ac:dyDescent="0.35">
      <c r="I47" s="3" t="s">
        <v>35</v>
      </c>
      <c r="J47" s="21">
        <f>J46-J45</f>
        <v>46811639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52"/>
  <sheetViews>
    <sheetView workbookViewId="0">
      <selection activeCell="P12" sqref="P12"/>
    </sheetView>
  </sheetViews>
  <sheetFormatPr baseColWidth="10" defaultRowHeight="15" x14ac:dyDescent="0.2"/>
  <cols>
    <col min="2" max="2" width="17.5" customWidth="1"/>
    <col min="3" max="3" width="18.1640625" customWidth="1"/>
    <col min="5" max="5" width="13.1640625" customWidth="1"/>
    <col min="8" max="8" width="15" customWidth="1"/>
    <col min="10" max="10" width="16.6640625" customWidth="1"/>
    <col min="12" max="12" width="12.6640625" customWidth="1"/>
    <col min="13" max="13" width="14" customWidth="1"/>
  </cols>
  <sheetData>
    <row r="1" spans="1:13" ht="31" x14ac:dyDescent="0.35">
      <c r="A1" s="56" t="s">
        <v>1905</v>
      </c>
      <c r="B1" s="56"/>
      <c r="C1" s="56"/>
      <c r="D1" s="56"/>
      <c r="E1" s="56"/>
      <c r="F1" s="57" t="s">
        <v>1795</v>
      </c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145" t="s">
        <v>1853</v>
      </c>
      <c r="B3" s="145" t="s">
        <v>1884</v>
      </c>
      <c r="C3" s="145" t="s">
        <v>1885</v>
      </c>
      <c r="D3" s="1">
        <v>7.23</v>
      </c>
      <c r="E3" s="149">
        <v>250</v>
      </c>
      <c r="F3" s="149">
        <v>30.5</v>
      </c>
      <c r="G3" s="149">
        <f>E3*F3</f>
        <v>7625</v>
      </c>
      <c r="H3" s="145">
        <f t="shared" ref="H3:H37" si="0">G3/D3</f>
        <v>1054.6334716459198</v>
      </c>
      <c r="I3" s="3">
        <v>3906</v>
      </c>
      <c r="J3" s="146">
        <f>F3/D3*I3*E3</f>
        <v>4119398.3402489629</v>
      </c>
      <c r="K3" s="147">
        <v>30000</v>
      </c>
      <c r="L3" s="148">
        <f>K3*E3</f>
        <v>7500000</v>
      </c>
      <c r="M3" s="147">
        <f t="shared" ref="M3:M37" si="1">L3-J3</f>
        <v>3380601.6597510371</v>
      </c>
    </row>
    <row r="4" spans="1:13" x14ac:dyDescent="0.2">
      <c r="A4" s="1"/>
      <c r="B4" s="145" t="s">
        <v>1278</v>
      </c>
      <c r="C4" s="145" t="s">
        <v>1900</v>
      </c>
      <c r="D4" s="1">
        <v>7.23</v>
      </c>
      <c r="E4" s="149">
        <v>250</v>
      </c>
      <c r="F4" s="149">
        <v>47</v>
      </c>
      <c r="G4" s="149">
        <f t="shared" ref="G4:G37" si="2">E4*F4</f>
        <v>11750</v>
      </c>
      <c r="H4" s="145">
        <f t="shared" si="0"/>
        <v>1625.1728907330566</v>
      </c>
      <c r="I4" s="3">
        <v>3906</v>
      </c>
      <c r="J4" s="146">
        <f t="shared" ref="J4:J37" si="3">F4/D4*I4*E4</f>
        <v>6347925.3112033196</v>
      </c>
      <c r="K4" s="147">
        <v>50000</v>
      </c>
      <c r="L4" s="148">
        <f t="shared" ref="L4:L37" si="4">K4*E4</f>
        <v>12500000</v>
      </c>
      <c r="M4" s="147">
        <f t="shared" si="1"/>
        <v>6152074.6887966804</v>
      </c>
    </row>
    <row r="5" spans="1:13" x14ac:dyDescent="0.2">
      <c r="A5" s="1"/>
      <c r="B5" s="145"/>
      <c r="C5" s="1" t="s">
        <v>1896</v>
      </c>
      <c r="D5" s="1">
        <v>7.23</v>
      </c>
      <c r="E5" s="149">
        <v>120</v>
      </c>
      <c r="F5" s="149">
        <v>42</v>
      </c>
      <c r="G5" s="149">
        <f t="shared" si="2"/>
        <v>5040</v>
      </c>
      <c r="H5" s="145">
        <f t="shared" si="0"/>
        <v>697.09543568464721</v>
      </c>
      <c r="I5" s="3">
        <v>3906</v>
      </c>
      <c r="J5" s="146">
        <f t="shared" si="3"/>
        <v>2722854.7717842325</v>
      </c>
      <c r="K5" s="147">
        <v>35000</v>
      </c>
      <c r="L5" s="148">
        <f t="shared" si="4"/>
        <v>4200000</v>
      </c>
      <c r="M5" s="147">
        <f t="shared" si="1"/>
        <v>1477145.2282157675</v>
      </c>
    </row>
    <row r="6" spans="1:13" x14ac:dyDescent="0.2">
      <c r="A6" s="1"/>
      <c r="B6" s="1" t="s">
        <v>253</v>
      </c>
      <c r="C6" s="145" t="s">
        <v>1897</v>
      </c>
      <c r="D6" s="1">
        <v>7.23</v>
      </c>
      <c r="E6" s="149">
        <v>100</v>
      </c>
      <c r="F6" s="149">
        <v>44</v>
      </c>
      <c r="G6" s="149">
        <f t="shared" si="2"/>
        <v>4400</v>
      </c>
      <c r="H6" s="145">
        <f t="shared" si="0"/>
        <v>608.57538035961272</v>
      </c>
      <c r="I6" s="3">
        <v>3906</v>
      </c>
      <c r="J6" s="146">
        <f t="shared" si="3"/>
        <v>2377095.4356846474</v>
      </c>
      <c r="K6" s="147">
        <v>35000</v>
      </c>
      <c r="L6" s="148">
        <f t="shared" si="4"/>
        <v>3500000</v>
      </c>
      <c r="M6" s="147">
        <f t="shared" si="1"/>
        <v>1122904.5643153526</v>
      </c>
    </row>
    <row r="7" spans="1:13" x14ac:dyDescent="0.2">
      <c r="A7" s="1"/>
      <c r="B7" s="145" t="s">
        <v>253</v>
      </c>
      <c r="C7" s="145" t="s">
        <v>1898</v>
      </c>
      <c r="D7" s="1">
        <v>7.23</v>
      </c>
      <c r="E7" s="149">
        <v>100</v>
      </c>
      <c r="F7" s="149">
        <v>44</v>
      </c>
      <c r="G7" s="149">
        <f t="shared" si="2"/>
        <v>4400</v>
      </c>
      <c r="H7" s="145">
        <f>G7/D7</f>
        <v>608.57538035961272</v>
      </c>
      <c r="I7" s="3">
        <v>3906</v>
      </c>
      <c r="J7" s="146">
        <f t="shared" si="3"/>
        <v>2377095.4356846474</v>
      </c>
      <c r="K7" s="147">
        <v>35000</v>
      </c>
      <c r="L7" s="148">
        <f t="shared" si="4"/>
        <v>3500000</v>
      </c>
      <c r="M7" s="147">
        <f t="shared" si="1"/>
        <v>1122904.5643153526</v>
      </c>
    </row>
    <row r="8" spans="1:13" x14ac:dyDescent="0.2">
      <c r="A8" s="1"/>
      <c r="B8" s="1" t="s">
        <v>253</v>
      </c>
      <c r="C8" s="145" t="s">
        <v>1899</v>
      </c>
      <c r="D8" s="1">
        <v>7.23</v>
      </c>
      <c r="E8" s="149">
        <v>100</v>
      </c>
      <c r="F8" s="149">
        <v>45</v>
      </c>
      <c r="G8" s="149">
        <f t="shared" si="2"/>
        <v>4500</v>
      </c>
      <c r="H8" s="145">
        <f t="shared" si="0"/>
        <v>622.40663900414938</v>
      </c>
      <c r="I8" s="3">
        <v>3906</v>
      </c>
      <c r="J8" s="146">
        <f t="shared" si="3"/>
        <v>2431120.3319502072</v>
      </c>
      <c r="K8" s="147">
        <v>35000</v>
      </c>
      <c r="L8" s="148">
        <f t="shared" si="4"/>
        <v>3500000</v>
      </c>
      <c r="M8" s="147">
        <f t="shared" si="1"/>
        <v>1068879.6680497928</v>
      </c>
    </row>
    <row r="9" spans="1:13" x14ac:dyDescent="0.2">
      <c r="B9" s="150" t="s">
        <v>1884</v>
      </c>
      <c r="C9" s="150" t="s">
        <v>1886</v>
      </c>
      <c r="D9" s="1">
        <v>7.23</v>
      </c>
      <c r="E9" s="151">
        <v>150</v>
      </c>
      <c r="F9" s="151">
        <v>60</v>
      </c>
      <c r="G9" s="151">
        <f t="shared" si="2"/>
        <v>9000</v>
      </c>
      <c r="H9" s="150">
        <f t="shared" si="0"/>
        <v>1244.8132780082988</v>
      </c>
      <c r="I9" s="3">
        <v>3906</v>
      </c>
      <c r="J9" s="152">
        <f t="shared" si="3"/>
        <v>4862240.6639004145</v>
      </c>
      <c r="K9" s="153">
        <v>45000</v>
      </c>
      <c r="L9" s="154">
        <f t="shared" si="4"/>
        <v>6750000</v>
      </c>
      <c r="M9" s="153">
        <f t="shared" si="1"/>
        <v>1887759.3360995855</v>
      </c>
    </row>
    <row r="10" spans="1:13" x14ac:dyDescent="0.2">
      <c r="B10" s="78" t="s">
        <v>253</v>
      </c>
      <c r="C10" s="150" t="s">
        <v>1887</v>
      </c>
      <c r="D10" s="1">
        <v>7.23</v>
      </c>
      <c r="E10" s="151">
        <v>150</v>
      </c>
      <c r="F10" s="151">
        <v>53</v>
      </c>
      <c r="G10" s="151">
        <f t="shared" si="2"/>
        <v>7950</v>
      </c>
      <c r="H10" s="150">
        <f t="shared" si="0"/>
        <v>1099.5850622406638</v>
      </c>
      <c r="I10" s="3">
        <v>3906</v>
      </c>
      <c r="J10" s="152">
        <f t="shared" si="3"/>
        <v>4294979.253112033</v>
      </c>
      <c r="K10" s="153">
        <v>40000</v>
      </c>
      <c r="L10" s="154">
        <f t="shared" si="4"/>
        <v>6000000</v>
      </c>
      <c r="M10" s="153">
        <f t="shared" si="1"/>
        <v>1705020.746887967</v>
      </c>
    </row>
    <row r="11" spans="1:13" x14ac:dyDescent="0.2">
      <c r="B11" s="150" t="s">
        <v>253</v>
      </c>
      <c r="C11" s="150" t="s">
        <v>1888</v>
      </c>
      <c r="D11" s="1">
        <v>7.23</v>
      </c>
      <c r="E11" s="151">
        <v>150</v>
      </c>
      <c r="F11" s="151">
        <v>53</v>
      </c>
      <c r="G11" s="151">
        <f t="shared" si="2"/>
        <v>7950</v>
      </c>
      <c r="H11" s="150">
        <f t="shared" si="0"/>
        <v>1099.5850622406638</v>
      </c>
      <c r="I11" s="3">
        <v>3906</v>
      </c>
      <c r="J11" s="152">
        <f t="shared" si="3"/>
        <v>4294979.253112033</v>
      </c>
      <c r="K11" s="153">
        <v>40000</v>
      </c>
      <c r="L11" s="154">
        <f t="shared" si="4"/>
        <v>6000000</v>
      </c>
      <c r="M11" s="153">
        <f t="shared" si="1"/>
        <v>1705020.746887967</v>
      </c>
    </row>
    <row r="12" spans="1:13" x14ac:dyDescent="0.2">
      <c r="B12" s="78" t="s">
        <v>253</v>
      </c>
      <c r="C12" s="150" t="s">
        <v>1889</v>
      </c>
      <c r="D12" s="1">
        <v>7.23</v>
      </c>
      <c r="E12" s="151">
        <v>150</v>
      </c>
      <c r="F12" s="151">
        <v>53</v>
      </c>
      <c r="G12" s="151">
        <f t="shared" si="2"/>
        <v>7950</v>
      </c>
      <c r="H12" s="150">
        <f t="shared" si="0"/>
        <v>1099.5850622406638</v>
      </c>
      <c r="I12" s="3">
        <v>3906</v>
      </c>
      <c r="J12" s="152">
        <f t="shared" si="3"/>
        <v>4294979.253112033</v>
      </c>
      <c r="K12" s="153">
        <v>40000</v>
      </c>
      <c r="L12" s="154">
        <f t="shared" si="4"/>
        <v>6000000</v>
      </c>
      <c r="M12" s="153">
        <f t="shared" si="1"/>
        <v>1705020.746887967</v>
      </c>
    </row>
    <row r="13" spans="1:13" x14ac:dyDescent="0.2">
      <c r="B13" s="150" t="s">
        <v>1890</v>
      </c>
      <c r="C13" s="150" t="s">
        <v>1891</v>
      </c>
      <c r="D13" s="1">
        <v>7.23</v>
      </c>
      <c r="E13" s="151">
        <v>200</v>
      </c>
      <c r="F13" s="189">
        <v>28</v>
      </c>
      <c r="G13" s="151">
        <f t="shared" si="2"/>
        <v>5600</v>
      </c>
      <c r="H13" s="150">
        <f t="shared" si="0"/>
        <v>774.55048409405254</v>
      </c>
      <c r="I13" s="3">
        <v>3906</v>
      </c>
      <c r="J13" s="152">
        <f t="shared" si="3"/>
        <v>3025394.1908713686</v>
      </c>
      <c r="K13" s="153">
        <v>30000</v>
      </c>
      <c r="L13" s="154">
        <f t="shared" si="4"/>
        <v>6000000</v>
      </c>
      <c r="M13" s="153">
        <f t="shared" si="1"/>
        <v>2974605.8091286314</v>
      </c>
    </row>
    <row r="14" spans="1:13" x14ac:dyDescent="0.2">
      <c r="B14" s="78" t="s">
        <v>253</v>
      </c>
      <c r="C14" s="150" t="s">
        <v>1892</v>
      </c>
      <c r="D14" s="1">
        <v>7.23</v>
      </c>
      <c r="E14" s="151">
        <v>180</v>
      </c>
      <c r="F14" s="189">
        <v>26</v>
      </c>
      <c r="G14" s="151">
        <f t="shared" si="2"/>
        <v>4680</v>
      </c>
      <c r="H14" s="150">
        <f t="shared" si="0"/>
        <v>647.30290456431533</v>
      </c>
      <c r="I14" s="3">
        <v>3906</v>
      </c>
      <c r="J14" s="152">
        <f t="shared" si="3"/>
        <v>2528365.1452282155</v>
      </c>
      <c r="K14" s="153">
        <v>25000</v>
      </c>
      <c r="L14" s="154">
        <f t="shared" si="4"/>
        <v>4500000</v>
      </c>
      <c r="M14" s="153">
        <f t="shared" si="1"/>
        <v>1971634.8547717845</v>
      </c>
    </row>
    <row r="15" spans="1:13" x14ac:dyDescent="0.2">
      <c r="B15" s="150" t="s">
        <v>253</v>
      </c>
      <c r="C15" s="150" t="s">
        <v>1893</v>
      </c>
      <c r="D15" s="1">
        <v>7.23</v>
      </c>
      <c r="E15" s="151">
        <v>120</v>
      </c>
      <c r="F15" s="189">
        <v>22</v>
      </c>
      <c r="G15" s="151">
        <f t="shared" si="2"/>
        <v>2640</v>
      </c>
      <c r="H15" s="150">
        <f t="shared" si="0"/>
        <v>365.14522821576759</v>
      </c>
      <c r="I15" s="3">
        <v>3906</v>
      </c>
      <c r="J15" s="152">
        <f t="shared" si="3"/>
        <v>1426257.2614107884</v>
      </c>
      <c r="K15" s="153">
        <v>23000</v>
      </c>
      <c r="L15" s="154">
        <f t="shared" si="4"/>
        <v>2760000</v>
      </c>
      <c r="M15" s="153">
        <f t="shared" si="1"/>
        <v>1333742.7385892116</v>
      </c>
    </row>
    <row r="16" spans="1:13" x14ac:dyDescent="0.2">
      <c r="B16" s="78" t="s">
        <v>1894</v>
      </c>
      <c r="C16" s="150" t="s">
        <v>1550</v>
      </c>
      <c r="D16" s="1">
        <v>7.23</v>
      </c>
      <c r="E16" s="151">
        <v>60</v>
      </c>
      <c r="F16" s="189">
        <v>15</v>
      </c>
      <c r="G16" s="151">
        <f t="shared" si="2"/>
        <v>900</v>
      </c>
      <c r="H16" s="150">
        <f t="shared" si="0"/>
        <v>124.48132780082987</v>
      </c>
      <c r="I16" s="3">
        <v>3906</v>
      </c>
      <c r="J16" s="152">
        <f t="shared" si="3"/>
        <v>486224.06639004144</v>
      </c>
      <c r="K16" s="153">
        <v>30000</v>
      </c>
      <c r="L16" s="154">
        <f t="shared" si="4"/>
        <v>1800000</v>
      </c>
      <c r="M16" s="153">
        <f t="shared" si="1"/>
        <v>1313775.9336099585</v>
      </c>
    </row>
    <row r="17" spans="2:13" x14ac:dyDescent="0.2">
      <c r="B17" s="150" t="s">
        <v>1865</v>
      </c>
      <c r="C17" s="150" t="s">
        <v>1895</v>
      </c>
      <c r="D17" s="1">
        <v>7.23</v>
      </c>
      <c r="E17" s="151">
        <v>100</v>
      </c>
      <c r="F17" s="189">
        <v>12</v>
      </c>
      <c r="G17" s="151">
        <f t="shared" si="2"/>
        <v>1200</v>
      </c>
      <c r="H17" s="150">
        <f t="shared" si="0"/>
        <v>165.97510373443981</v>
      </c>
      <c r="I17" s="3">
        <v>3906</v>
      </c>
      <c r="J17" s="152">
        <f t="shared" si="3"/>
        <v>648298.75518672192</v>
      </c>
      <c r="K17" s="153">
        <v>15000</v>
      </c>
      <c r="L17" s="154">
        <f t="shared" si="4"/>
        <v>1500000</v>
      </c>
      <c r="M17" s="153">
        <f t="shared" si="1"/>
        <v>851701.24481327808</v>
      </c>
    </row>
    <row r="18" spans="2:13" x14ac:dyDescent="0.2">
      <c r="B18" s="78" t="s">
        <v>1902</v>
      </c>
      <c r="C18" t="s">
        <v>1903</v>
      </c>
      <c r="D18" s="1">
        <v>7.23</v>
      </c>
      <c r="E18" s="151">
        <v>100</v>
      </c>
      <c r="F18" s="189">
        <v>45</v>
      </c>
      <c r="G18" s="151">
        <f t="shared" si="2"/>
        <v>4500</v>
      </c>
      <c r="H18" s="150">
        <f t="shared" si="0"/>
        <v>622.40663900414938</v>
      </c>
      <c r="I18" s="3">
        <v>3906</v>
      </c>
      <c r="J18" s="152">
        <f t="shared" si="3"/>
        <v>2431120.3319502072</v>
      </c>
      <c r="K18" s="153">
        <v>35000</v>
      </c>
      <c r="L18" s="154">
        <f t="shared" si="4"/>
        <v>3500000</v>
      </c>
      <c r="M18" s="153">
        <f t="shared" si="1"/>
        <v>1068879.6680497928</v>
      </c>
    </row>
    <row r="19" spans="2:13" x14ac:dyDescent="0.2">
      <c r="C19">
        <v>7741</v>
      </c>
      <c r="D19" s="1">
        <v>7.23</v>
      </c>
      <c r="E19" s="151">
        <v>100</v>
      </c>
      <c r="F19" s="189">
        <v>44</v>
      </c>
      <c r="G19" s="151">
        <f t="shared" si="2"/>
        <v>4400</v>
      </c>
      <c r="H19" s="150">
        <f t="shared" si="0"/>
        <v>608.57538035961272</v>
      </c>
      <c r="I19" s="3">
        <v>3906</v>
      </c>
      <c r="J19" s="152">
        <f t="shared" si="3"/>
        <v>2377095.4356846474</v>
      </c>
      <c r="K19" s="153">
        <v>35000</v>
      </c>
      <c r="L19" s="154">
        <f t="shared" si="4"/>
        <v>3500000</v>
      </c>
      <c r="M19" s="153">
        <f t="shared" si="1"/>
        <v>1122904.5643153526</v>
      </c>
    </row>
    <row r="20" spans="2:13" x14ac:dyDescent="0.2">
      <c r="C20" s="162" t="s">
        <v>1901</v>
      </c>
      <c r="D20" s="1">
        <v>7.23</v>
      </c>
      <c r="E20" s="151">
        <v>100</v>
      </c>
      <c r="F20" s="189">
        <v>45</v>
      </c>
      <c r="G20" s="151">
        <f t="shared" si="2"/>
        <v>4500</v>
      </c>
      <c r="H20" s="150">
        <f t="shared" si="0"/>
        <v>622.40663900414938</v>
      </c>
      <c r="I20" s="3">
        <v>3906</v>
      </c>
      <c r="J20" s="152">
        <f t="shared" si="3"/>
        <v>2431120.3319502072</v>
      </c>
      <c r="K20" s="153">
        <v>35000</v>
      </c>
      <c r="L20" s="154">
        <f t="shared" si="4"/>
        <v>3500000</v>
      </c>
      <c r="M20" s="153">
        <f t="shared" si="1"/>
        <v>1068879.6680497928</v>
      </c>
    </row>
    <row r="21" spans="2:13" x14ac:dyDescent="0.2">
      <c r="C21">
        <v>8006</v>
      </c>
      <c r="D21" s="1">
        <v>7.23</v>
      </c>
      <c r="E21" s="151">
        <v>78</v>
      </c>
      <c r="F21" s="189">
        <v>45</v>
      </c>
      <c r="G21" s="151">
        <f t="shared" si="2"/>
        <v>3510</v>
      </c>
      <c r="H21" s="150">
        <f t="shared" si="0"/>
        <v>485.47717842323647</v>
      </c>
      <c r="I21" s="3">
        <v>3906</v>
      </c>
      <c r="J21" s="152">
        <f t="shared" si="3"/>
        <v>1896273.8589211614</v>
      </c>
      <c r="K21" s="153">
        <v>35000</v>
      </c>
      <c r="L21" s="154">
        <f t="shared" si="4"/>
        <v>2730000</v>
      </c>
      <c r="M21" s="153">
        <f t="shared" si="1"/>
        <v>833726.14107883861</v>
      </c>
    </row>
    <row r="22" spans="2:13" x14ac:dyDescent="0.2">
      <c r="B22" t="s">
        <v>1904</v>
      </c>
      <c r="C22" t="s">
        <v>1550</v>
      </c>
      <c r="D22" s="1">
        <v>7.23</v>
      </c>
      <c r="E22" s="151">
        <v>500</v>
      </c>
      <c r="F22" s="189">
        <v>28</v>
      </c>
      <c r="G22" s="151">
        <f t="shared" si="2"/>
        <v>14000</v>
      </c>
      <c r="H22" s="150">
        <f t="shared" si="0"/>
        <v>1936.3762102351313</v>
      </c>
      <c r="I22" s="3">
        <v>3906</v>
      </c>
      <c r="J22" s="152">
        <f t="shared" si="3"/>
        <v>7563485.4771784218</v>
      </c>
      <c r="K22" s="153">
        <v>25000</v>
      </c>
      <c r="L22" s="154">
        <f t="shared" si="4"/>
        <v>12500000</v>
      </c>
      <c r="M22" s="153">
        <f t="shared" si="1"/>
        <v>4936514.5228215782</v>
      </c>
    </row>
    <row r="23" spans="2:13" x14ac:dyDescent="0.2">
      <c r="B23" t="s">
        <v>253</v>
      </c>
      <c r="C23" t="s">
        <v>253</v>
      </c>
      <c r="D23" s="1">
        <v>7.23</v>
      </c>
      <c r="E23" s="151">
        <v>590</v>
      </c>
      <c r="F23" s="189">
        <v>24</v>
      </c>
      <c r="G23" s="151">
        <f t="shared" si="2"/>
        <v>14160</v>
      </c>
      <c r="H23" s="150">
        <f t="shared" si="0"/>
        <v>1958.5062240663899</v>
      </c>
      <c r="I23" s="3">
        <v>3906</v>
      </c>
      <c r="J23" s="152">
        <f t="shared" si="3"/>
        <v>7649925.3112033196</v>
      </c>
      <c r="K23" s="153">
        <v>25000</v>
      </c>
      <c r="L23" s="154">
        <f t="shared" si="4"/>
        <v>14750000</v>
      </c>
      <c r="M23" s="153">
        <f t="shared" si="1"/>
        <v>7100074.6887966804</v>
      </c>
    </row>
    <row r="24" spans="2:13" x14ac:dyDescent="0.2">
      <c r="B24" t="s">
        <v>1906</v>
      </c>
      <c r="C24" t="s">
        <v>1907</v>
      </c>
      <c r="D24" s="1">
        <v>7.23</v>
      </c>
      <c r="E24" s="151">
        <v>200</v>
      </c>
      <c r="F24" s="189">
        <v>36.5</v>
      </c>
      <c r="G24" s="151">
        <f t="shared" si="2"/>
        <v>7300</v>
      </c>
      <c r="H24" s="150">
        <f t="shared" si="0"/>
        <v>1009.6818810511757</v>
      </c>
      <c r="I24" s="3">
        <v>3906</v>
      </c>
      <c r="J24" s="152">
        <f t="shared" si="3"/>
        <v>3943817.4273858918</v>
      </c>
      <c r="K24" s="153">
        <v>35000</v>
      </c>
      <c r="L24" s="154">
        <f t="shared" si="4"/>
        <v>7000000</v>
      </c>
      <c r="M24" s="153">
        <f t="shared" si="1"/>
        <v>3056182.5726141082</v>
      </c>
    </row>
    <row r="25" spans="2:13" x14ac:dyDescent="0.2">
      <c r="B25" t="s">
        <v>1908</v>
      </c>
      <c r="C25" t="s">
        <v>1872</v>
      </c>
      <c r="D25" s="1">
        <v>7.23</v>
      </c>
      <c r="E25" s="151">
        <v>250</v>
      </c>
      <c r="F25" s="189">
        <v>22</v>
      </c>
      <c r="G25" s="151">
        <f t="shared" si="2"/>
        <v>5500</v>
      </c>
      <c r="H25" s="150">
        <f t="shared" si="0"/>
        <v>760.71922544951587</v>
      </c>
      <c r="I25" s="3">
        <v>3906</v>
      </c>
      <c r="J25" s="152">
        <f t="shared" si="3"/>
        <v>2971369.2946058093</v>
      </c>
      <c r="K25" s="153">
        <v>23000</v>
      </c>
      <c r="L25" s="154">
        <f t="shared" si="4"/>
        <v>5750000</v>
      </c>
      <c r="M25" s="153">
        <f t="shared" si="1"/>
        <v>2778630.7053941907</v>
      </c>
    </row>
    <row r="26" spans="2:13" x14ac:dyDescent="0.2">
      <c r="B26" t="s">
        <v>253</v>
      </c>
      <c r="C26" t="s">
        <v>253</v>
      </c>
      <c r="D26" s="1">
        <v>7.23</v>
      </c>
      <c r="E26" s="151">
        <v>200</v>
      </c>
      <c r="F26" s="189">
        <v>20</v>
      </c>
      <c r="G26" s="151">
        <f t="shared" si="2"/>
        <v>4000</v>
      </c>
      <c r="H26" s="150">
        <f t="shared" si="0"/>
        <v>553.25034578146608</v>
      </c>
      <c r="I26" s="3">
        <v>3906</v>
      </c>
      <c r="J26" s="152">
        <f t="shared" si="3"/>
        <v>2160995.8506224067</v>
      </c>
      <c r="K26" s="153">
        <v>23000</v>
      </c>
      <c r="L26" s="154">
        <f t="shared" si="4"/>
        <v>4600000</v>
      </c>
      <c r="M26" s="153">
        <f t="shared" si="1"/>
        <v>2439004.1493775933</v>
      </c>
    </row>
    <row r="27" spans="2:13" x14ac:dyDescent="0.2">
      <c r="B27" t="s">
        <v>1909</v>
      </c>
      <c r="C27" t="s">
        <v>1864</v>
      </c>
      <c r="D27" s="1">
        <v>7.23</v>
      </c>
      <c r="E27" s="151">
        <v>300</v>
      </c>
      <c r="F27" s="189">
        <v>20</v>
      </c>
      <c r="G27" s="151">
        <f t="shared" si="2"/>
        <v>6000</v>
      </c>
      <c r="H27" s="150">
        <f t="shared" si="0"/>
        <v>829.87551867219918</v>
      </c>
      <c r="I27" s="3">
        <v>3906</v>
      </c>
      <c r="J27" s="152">
        <f t="shared" si="3"/>
        <v>3241493.7759336098</v>
      </c>
      <c r="K27" s="153">
        <v>20000</v>
      </c>
      <c r="L27" s="154">
        <f t="shared" si="4"/>
        <v>6000000</v>
      </c>
      <c r="M27" s="153">
        <f t="shared" si="1"/>
        <v>2758506.2240663902</v>
      </c>
    </row>
    <row r="28" spans="2:13" x14ac:dyDescent="0.2">
      <c r="B28" t="s">
        <v>1904</v>
      </c>
      <c r="D28" s="1">
        <v>7.23</v>
      </c>
      <c r="E28" s="151">
        <v>60</v>
      </c>
      <c r="F28" s="189">
        <v>30</v>
      </c>
      <c r="G28" s="151">
        <f t="shared" si="2"/>
        <v>1800</v>
      </c>
      <c r="H28" s="150">
        <f t="shared" si="0"/>
        <v>248.96265560165975</v>
      </c>
      <c r="I28" s="3">
        <v>3906</v>
      </c>
      <c r="J28" s="152">
        <f t="shared" si="3"/>
        <v>972448.13278008287</v>
      </c>
      <c r="K28" s="153">
        <v>25000</v>
      </c>
      <c r="L28" s="154">
        <f t="shared" si="4"/>
        <v>1500000</v>
      </c>
      <c r="M28" s="153">
        <f t="shared" si="1"/>
        <v>527551.86721991713</v>
      </c>
    </row>
    <row r="29" spans="2:13" x14ac:dyDescent="0.2">
      <c r="B29" t="s">
        <v>1890</v>
      </c>
      <c r="C29" t="s">
        <v>1910</v>
      </c>
      <c r="D29" s="1">
        <v>7.23</v>
      </c>
      <c r="E29" s="151">
        <v>540</v>
      </c>
      <c r="F29" s="189">
        <v>30</v>
      </c>
      <c r="G29" s="151">
        <f t="shared" si="2"/>
        <v>16200</v>
      </c>
      <c r="H29" s="150">
        <f t="shared" si="0"/>
        <v>2240.6639004149374</v>
      </c>
      <c r="I29" s="3">
        <v>3906</v>
      </c>
      <c r="J29" s="152">
        <f t="shared" si="3"/>
        <v>8752033.1950207464</v>
      </c>
      <c r="K29" s="153">
        <v>27000</v>
      </c>
      <c r="L29" s="154">
        <f t="shared" si="4"/>
        <v>14580000</v>
      </c>
      <c r="M29" s="153">
        <f t="shared" si="1"/>
        <v>5827966.8049792536</v>
      </c>
    </row>
    <row r="30" spans="2:13" x14ac:dyDescent="0.2">
      <c r="B30" t="s">
        <v>1565</v>
      </c>
      <c r="C30" t="s">
        <v>253</v>
      </c>
      <c r="D30" s="1">
        <v>7.23</v>
      </c>
      <c r="E30" s="151">
        <v>162</v>
      </c>
      <c r="F30" s="189">
        <v>31</v>
      </c>
      <c r="G30" s="151">
        <f t="shared" si="2"/>
        <v>5022</v>
      </c>
      <c r="H30" s="150">
        <f t="shared" si="0"/>
        <v>694.60580912863065</v>
      </c>
      <c r="I30" s="3">
        <v>3906</v>
      </c>
      <c r="J30" s="152">
        <f t="shared" si="3"/>
        <v>2713130.2904564315</v>
      </c>
      <c r="K30" s="153">
        <v>30000</v>
      </c>
      <c r="L30" s="154">
        <f t="shared" si="4"/>
        <v>4860000</v>
      </c>
      <c r="M30" s="153">
        <f t="shared" si="1"/>
        <v>2146869.7095435685</v>
      </c>
    </row>
    <row r="31" spans="2:13" x14ac:dyDescent="0.2">
      <c r="B31" t="s">
        <v>1890</v>
      </c>
      <c r="C31" t="s">
        <v>1911</v>
      </c>
      <c r="D31" s="1">
        <v>7.23</v>
      </c>
      <c r="E31" s="151">
        <v>754</v>
      </c>
      <c r="F31" s="189">
        <v>27</v>
      </c>
      <c r="G31" s="151">
        <f t="shared" si="2"/>
        <v>20358</v>
      </c>
      <c r="H31" s="150">
        <f t="shared" si="0"/>
        <v>2815.7676348547716</v>
      </c>
      <c r="I31" s="3">
        <v>3906</v>
      </c>
      <c r="J31" s="152">
        <f t="shared" si="3"/>
        <v>10998388.381742736</v>
      </c>
      <c r="K31" s="153">
        <v>23000</v>
      </c>
      <c r="L31" s="154">
        <f t="shared" si="4"/>
        <v>17342000</v>
      </c>
      <c r="M31" s="153">
        <f t="shared" si="1"/>
        <v>6343611.6182572637</v>
      </c>
    </row>
    <row r="32" spans="2:13" x14ac:dyDescent="0.2">
      <c r="B32" t="s">
        <v>1912</v>
      </c>
      <c r="C32" t="s">
        <v>1913</v>
      </c>
      <c r="D32" s="1">
        <v>7.23</v>
      </c>
      <c r="E32" s="151">
        <v>304</v>
      </c>
      <c r="F32" s="189">
        <v>26</v>
      </c>
      <c r="G32" s="151">
        <f t="shared" si="2"/>
        <v>7904</v>
      </c>
      <c r="H32" s="150">
        <f t="shared" si="0"/>
        <v>1093.222683264177</v>
      </c>
      <c r="I32" s="3">
        <v>3906</v>
      </c>
      <c r="J32" s="152">
        <f t="shared" si="3"/>
        <v>4270127.8008298753</v>
      </c>
      <c r="K32" s="153">
        <v>25000</v>
      </c>
      <c r="L32" s="154">
        <f t="shared" si="4"/>
        <v>7600000</v>
      </c>
      <c r="M32" s="153">
        <f t="shared" si="1"/>
        <v>3329872.1991701247</v>
      </c>
    </row>
    <row r="33" spans="2:13" x14ac:dyDescent="0.2">
      <c r="B33" t="s">
        <v>1884</v>
      </c>
      <c r="C33" t="s">
        <v>1914</v>
      </c>
      <c r="D33" s="1">
        <v>7.23</v>
      </c>
      <c r="E33" s="151">
        <v>125</v>
      </c>
      <c r="F33" s="189">
        <v>45</v>
      </c>
      <c r="G33" s="151">
        <f t="shared" si="2"/>
        <v>5625</v>
      </c>
      <c r="H33" s="150">
        <f t="shared" si="0"/>
        <v>778.00829875518673</v>
      </c>
      <c r="I33" s="3">
        <v>3906</v>
      </c>
      <c r="J33" s="152">
        <f t="shared" si="3"/>
        <v>3038900.4149377588</v>
      </c>
      <c r="K33" s="153">
        <v>40000</v>
      </c>
      <c r="L33" s="154">
        <f t="shared" si="4"/>
        <v>5000000</v>
      </c>
      <c r="M33" s="153">
        <f t="shared" si="1"/>
        <v>1961099.5850622412</v>
      </c>
    </row>
    <row r="34" spans="2:13" x14ac:dyDescent="0.2">
      <c r="B34" t="s">
        <v>253</v>
      </c>
      <c r="C34" t="s">
        <v>1915</v>
      </c>
      <c r="D34" s="1">
        <v>7.23</v>
      </c>
      <c r="E34" s="151">
        <v>130</v>
      </c>
      <c r="F34" s="189">
        <v>45</v>
      </c>
      <c r="G34" s="151">
        <f t="shared" si="2"/>
        <v>5850</v>
      </c>
      <c r="H34" s="150">
        <f t="shared" si="0"/>
        <v>809.12863070539413</v>
      </c>
      <c r="I34" s="3">
        <v>3906</v>
      </c>
      <c r="J34" s="152">
        <f t="shared" si="3"/>
        <v>3160456.4315352691</v>
      </c>
      <c r="K34" s="153">
        <v>40000</v>
      </c>
      <c r="L34" s="154">
        <f t="shared" si="4"/>
        <v>5200000</v>
      </c>
      <c r="M34" s="153">
        <f t="shared" si="1"/>
        <v>2039543.5684647309</v>
      </c>
    </row>
    <row r="35" spans="2:13" x14ac:dyDescent="0.2">
      <c r="C35" t="s">
        <v>1916</v>
      </c>
      <c r="D35" s="1">
        <v>7.23</v>
      </c>
      <c r="E35" s="151">
        <v>50</v>
      </c>
      <c r="F35" s="189">
        <v>45</v>
      </c>
      <c r="G35" s="151">
        <f t="shared" si="2"/>
        <v>2250</v>
      </c>
      <c r="H35" s="150">
        <f t="shared" si="0"/>
        <v>311.20331950207469</v>
      </c>
      <c r="I35" s="3">
        <v>3906</v>
      </c>
      <c r="J35" s="152">
        <f t="shared" si="3"/>
        <v>1215560.1659751036</v>
      </c>
      <c r="K35" s="153">
        <v>40000</v>
      </c>
      <c r="L35" s="154">
        <f t="shared" si="4"/>
        <v>2000000</v>
      </c>
      <c r="M35" s="153">
        <f t="shared" si="1"/>
        <v>784439.83402489638</v>
      </c>
    </row>
    <row r="36" spans="2:13" x14ac:dyDescent="0.2">
      <c r="C36" t="s">
        <v>1917</v>
      </c>
      <c r="D36" s="1">
        <v>7.23</v>
      </c>
      <c r="E36" s="151">
        <v>150</v>
      </c>
      <c r="F36" s="189">
        <v>45</v>
      </c>
      <c r="G36" s="151">
        <f t="shared" si="2"/>
        <v>6750</v>
      </c>
      <c r="H36" s="150">
        <f t="shared" si="0"/>
        <v>933.60995850622396</v>
      </c>
      <c r="I36" s="3">
        <v>3906</v>
      </c>
      <c r="J36" s="152">
        <f t="shared" si="3"/>
        <v>3646680.4979253104</v>
      </c>
      <c r="K36" s="153">
        <v>40000</v>
      </c>
      <c r="L36" s="154">
        <f t="shared" si="4"/>
        <v>6000000</v>
      </c>
      <c r="M36" s="153">
        <f t="shared" si="1"/>
        <v>2353319.5020746896</v>
      </c>
    </row>
    <row r="37" spans="2:13" x14ac:dyDescent="0.2">
      <c r="C37" t="s">
        <v>253</v>
      </c>
      <c r="D37" s="1">
        <v>7.23</v>
      </c>
      <c r="E37" s="151">
        <v>150</v>
      </c>
      <c r="F37" s="189">
        <v>45</v>
      </c>
      <c r="G37" s="151">
        <f t="shared" si="2"/>
        <v>6750</v>
      </c>
      <c r="H37" s="150">
        <f t="shared" si="0"/>
        <v>933.60995850622396</v>
      </c>
      <c r="I37" s="3">
        <v>3906</v>
      </c>
      <c r="J37" s="152">
        <f t="shared" si="3"/>
        <v>3646680.4979253104</v>
      </c>
      <c r="K37" s="153">
        <v>40000</v>
      </c>
      <c r="L37" s="154">
        <f t="shared" si="4"/>
        <v>6000000</v>
      </c>
      <c r="M37" s="153">
        <f t="shared" si="1"/>
        <v>2353319.5020746896</v>
      </c>
    </row>
    <row r="38" spans="2:13" x14ac:dyDescent="0.2">
      <c r="D38" s="1"/>
      <c r="E38" s="7">
        <f>SUM(E3:E37)</f>
        <v>7023</v>
      </c>
      <c r="H38" s="191">
        <f>SUM(H3:H37)</f>
        <v>32083.540802213</v>
      </c>
      <c r="I38" s="3"/>
      <c r="J38" s="190">
        <f>SUM(J3:J37)</f>
        <v>125318310.37344399</v>
      </c>
      <c r="L38" s="48">
        <f>SUM(L3:L37)</f>
        <v>209922000</v>
      </c>
      <c r="M38" s="48">
        <f>SUM(M3:M37)</f>
        <v>84603689.626556039</v>
      </c>
    </row>
    <row r="39" spans="2:13" x14ac:dyDescent="0.2">
      <c r="D39" s="1"/>
      <c r="I39" s="3"/>
    </row>
    <row r="40" spans="2:13" x14ac:dyDescent="0.2">
      <c r="D40" s="1"/>
      <c r="I40" s="3"/>
    </row>
    <row r="41" spans="2:13" x14ac:dyDescent="0.2">
      <c r="D41" s="1"/>
      <c r="I41" s="3"/>
    </row>
    <row r="42" spans="2:13" x14ac:dyDescent="0.2">
      <c r="D42" s="1"/>
    </row>
    <row r="43" spans="2:13" x14ac:dyDescent="0.2">
      <c r="D43" s="1"/>
      <c r="I43" s="3" t="s">
        <v>25</v>
      </c>
      <c r="J43" s="169">
        <v>125318310</v>
      </c>
    </row>
    <row r="44" spans="2:13" x14ac:dyDescent="0.2">
      <c r="D44" s="1"/>
      <c r="I44" s="3" t="s">
        <v>27</v>
      </c>
      <c r="J44" s="9"/>
    </row>
    <row r="45" spans="2:13" x14ac:dyDescent="0.2">
      <c r="D45" s="1"/>
      <c r="I45" s="3" t="s">
        <v>26</v>
      </c>
      <c r="J45" s="3">
        <v>4336000</v>
      </c>
    </row>
    <row r="46" spans="2:13" x14ac:dyDescent="0.2">
      <c r="D46" s="1"/>
      <c r="I46" s="3" t="s">
        <v>33</v>
      </c>
      <c r="J46" s="3">
        <v>4000000</v>
      </c>
    </row>
    <row r="47" spans="2:13" x14ac:dyDescent="0.2">
      <c r="D47" s="1"/>
      <c r="I47" s="3" t="s">
        <v>31</v>
      </c>
      <c r="J47" s="3">
        <v>3000000</v>
      </c>
    </row>
    <row r="48" spans="2:13" x14ac:dyDescent="0.2">
      <c r="I48" s="3" t="s">
        <v>36</v>
      </c>
      <c r="J48" s="3">
        <v>2500000</v>
      </c>
    </row>
    <row r="49" spans="9:10" x14ac:dyDescent="0.2">
      <c r="I49" s="3" t="s">
        <v>29</v>
      </c>
      <c r="J49" s="23">
        <v>25000000</v>
      </c>
    </row>
    <row r="50" spans="9:10" x14ac:dyDescent="0.2">
      <c r="I50" s="3" t="s">
        <v>34</v>
      </c>
      <c r="J50" s="127">
        <f>SUM(J43:J49)</f>
        <v>164154310</v>
      </c>
    </row>
    <row r="51" spans="9:10" x14ac:dyDescent="0.2">
      <c r="I51" s="3" t="s">
        <v>6</v>
      </c>
      <c r="J51" s="116">
        <v>209922000</v>
      </c>
    </row>
    <row r="52" spans="9:10" ht="18" x14ac:dyDescent="0.35">
      <c r="I52" s="3" t="s">
        <v>35</v>
      </c>
      <c r="J52" s="21">
        <f>J51-J50</f>
        <v>45767690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A24B-8D27-2447-942C-73A1A326E2E1}">
  <dimension ref="A1:M56"/>
  <sheetViews>
    <sheetView tabSelected="1" topLeftCell="A22" workbookViewId="0">
      <selection activeCell="E40" sqref="E40"/>
    </sheetView>
  </sheetViews>
  <sheetFormatPr baseColWidth="10" defaultRowHeight="15" x14ac:dyDescent="0.2"/>
  <cols>
    <col min="2" max="2" width="25.83203125" customWidth="1"/>
    <col min="3" max="3" width="21.5" customWidth="1"/>
    <col min="7" max="7" width="13.83203125" customWidth="1"/>
    <col min="8" max="8" width="15.33203125" customWidth="1"/>
    <col min="10" max="10" width="17.1640625" customWidth="1"/>
    <col min="11" max="11" width="13.1640625" customWidth="1"/>
    <col min="12" max="12" width="15.33203125" customWidth="1"/>
    <col min="13" max="13" width="14.5" customWidth="1"/>
  </cols>
  <sheetData>
    <row r="1" spans="1:13" ht="31" x14ac:dyDescent="0.35">
      <c r="A1" s="56" t="s">
        <v>1955</v>
      </c>
      <c r="B1" s="56"/>
      <c r="C1" s="56"/>
      <c r="D1" s="56"/>
      <c r="E1" s="56"/>
      <c r="F1" s="57" t="s">
        <v>1795</v>
      </c>
      <c r="G1" s="57"/>
      <c r="H1" s="57"/>
      <c r="I1" s="57"/>
      <c r="J1" s="57"/>
      <c r="K1" s="57"/>
      <c r="L1" s="57"/>
      <c r="M1" s="57"/>
    </row>
    <row r="2" spans="1:13" x14ac:dyDescent="0.2">
      <c r="A2" s="58" t="s">
        <v>0</v>
      </c>
      <c r="B2" s="58" t="s">
        <v>1</v>
      </c>
      <c r="C2" s="58" t="s">
        <v>263</v>
      </c>
      <c r="D2" s="58" t="s">
        <v>2</v>
      </c>
      <c r="E2" s="58" t="s">
        <v>3</v>
      </c>
      <c r="F2" s="58" t="s">
        <v>11</v>
      </c>
      <c r="G2" s="59" t="s">
        <v>8</v>
      </c>
      <c r="H2" s="58" t="s">
        <v>77</v>
      </c>
      <c r="I2" s="59" t="s">
        <v>41</v>
      </c>
      <c r="J2" s="59" t="s">
        <v>9</v>
      </c>
      <c r="K2" s="59" t="s">
        <v>10</v>
      </c>
      <c r="L2" s="59" t="s">
        <v>6</v>
      </c>
      <c r="M2" s="59" t="s">
        <v>12</v>
      </c>
    </row>
    <row r="3" spans="1:13" x14ac:dyDescent="0.2">
      <c r="A3" s="145" t="s">
        <v>1853</v>
      </c>
      <c r="B3" s="145" t="s">
        <v>1919</v>
      </c>
      <c r="C3" s="145" t="s">
        <v>1920</v>
      </c>
      <c r="D3" s="1">
        <v>6.92</v>
      </c>
      <c r="E3" s="149">
        <v>1200</v>
      </c>
      <c r="F3" s="149">
        <v>26</v>
      </c>
      <c r="G3" s="149">
        <f>E3*F3</f>
        <v>31200</v>
      </c>
      <c r="H3" s="145">
        <f t="shared" ref="H3:H39" si="0">G3/D3</f>
        <v>4508.6705202312141</v>
      </c>
      <c r="I3" s="3">
        <v>3496</v>
      </c>
      <c r="J3" s="146">
        <f>F3/D3*I3*E3</f>
        <v>15762312.138728322</v>
      </c>
      <c r="K3" s="147">
        <v>28000</v>
      </c>
      <c r="L3" s="148">
        <f>K3*E3</f>
        <v>33600000</v>
      </c>
      <c r="M3" s="147">
        <f t="shared" ref="M3:M39" si="1">L3-J3</f>
        <v>17837687.861271679</v>
      </c>
    </row>
    <row r="4" spans="1:13" x14ac:dyDescent="0.2">
      <c r="A4" s="145"/>
      <c r="B4" s="145" t="s">
        <v>1918</v>
      </c>
      <c r="C4" s="145" t="s">
        <v>1921</v>
      </c>
      <c r="D4" s="1">
        <v>6.92</v>
      </c>
      <c r="E4" s="149">
        <v>2200</v>
      </c>
      <c r="F4" s="149">
        <v>14</v>
      </c>
      <c r="G4" s="149">
        <f t="shared" ref="G4:G39" si="2">E4*F4</f>
        <v>30800</v>
      </c>
      <c r="H4" s="145">
        <f t="shared" si="0"/>
        <v>4450.8670520231217</v>
      </c>
      <c r="I4" s="3">
        <v>3496</v>
      </c>
      <c r="J4" s="146">
        <f t="shared" ref="J4:J39" si="3">F4/D4*I4*E4</f>
        <v>15560231.213872833</v>
      </c>
      <c r="K4" s="147">
        <v>16000</v>
      </c>
      <c r="L4" s="148">
        <f t="shared" ref="L4:L39" si="4">K4*E4</f>
        <v>35200000</v>
      </c>
      <c r="M4" s="147">
        <f t="shared" si="1"/>
        <v>19639768.786127165</v>
      </c>
    </row>
    <row r="5" spans="1:13" x14ac:dyDescent="0.2">
      <c r="A5" s="1"/>
      <c r="B5" s="145" t="s">
        <v>1922</v>
      </c>
      <c r="C5" s="145" t="s">
        <v>1923</v>
      </c>
      <c r="D5" s="1">
        <v>6.92</v>
      </c>
      <c r="E5" s="149">
        <v>100</v>
      </c>
      <c r="F5" s="149">
        <v>28</v>
      </c>
      <c r="G5" s="149">
        <f t="shared" si="2"/>
        <v>2800</v>
      </c>
      <c r="H5" s="145">
        <f t="shared" si="0"/>
        <v>404.62427745664741</v>
      </c>
      <c r="I5" s="3">
        <v>3496</v>
      </c>
      <c r="J5" s="146">
        <f t="shared" si="3"/>
        <v>1414566.4739884394</v>
      </c>
      <c r="K5" s="147">
        <v>25000</v>
      </c>
      <c r="L5" s="148">
        <f t="shared" si="4"/>
        <v>2500000</v>
      </c>
      <c r="M5" s="147">
        <f t="shared" si="1"/>
        <v>1085433.5260115606</v>
      </c>
    </row>
    <row r="6" spans="1:13" x14ac:dyDescent="0.2">
      <c r="A6" s="1"/>
      <c r="B6" s="145" t="s">
        <v>1857</v>
      </c>
      <c r="C6" s="145" t="s">
        <v>1924</v>
      </c>
      <c r="D6" s="1">
        <v>6.92</v>
      </c>
      <c r="E6" s="149">
        <v>100</v>
      </c>
      <c r="F6" s="149">
        <v>28</v>
      </c>
      <c r="G6" s="149">
        <f t="shared" si="2"/>
        <v>2800</v>
      </c>
      <c r="H6" s="145">
        <f t="shared" si="0"/>
        <v>404.62427745664741</v>
      </c>
      <c r="I6" s="3">
        <v>3496</v>
      </c>
      <c r="J6" s="146">
        <f t="shared" si="3"/>
        <v>1414566.4739884394</v>
      </c>
      <c r="K6" s="147">
        <v>25000</v>
      </c>
      <c r="L6" s="148">
        <f t="shared" si="4"/>
        <v>2500000</v>
      </c>
      <c r="M6" s="147">
        <f t="shared" si="1"/>
        <v>1085433.5260115606</v>
      </c>
    </row>
    <row r="7" spans="1:13" x14ac:dyDescent="0.2">
      <c r="A7" s="1"/>
      <c r="B7" s="145" t="s">
        <v>253</v>
      </c>
      <c r="C7" s="145" t="s">
        <v>1925</v>
      </c>
      <c r="D7" s="1">
        <v>6.92</v>
      </c>
      <c r="E7" s="149">
        <v>100</v>
      </c>
      <c r="F7" s="149">
        <v>28</v>
      </c>
      <c r="G7" s="149">
        <f t="shared" si="2"/>
        <v>2800</v>
      </c>
      <c r="H7" s="145">
        <f t="shared" si="0"/>
        <v>404.62427745664741</v>
      </c>
      <c r="I7" s="3">
        <v>3496</v>
      </c>
      <c r="J7" s="146">
        <f t="shared" si="3"/>
        <v>1414566.4739884394</v>
      </c>
      <c r="K7" s="147">
        <v>25000</v>
      </c>
      <c r="L7" s="148">
        <f t="shared" si="4"/>
        <v>2500000</v>
      </c>
      <c r="M7" s="147">
        <f t="shared" si="1"/>
        <v>1085433.5260115606</v>
      </c>
    </row>
    <row r="8" spans="1:13" x14ac:dyDescent="0.2">
      <c r="A8" s="1"/>
      <c r="B8" s="145" t="s">
        <v>253</v>
      </c>
      <c r="C8" s="1" t="s">
        <v>1926</v>
      </c>
      <c r="D8" s="1">
        <v>6.92</v>
      </c>
      <c r="E8" s="149">
        <v>100</v>
      </c>
      <c r="F8" s="149">
        <v>28</v>
      </c>
      <c r="G8" s="149">
        <f t="shared" si="2"/>
        <v>2800</v>
      </c>
      <c r="H8" s="145">
        <f t="shared" si="0"/>
        <v>404.62427745664741</v>
      </c>
      <c r="I8" s="3">
        <v>3496</v>
      </c>
      <c r="J8" s="146">
        <f t="shared" si="3"/>
        <v>1414566.4739884394</v>
      </c>
      <c r="K8" s="147">
        <v>25000</v>
      </c>
      <c r="L8" s="148">
        <f t="shared" si="4"/>
        <v>2500000</v>
      </c>
      <c r="M8" s="147">
        <f t="shared" si="1"/>
        <v>1085433.5260115606</v>
      </c>
    </row>
    <row r="9" spans="1:13" x14ac:dyDescent="0.2">
      <c r="A9" s="1"/>
      <c r="B9" s="1" t="s">
        <v>253</v>
      </c>
      <c r="C9" s="145" t="s">
        <v>1927</v>
      </c>
      <c r="D9" s="1">
        <v>6.92</v>
      </c>
      <c r="E9" s="149">
        <v>100</v>
      </c>
      <c r="F9" s="149">
        <v>28</v>
      </c>
      <c r="G9" s="149">
        <f t="shared" si="2"/>
        <v>2800</v>
      </c>
      <c r="H9" s="145">
        <f t="shared" si="0"/>
        <v>404.62427745664741</v>
      </c>
      <c r="I9" s="3">
        <v>3496</v>
      </c>
      <c r="J9" s="146">
        <f t="shared" si="3"/>
        <v>1414566.4739884394</v>
      </c>
      <c r="K9" s="147">
        <v>25000</v>
      </c>
      <c r="L9" s="148">
        <f t="shared" si="4"/>
        <v>2500000</v>
      </c>
      <c r="M9" s="147">
        <f t="shared" si="1"/>
        <v>1085433.5260115606</v>
      </c>
    </row>
    <row r="10" spans="1:13" x14ac:dyDescent="0.2">
      <c r="A10" s="1"/>
      <c r="B10" s="145" t="s">
        <v>253</v>
      </c>
      <c r="C10" s="145" t="s">
        <v>1928</v>
      </c>
      <c r="D10" s="1">
        <v>6.92</v>
      </c>
      <c r="E10" s="149">
        <v>100</v>
      </c>
      <c r="F10" s="149">
        <v>28</v>
      </c>
      <c r="G10" s="149">
        <f t="shared" si="2"/>
        <v>2800</v>
      </c>
      <c r="H10" s="145">
        <f>G10/D10</f>
        <v>404.62427745664741</v>
      </c>
      <c r="I10" s="3">
        <v>3496</v>
      </c>
      <c r="J10" s="146">
        <f t="shared" si="3"/>
        <v>1414566.4739884394</v>
      </c>
      <c r="K10" s="147">
        <v>25000</v>
      </c>
      <c r="L10" s="148">
        <f t="shared" si="4"/>
        <v>2500000</v>
      </c>
      <c r="M10" s="147">
        <f t="shared" si="1"/>
        <v>1085433.5260115606</v>
      </c>
    </row>
    <row r="11" spans="1:13" x14ac:dyDescent="0.2">
      <c r="A11" s="1"/>
      <c r="B11" s="1" t="s">
        <v>253</v>
      </c>
      <c r="C11" s="145" t="s">
        <v>1929</v>
      </c>
      <c r="D11" s="1">
        <v>6.92</v>
      </c>
      <c r="E11" s="149">
        <v>100</v>
      </c>
      <c r="F11" s="149">
        <v>28</v>
      </c>
      <c r="G11" s="149">
        <f t="shared" si="2"/>
        <v>2800</v>
      </c>
      <c r="H11" s="145">
        <f t="shared" si="0"/>
        <v>404.62427745664741</v>
      </c>
      <c r="I11" s="3">
        <v>3496</v>
      </c>
      <c r="J11" s="146">
        <f t="shared" si="3"/>
        <v>1414566.4739884394</v>
      </c>
      <c r="K11" s="147">
        <v>25000</v>
      </c>
      <c r="L11" s="148">
        <f t="shared" si="4"/>
        <v>2500000</v>
      </c>
      <c r="M11" s="147">
        <f t="shared" si="1"/>
        <v>1085433.5260115606</v>
      </c>
    </row>
    <row r="12" spans="1:13" x14ac:dyDescent="0.2">
      <c r="B12" s="150" t="s">
        <v>253</v>
      </c>
      <c r="C12" s="150" t="s">
        <v>1930</v>
      </c>
      <c r="D12" s="1">
        <v>6.92</v>
      </c>
      <c r="E12" s="151">
        <v>100</v>
      </c>
      <c r="F12" s="151">
        <v>28</v>
      </c>
      <c r="G12" s="151">
        <f t="shared" si="2"/>
        <v>2800</v>
      </c>
      <c r="H12" s="150">
        <f t="shared" si="0"/>
        <v>404.62427745664741</v>
      </c>
      <c r="I12" s="3">
        <v>3496</v>
      </c>
      <c r="J12" s="152">
        <f t="shared" si="3"/>
        <v>1414566.4739884394</v>
      </c>
      <c r="K12" s="153">
        <v>25000</v>
      </c>
      <c r="L12" s="154">
        <f t="shared" si="4"/>
        <v>2500000</v>
      </c>
      <c r="M12" s="153">
        <f t="shared" si="1"/>
        <v>1085433.5260115606</v>
      </c>
    </row>
    <row r="13" spans="1:13" x14ac:dyDescent="0.2">
      <c r="B13" s="78" t="s">
        <v>253</v>
      </c>
      <c r="C13" s="150" t="s">
        <v>1931</v>
      </c>
      <c r="D13" s="1">
        <v>6.92</v>
      </c>
      <c r="E13" s="151">
        <v>100</v>
      </c>
      <c r="F13" s="151">
        <v>28</v>
      </c>
      <c r="G13" s="151">
        <f t="shared" si="2"/>
        <v>2800</v>
      </c>
      <c r="H13" s="150">
        <f t="shared" si="0"/>
        <v>404.62427745664741</v>
      </c>
      <c r="I13" s="3">
        <v>3496</v>
      </c>
      <c r="J13" s="152">
        <f t="shared" si="3"/>
        <v>1414566.4739884394</v>
      </c>
      <c r="K13" s="153">
        <v>25000</v>
      </c>
      <c r="L13" s="154">
        <f t="shared" si="4"/>
        <v>2500000</v>
      </c>
      <c r="M13" s="153">
        <f t="shared" si="1"/>
        <v>1085433.5260115606</v>
      </c>
    </row>
    <row r="14" spans="1:13" x14ac:dyDescent="0.2">
      <c r="B14" s="150" t="s">
        <v>253</v>
      </c>
      <c r="C14" s="150" t="s">
        <v>1932</v>
      </c>
      <c r="D14" s="1">
        <v>6.92</v>
      </c>
      <c r="E14" s="151">
        <v>100</v>
      </c>
      <c r="F14" s="151">
        <v>26</v>
      </c>
      <c r="G14" s="151">
        <f t="shared" si="2"/>
        <v>2600</v>
      </c>
      <c r="H14" s="150">
        <f t="shared" si="0"/>
        <v>375.72254335260118</v>
      </c>
      <c r="I14" s="3">
        <v>3496</v>
      </c>
      <c r="J14" s="152">
        <f t="shared" si="3"/>
        <v>1313526.0115606936</v>
      </c>
      <c r="K14" s="153">
        <v>23000</v>
      </c>
      <c r="L14" s="154">
        <f t="shared" si="4"/>
        <v>2300000</v>
      </c>
      <c r="M14" s="153">
        <f t="shared" si="1"/>
        <v>986473.98843930638</v>
      </c>
    </row>
    <row r="15" spans="1:13" x14ac:dyDescent="0.2">
      <c r="B15" s="78" t="s">
        <v>253</v>
      </c>
      <c r="C15" s="150" t="s">
        <v>1933</v>
      </c>
      <c r="D15" s="1">
        <v>6.92</v>
      </c>
      <c r="E15" s="151">
        <v>100</v>
      </c>
      <c r="F15" s="151">
        <v>26</v>
      </c>
      <c r="G15" s="151">
        <f t="shared" si="2"/>
        <v>2600</v>
      </c>
      <c r="H15" s="150">
        <f t="shared" si="0"/>
        <v>375.72254335260118</v>
      </c>
      <c r="I15" s="3">
        <v>3496</v>
      </c>
      <c r="J15" s="152">
        <f t="shared" si="3"/>
        <v>1313526.0115606936</v>
      </c>
      <c r="K15" s="153">
        <v>23000</v>
      </c>
      <c r="L15" s="154">
        <f t="shared" si="4"/>
        <v>2300000</v>
      </c>
      <c r="M15" s="153">
        <f t="shared" si="1"/>
        <v>986473.98843930638</v>
      </c>
    </row>
    <row r="16" spans="1:13" x14ac:dyDescent="0.2">
      <c r="B16" s="150" t="s">
        <v>253</v>
      </c>
      <c r="C16" s="150" t="s">
        <v>1934</v>
      </c>
      <c r="D16" s="1">
        <v>6.92</v>
      </c>
      <c r="E16" s="151">
        <v>100</v>
      </c>
      <c r="F16" s="151">
        <v>26</v>
      </c>
      <c r="G16" s="151">
        <f t="shared" si="2"/>
        <v>2600</v>
      </c>
      <c r="H16" s="150">
        <f t="shared" si="0"/>
        <v>375.72254335260118</v>
      </c>
      <c r="I16" s="3">
        <v>3496</v>
      </c>
      <c r="J16" s="152">
        <f t="shared" si="3"/>
        <v>1313526.0115606936</v>
      </c>
      <c r="K16" s="153">
        <v>23000</v>
      </c>
      <c r="L16" s="154">
        <f t="shared" si="4"/>
        <v>2300000</v>
      </c>
      <c r="M16" s="153">
        <f t="shared" si="1"/>
        <v>986473.98843930638</v>
      </c>
    </row>
    <row r="17" spans="2:13" x14ac:dyDescent="0.2">
      <c r="B17" s="78" t="s">
        <v>253</v>
      </c>
      <c r="C17" s="150" t="s">
        <v>1935</v>
      </c>
      <c r="D17" s="1">
        <v>6.92</v>
      </c>
      <c r="E17" s="151">
        <v>100</v>
      </c>
      <c r="F17" s="151">
        <v>26</v>
      </c>
      <c r="G17" s="151">
        <f t="shared" si="2"/>
        <v>2600</v>
      </c>
      <c r="H17" s="150">
        <f t="shared" si="0"/>
        <v>375.72254335260118</v>
      </c>
      <c r="I17" s="3">
        <v>3496</v>
      </c>
      <c r="J17" s="152">
        <f t="shared" si="3"/>
        <v>1313526.0115606936</v>
      </c>
      <c r="K17" s="153">
        <v>23000</v>
      </c>
      <c r="L17" s="154">
        <f t="shared" si="4"/>
        <v>2300000</v>
      </c>
      <c r="M17" s="153">
        <f t="shared" si="1"/>
        <v>986473.98843930638</v>
      </c>
    </row>
    <row r="18" spans="2:13" x14ac:dyDescent="0.2">
      <c r="B18" s="150" t="s">
        <v>253</v>
      </c>
      <c r="C18" s="150" t="s">
        <v>1936</v>
      </c>
      <c r="D18" s="1">
        <v>6.92</v>
      </c>
      <c r="E18" s="151">
        <v>100</v>
      </c>
      <c r="F18" s="151">
        <v>26</v>
      </c>
      <c r="G18" s="151">
        <f t="shared" si="2"/>
        <v>2600</v>
      </c>
      <c r="H18" s="150">
        <f t="shared" si="0"/>
        <v>375.72254335260118</v>
      </c>
      <c r="I18" s="3">
        <v>3496</v>
      </c>
      <c r="J18" s="152">
        <f t="shared" si="3"/>
        <v>1313526.0115606936</v>
      </c>
      <c r="K18" s="153">
        <v>23000</v>
      </c>
      <c r="L18" s="154">
        <f t="shared" si="4"/>
        <v>2300000</v>
      </c>
      <c r="M18" s="153">
        <f t="shared" si="1"/>
        <v>986473.98843930638</v>
      </c>
    </row>
    <row r="19" spans="2:13" x14ac:dyDescent="0.2">
      <c r="B19" s="78" t="s">
        <v>253</v>
      </c>
      <c r="C19" s="150" t="s">
        <v>1937</v>
      </c>
      <c r="D19" s="1">
        <v>6.92</v>
      </c>
      <c r="E19" s="151">
        <v>100</v>
      </c>
      <c r="F19" s="151">
        <v>26</v>
      </c>
      <c r="G19" s="151">
        <f t="shared" si="2"/>
        <v>2600</v>
      </c>
      <c r="H19" s="150">
        <f t="shared" si="0"/>
        <v>375.72254335260118</v>
      </c>
      <c r="I19" s="3">
        <v>3496</v>
      </c>
      <c r="J19" s="152">
        <f t="shared" si="3"/>
        <v>1313526.0115606936</v>
      </c>
      <c r="K19" s="153">
        <v>23000</v>
      </c>
      <c r="L19" s="154">
        <f t="shared" si="4"/>
        <v>2300000</v>
      </c>
      <c r="M19" s="153">
        <f t="shared" si="1"/>
        <v>986473.98843930638</v>
      </c>
    </row>
    <row r="20" spans="2:13" x14ac:dyDescent="0.2">
      <c r="B20" s="150" t="s">
        <v>1918</v>
      </c>
      <c r="C20" s="150" t="s">
        <v>1938</v>
      </c>
      <c r="D20" s="1">
        <v>6.92</v>
      </c>
      <c r="E20" s="151">
        <v>660</v>
      </c>
      <c r="F20" s="151">
        <v>22</v>
      </c>
      <c r="G20" s="151">
        <f t="shared" si="2"/>
        <v>14520</v>
      </c>
      <c r="H20" s="150">
        <f t="shared" si="0"/>
        <v>2098.2658959537571</v>
      </c>
      <c r="I20" s="3">
        <v>3496</v>
      </c>
      <c r="J20" s="152">
        <f t="shared" si="3"/>
        <v>7335537.5722543346</v>
      </c>
      <c r="K20" s="153">
        <v>23000</v>
      </c>
      <c r="L20" s="154">
        <f t="shared" si="4"/>
        <v>15180000</v>
      </c>
      <c r="M20" s="153">
        <f t="shared" si="1"/>
        <v>7844462.4277456654</v>
      </c>
    </row>
    <row r="21" spans="2:13" x14ac:dyDescent="0.2">
      <c r="B21" s="78" t="s">
        <v>253</v>
      </c>
      <c r="C21" s="150" t="s">
        <v>1939</v>
      </c>
      <c r="D21" s="1">
        <v>6.92</v>
      </c>
      <c r="E21" s="151">
        <v>500</v>
      </c>
      <c r="F21" s="151">
        <v>18</v>
      </c>
      <c r="G21" s="151">
        <f t="shared" si="2"/>
        <v>9000</v>
      </c>
      <c r="H21" s="150">
        <f t="shared" si="0"/>
        <v>1300.5780346820809</v>
      </c>
      <c r="I21" s="3">
        <v>3496</v>
      </c>
      <c r="J21" s="152">
        <f t="shared" si="3"/>
        <v>4546820.8092485545</v>
      </c>
      <c r="K21" s="153">
        <v>20000</v>
      </c>
      <c r="L21" s="154">
        <f t="shared" si="4"/>
        <v>10000000</v>
      </c>
      <c r="M21" s="153">
        <f t="shared" si="1"/>
        <v>5453179.1907514455</v>
      </c>
    </row>
    <row r="22" spans="2:13" x14ac:dyDescent="0.2">
      <c r="B22" s="150" t="s">
        <v>1940</v>
      </c>
      <c r="C22" s="150" t="s">
        <v>1941</v>
      </c>
      <c r="D22" s="1">
        <v>6.92</v>
      </c>
      <c r="E22" s="151">
        <v>4000</v>
      </c>
      <c r="F22" s="151">
        <v>13.7</v>
      </c>
      <c r="G22" s="151">
        <f t="shared" si="2"/>
        <v>54800</v>
      </c>
      <c r="H22" s="150">
        <f t="shared" si="0"/>
        <v>7919.0751445086707</v>
      </c>
      <c r="I22" s="3">
        <v>3496</v>
      </c>
      <c r="J22" s="152">
        <f t="shared" si="3"/>
        <v>27685086.705202311</v>
      </c>
      <c r="K22" s="153">
        <v>12500</v>
      </c>
      <c r="L22" s="154">
        <f t="shared" si="4"/>
        <v>50000000</v>
      </c>
      <c r="M22" s="153">
        <f t="shared" si="1"/>
        <v>22314913.294797689</v>
      </c>
    </row>
    <row r="23" spans="2:13" x14ac:dyDescent="0.2">
      <c r="B23" s="78" t="s">
        <v>253</v>
      </c>
      <c r="C23" s="150" t="s">
        <v>1942</v>
      </c>
      <c r="D23" s="1">
        <v>6.92</v>
      </c>
      <c r="E23" s="151">
        <v>5000</v>
      </c>
      <c r="F23" s="151">
        <v>13.7</v>
      </c>
      <c r="G23" s="151">
        <f t="shared" si="2"/>
        <v>68500</v>
      </c>
      <c r="H23" s="150">
        <f t="shared" si="0"/>
        <v>9898.8439306358378</v>
      </c>
      <c r="I23" s="3">
        <v>3496</v>
      </c>
      <c r="J23" s="152">
        <f t="shared" si="3"/>
        <v>34606358.381502889</v>
      </c>
      <c r="K23" s="153">
        <v>12500</v>
      </c>
      <c r="L23" s="154">
        <f t="shared" si="4"/>
        <v>62500000</v>
      </c>
      <c r="M23" s="153">
        <f t="shared" si="1"/>
        <v>27893641.618497111</v>
      </c>
    </row>
    <row r="24" spans="2:13" x14ac:dyDescent="0.2">
      <c r="B24" s="150" t="s">
        <v>253</v>
      </c>
      <c r="C24" s="192" t="s">
        <v>1943</v>
      </c>
      <c r="D24" s="1">
        <v>6.92</v>
      </c>
      <c r="E24" s="151">
        <v>900</v>
      </c>
      <c r="F24" s="151">
        <v>13.7</v>
      </c>
      <c r="G24" s="151">
        <f t="shared" si="2"/>
        <v>12330</v>
      </c>
      <c r="H24" s="150">
        <f t="shared" si="0"/>
        <v>1781.7919075144509</v>
      </c>
      <c r="I24" s="3">
        <v>3496</v>
      </c>
      <c r="J24" s="152">
        <f t="shared" si="3"/>
        <v>6229144.50867052</v>
      </c>
      <c r="K24" s="153">
        <v>12500</v>
      </c>
      <c r="L24" s="154">
        <f t="shared" si="4"/>
        <v>11250000</v>
      </c>
      <c r="M24" s="153">
        <f t="shared" si="1"/>
        <v>5020855.49132948</v>
      </c>
    </row>
    <row r="25" spans="2:13" x14ac:dyDescent="0.2">
      <c r="B25" s="78" t="s">
        <v>253</v>
      </c>
      <c r="C25" s="192" t="s">
        <v>1944</v>
      </c>
      <c r="D25" s="1">
        <v>6.92</v>
      </c>
      <c r="E25" s="151">
        <v>900</v>
      </c>
      <c r="F25" s="151">
        <v>13.7</v>
      </c>
      <c r="G25" s="151">
        <f t="shared" si="2"/>
        <v>12330</v>
      </c>
      <c r="H25" s="150">
        <f t="shared" si="0"/>
        <v>1781.7919075144509</v>
      </c>
      <c r="I25" s="3">
        <v>3496</v>
      </c>
      <c r="J25" s="152">
        <f t="shared" si="3"/>
        <v>6229144.50867052</v>
      </c>
      <c r="K25" s="153">
        <v>12500</v>
      </c>
      <c r="L25" s="154">
        <f t="shared" si="4"/>
        <v>11250000</v>
      </c>
      <c r="M25" s="153">
        <f t="shared" si="1"/>
        <v>5020855.49132948</v>
      </c>
    </row>
    <row r="26" spans="2:13" x14ac:dyDescent="0.2">
      <c r="B26" s="150" t="s">
        <v>253</v>
      </c>
      <c r="C26" s="192" t="s">
        <v>1945</v>
      </c>
      <c r="D26" s="1">
        <v>6.92</v>
      </c>
      <c r="E26" s="151">
        <v>800</v>
      </c>
      <c r="F26" s="151">
        <v>13.7</v>
      </c>
      <c r="G26" s="151">
        <f t="shared" si="2"/>
        <v>10960</v>
      </c>
      <c r="H26" s="150">
        <f t="shared" si="0"/>
        <v>1583.8150289017342</v>
      </c>
      <c r="I26" s="3">
        <v>3496</v>
      </c>
      <c r="J26" s="152">
        <f t="shared" si="3"/>
        <v>5537017.3410404623</v>
      </c>
      <c r="K26" s="153">
        <v>12500</v>
      </c>
      <c r="L26" s="154">
        <f t="shared" si="4"/>
        <v>10000000</v>
      </c>
      <c r="M26" s="153">
        <f t="shared" si="1"/>
        <v>4462982.6589595377</v>
      </c>
    </row>
    <row r="27" spans="2:13" x14ac:dyDescent="0.2">
      <c r="B27" s="78" t="s">
        <v>253</v>
      </c>
      <c r="C27" s="192" t="s">
        <v>1946</v>
      </c>
      <c r="D27" s="1">
        <v>6.92</v>
      </c>
      <c r="E27" s="151">
        <v>500</v>
      </c>
      <c r="F27" s="151">
        <v>13.7</v>
      </c>
      <c r="G27" s="151">
        <f t="shared" si="2"/>
        <v>6850</v>
      </c>
      <c r="H27" s="150">
        <f t="shared" si="0"/>
        <v>989.88439306358384</v>
      </c>
      <c r="I27" s="3">
        <v>3496</v>
      </c>
      <c r="J27" s="152">
        <f t="shared" si="3"/>
        <v>3460635.8381502889</v>
      </c>
      <c r="K27" s="153">
        <v>12500</v>
      </c>
      <c r="L27" s="154">
        <f t="shared" si="4"/>
        <v>6250000</v>
      </c>
      <c r="M27" s="153">
        <f t="shared" si="1"/>
        <v>2789364.1618497111</v>
      </c>
    </row>
    <row r="28" spans="2:13" x14ac:dyDescent="0.2">
      <c r="B28" s="150" t="s">
        <v>253</v>
      </c>
      <c r="C28" t="s">
        <v>1947</v>
      </c>
      <c r="D28" s="1">
        <v>6.92</v>
      </c>
      <c r="E28" s="151">
        <v>500</v>
      </c>
      <c r="F28" s="151">
        <v>13.7</v>
      </c>
      <c r="G28" s="151">
        <f t="shared" si="2"/>
        <v>6850</v>
      </c>
      <c r="H28" s="150">
        <f t="shared" si="0"/>
        <v>989.88439306358384</v>
      </c>
      <c r="I28" s="3">
        <v>3496</v>
      </c>
      <c r="J28" s="152">
        <f t="shared" si="3"/>
        <v>3460635.8381502889</v>
      </c>
      <c r="K28" s="153">
        <v>12500</v>
      </c>
      <c r="L28" s="154">
        <f t="shared" si="4"/>
        <v>6250000</v>
      </c>
      <c r="M28" s="153">
        <f t="shared" si="1"/>
        <v>2789364.1618497111</v>
      </c>
    </row>
    <row r="29" spans="2:13" x14ac:dyDescent="0.2">
      <c r="B29" s="78" t="s">
        <v>253</v>
      </c>
      <c r="C29" t="s">
        <v>1948</v>
      </c>
      <c r="D29" s="1">
        <v>6.92</v>
      </c>
      <c r="E29" s="151">
        <v>500</v>
      </c>
      <c r="F29" s="151">
        <v>13.7</v>
      </c>
      <c r="G29" s="151">
        <f t="shared" si="2"/>
        <v>6850</v>
      </c>
      <c r="H29" s="150">
        <f t="shared" si="0"/>
        <v>989.88439306358384</v>
      </c>
      <c r="I29" s="3">
        <v>3496</v>
      </c>
      <c r="J29" s="152">
        <f t="shared" si="3"/>
        <v>3460635.8381502889</v>
      </c>
      <c r="K29" s="153">
        <v>12500</v>
      </c>
      <c r="L29" s="154">
        <f t="shared" si="4"/>
        <v>6250000</v>
      </c>
      <c r="M29" s="153">
        <f t="shared" si="1"/>
        <v>2789364.1618497111</v>
      </c>
    </row>
    <row r="30" spans="2:13" x14ac:dyDescent="0.2">
      <c r="B30" s="150" t="s">
        <v>253</v>
      </c>
      <c r="C30" t="s">
        <v>1949</v>
      </c>
      <c r="D30" s="1">
        <v>6.92</v>
      </c>
      <c r="E30" s="151">
        <v>500</v>
      </c>
      <c r="F30" s="151">
        <v>13.7</v>
      </c>
      <c r="G30" s="151">
        <f t="shared" si="2"/>
        <v>6850</v>
      </c>
      <c r="H30" s="150">
        <f t="shared" si="0"/>
        <v>989.88439306358384</v>
      </c>
      <c r="I30" s="3">
        <v>3496</v>
      </c>
      <c r="J30" s="152">
        <f t="shared" si="3"/>
        <v>3460635.8381502889</v>
      </c>
      <c r="K30" s="153">
        <v>12500</v>
      </c>
      <c r="L30" s="154">
        <f t="shared" si="4"/>
        <v>6250000</v>
      </c>
      <c r="M30" s="153">
        <f t="shared" si="1"/>
        <v>2789364.1618497111</v>
      </c>
    </row>
    <row r="31" spans="2:13" x14ac:dyDescent="0.2">
      <c r="B31" s="78" t="s">
        <v>253</v>
      </c>
      <c r="C31" t="s">
        <v>1950</v>
      </c>
      <c r="D31" s="1">
        <v>6.92</v>
      </c>
      <c r="E31" s="151">
        <v>200</v>
      </c>
      <c r="F31" s="151">
        <v>13.7</v>
      </c>
      <c r="G31" s="151">
        <f t="shared" si="2"/>
        <v>2740</v>
      </c>
      <c r="H31" s="150">
        <f t="shared" si="0"/>
        <v>395.95375722543355</v>
      </c>
      <c r="I31" s="3">
        <v>3496</v>
      </c>
      <c r="J31" s="152">
        <f t="shared" si="3"/>
        <v>1384254.3352601156</v>
      </c>
      <c r="K31" s="153">
        <v>12500</v>
      </c>
      <c r="L31" s="154">
        <f t="shared" si="4"/>
        <v>2500000</v>
      </c>
      <c r="M31" s="153">
        <f t="shared" si="1"/>
        <v>1115745.6647398844</v>
      </c>
    </row>
    <row r="32" spans="2:13" x14ac:dyDescent="0.2">
      <c r="B32" s="150" t="s">
        <v>253</v>
      </c>
      <c r="C32" t="s">
        <v>1951</v>
      </c>
      <c r="D32" s="1">
        <v>6.92</v>
      </c>
      <c r="E32" s="151">
        <v>500</v>
      </c>
      <c r="F32" s="151">
        <v>13.7</v>
      </c>
      <c r="G32" s="151">
        <f t="shared" si="2"/>
        <v>6850</v>
      </c>
      <c r="H32" s="150">
        <f t="shared" si="0"/>
        <v>989.88439306358384</v>
      </c>
      <c r="I32" s="3">
        <v>3496</v>
      </c>
      <c r="J32" s="152">
        <f t="shared" si="3"/>
        <v>3460635.8381502889</v>
      </c>
      <c r="K32" s="153">
        <v>12500</v>
      </c>
      <c r="L32" s="154">
        <f t="shared" si="4"/>
        <v>6250000</v>
      </c>
      <c r="M32" s="153">
        <f t="shared" si="1"/>
        <v>2789364.1618497111</v>
      </c>
    </row>
    <row r="33" spans="2:13" x14ac:dyDescent="0.2">
      <c r="B33" s="179" t="s">
        <v>253</v>
      </c>
      <c r="C33" t="s">
        <v>1727</v>
      </c>
      <c r="D33" s="1">
        <v>6.92</v>
      </c>
      <c r="E33" s="35">
        <v>300</v>
      </c>
      <c r="F33" s="35">
        <v>13.7</v>
      </c>
      <c r="G33" s="35">
        <f t="shared" si="2"/>
        <v>4110</v>
      </c>
      <c r="H33" s="150">
        <f t="shared" si="0"/>
        <v>593.93063583815035</v>
      </c>
      <c r="I33" s="3">
        <v>3496</v>
      </c>
      <c r="J33" s="180">
        <f t="shared" si="3"/>
        <v>2076381.5028901731</v>
      </c>
      <c r="K33" s="168">
        <v>12500</v>
      </c>
      <c r="L33" s="181">
        <f t="shared" si="4"/>
        <v>3750000</v>
      </c>
      <c r="M33" s="168">
        <f t="shared" si="1"/>
        <v>1673618.4971098269</v>
      </c>
    </row>
    <row r="34" spans="2:13" x14ac:dyDescent="0.2">
      <c r="B34" s="193" t="s">
        <v>253</v>
      </c>
      <c r="C34" t="s">
        <v>1952</v>
      </c>
      <c r="D34" s="1">
        <v>6.92</v>
      </c>
      <c r="E34" s="198">
        <v>400</v>
      </c>
      <c r="F34" s="198">
        <v>13.7</v>
      </c>
      <c r="G34" s="198">
        <f t="shared" si="2"/>
        <v>5480</v>
      </c>
      <c r="H34" s="199">
        <f t="shared" si="0"/>
        <v>791.9075144508671</v>
      </c>
      <c r="I34" s="3">
        <v>3496</v>
      </c>
      <c r="J34" s="197">
        <f t="shared" si="3"/>
        <v>2768508.6705202311</v>
      </c>
      <c r="K34" s="198">
        <v>12500</v>
      </c>
      <c r="L34" s="196">
        <f t="shared" si="4"/>
        <v>5000000</v>
      </c>
      <c r="M34" s="196">
        <f t="shared" si="1"/>
        <v>2231491.3294797689</v>
      </c>
    </row>
    <row r="35" spans="2:13" x14ac:dyDescent="0.2">
      <c r="B35" s="193" t="s">
        <v>1857</v>
      </c>
      <c r="C35" t="s">
        <v>1942</v>
      </c>
      <c r="D35" s="1">
        <v>6.92</v>
      </c>
      <c r="E35" s="194">
        <v>2000</v>
      </c>
      <c r="F35" s="194">
        <v>18.7</v>
      </c>
      <c r="G35" s="194">
        <f t="shared" si="2"/>
        <v>37400</v>
      </c>
      <c r="H35" s="192">
        <f t="shared" si="0"/>
        <v>5404.6242774566472</v>
      </c>
      <c r="I35" s="3">
        <v>3496</v>
      </c>
      <c r="J35" s="195">
        <f t="shared" si="3"/>
        <v>18894566.473988436</v>
      </c>
      <c r="K35" s="168">
        <v>18000</v>
      </c>
      <c r="L35" s="181">
        <f t="shared" si="4"/>
        <v>36000000</v>
      </c>
      <c r="M35" s="168">
        <f t="shared" si="1"/>
        <v>17105433.526011564</v>
      </c>
    </row>
    <row r="36" spans="2:13" x14ac:dyDescent="0.2">
      <c r="B36" s="193" t="s">
        <v>253</v>
      </c>
      <c r="C36" t="s">
        <v>1768</v>
      </c>
      <c r="D36" s="1">
        <v>6.92</v>
      </c>
      <c r="E36" s="194">
        <v>1500</v>
      </c>
      <c r="F36" s="194">
        <v>18.7</v>
      </c>
      <c r="G36" s="194">
        <f t="shared" si="2"/>
        <v>28050</v>
      </c>
      <c r="H36" s="192">
        <f t="shared" si="0"/>
        <v>4053.4682080924854</v>
      </c>
      <c r="I36" s="3">
        <v>3496</v>
      </c>
      <c r="J36" s="195">
        <f t="shared" si="3"/>
        <v>14170924.855491329</v>
      </c>
      <c r="K36" s="168">
        <v>18000</v>
      </c>
      <c r="L36" s="181">
        <f t="shared" si="4"/>
        <v>27000000</v>
      </c>
      <c r="M36" s="168">
        <f t="shared" si="1"/>
        <v>12829075.144508671</v>
      </c>
    </row>
    <row r="37" spans="2:13" x14ac:dyDescent="0.2">
      <c r="B37" s="193" t="s">
        <v>253</v>
      </c>
      <c r="C37" t="s">
        <v>1953</v>
      </c>
      <c r="D37" s="1">
        <v>6.92</v>
      </c>
      <c r="E37" s="194">
        <v>500</v>
      </c>
      <c r="F37" s="194">
        <v>18.7</v>
      </c>
      <c r="G37" s="194">
        <f t="shared" si="2"/>
        <v>9350</v>
      </c>
      <c r="H37" s="192">
        <f t="shared" si="0"/>
        <v>1351.1560693641618</v>
      </c>
      <c r="I37" s="3">
        <v>3496</v>
      </c>
      <c r="J37" s="195">
        <f t="shared" si="3"/>
        <v>4723641.618497109</v>
      </c>
      <c r="K37" s="168">
        <v>18000</v>
      </c>
      <c r="L37" s="181">
        <f t="shared" si="4"/>
        <v>9000000</v>
      </c>
      <c r="M37" s="168">
        <f t="shared" si="1"/>
        <v>4276358.381502891</v>
      </c>
    </row>
    <row r="38" spans="2:13" x14ac:dyDescent="0.2">
      <c r="C38" t="s">
        <v>1954</v>
      </c>
      <c r="D38" s="1">
        <v>6.92</v>
      </c>
      <c r="E38" s="194">
        <v>300</v>
      </c>
      <c r="F38" s="194">
        <v>18.7</v>
      </c>
      <c r="G38" s="194">
        <f t="shared" si="2"/>
        <v>5610</v>
      </c>
      <c r="H38" s="192">
        <f t="shared" si="0"/>
        <v>810.69364161849717</v>
      </c>
      <c r="I38" s="3">
        <v>3496</v>
      </c>
      <c r="J38" s="195">
        <f t="shared" si="3"/>
        <v>2834184.9710982656</v>
      </c>
      <c r="K38" s="168">
        <v>18000</v>
      </c>
      <c r="L38" s="181">
        <f t="shared" si="4"/>
        <v>5400000</v>
      </c>
      <c r="M38" s="168">
        <f t="shared" si="1"/>
        <v>2565815.0289017344</v>
      </c>
    </row>
    <row r="39" spans="2:13" x14ac:dyDescent="0.2">
      <c r="C39" t="s">
        <v>1946</v>
      </c>
      <c r="D39" s="1">
        <v>6.92</v>
      </c>
      <c r="E39" s="194">
        <v>300</v>
      </c>
      <c r="F39" s="194">
        <v>18.7</v>
      </c>
      <c r="G39" s="194">
        <f t="shared" si="2"/>
        <v>5610</v>
      </c>
      <c r="H39" s="192">
        <f t="shared" si="0"/>
        <v>810.69364161849717</v>
      </c>
      <c r="I39" s="3">
        <v>3496</v>
      </c>
      <c r="J39" s="195">
        <f t="shared" si="3"/>
        <v>2834184.9710982656</v>
      </c>
      <c r="K39" s="168">
        <v>18000</v>
      </c>
      <c r="L39" s="181">
        <f t="shared" si="4"/>
        <v>5400000</v>
      </c>
      <c r="M39" s="168">
        <f t="shared" si="1"/>
        <v>2565815.0289017344</v>
      </c>
    </row>
    <row r="40" spans="2:13" x14ac:dyDescent="0.2">
      <c r="D40" s="1"/>
      <c r="E40" s="7">
        <f>SUM(E3:E39)</f>
        <v>25660</v>
      </c>
      <c r="G40" s="201">
        <f>SUM(G3:G39)</f>
        <v>417840</v>
      </c>
      <c r="H40" s="200">
        <f>SUM(H3:H39)</f>
        <v>60381.502890173426</v>
      </c>
      <c r="I40" s="3"/>
      <c r="J40" s="187">
        <f>SUM(J3:J39)</f>
        <v>211093734.10404629</v>
      </c>
      <c r="L40" s="108">
        <f>SUM(L3:L39)</f>
        <v>400580000</v>
      </c>
      <c r="M40" s="48">
        <f>SUM(M3:M39)</f>
        <v>189486265.89595371</v>
      </c>
    </row>
    <row r="47" spans="2:13" x14ac:dyDescent="0.2">
      <c r="I47" s="3" t="s">
        <v>25</v>
      </c>
      <c r="J47" s="169">
        <v>211093734</v>
      </c>
    </row>
    <row r="48" spans="2:13" x14ac:dyDescent="0.2">
      <c r="I48" s="3" t="s">
        <v>27</v>
      </c>
      <c r="J48" s="9">
        <v>5722605</v>
      </c>
    </row>
    <row r="49" spans="9:10" x14ac:dyDescent="0.2">
      <c r="I49" s="3" t="s">
        <v>26</v>
      </c>
      <c r="J49" s="3">
        <v>4320000</v>
      </c>
    </row>
    <row r="50" spans="9:10" x14ac:dyDescent="0.2">
      <c r="I50" s="3" t="s">
        <v>33</v>
      </c>
      <c r="J50" s="3">
        <v>4000000</v>
      </c>
    </row>
    <row r="51" spans="9:10" x14ac:dyDescent="0.2">
      <c r="I51" s="3" t="s">
        <v>31</v>
      </c>
      <c r="J51" s="3">
        <v>3000000</v>
      </c>
    </row>
    <row r="52" spans="9:10" x14ac:dyDescent="0.2">
      <c r="I52" s="3" t="s">
        <v>36</v>
      </c>
      <c r="J52" s="3">
        <v>2500000</v>
      </c>
    </row>
    <row r="53" spans="9:10" x14ac:dyDescent="0.2">
      <c r="I53" s="3" t="s">
        <v>29</v>
      </c>
      <c r="J53" s="23">
        <v>24757000</v>
      </c>
    </row>
    <row r="54" spans="9:10" x14ac:dyDescent="0.2">
      <c r="I54" s="3" t="s">
        <v>34</v>
      </c>
      <c r="J54" s="127">
        <f>SUM(J47:J53)</f>
        <v>255393339</v>
      </c>
    </row>
    <row r="55" spans="9:10" x14ac:dyDescent="0.2">
      <c r="I55" s="3" t="s">
        <v>6</v>
      </c>
      <c r="J55" s="116">
        <v>400580000</v>
      </c>
    </row>
    <row r="56" spans="9:10" ht="18" x14ac:dyDescent="0.35">
      <c r="I56" s="3" t="s">
        <v>35</v>
      </c>
      <c r="J56" s="21">
        <f>J55-J54</f>
        <v>145186661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DECEMBER</vt:lpstr>
      <vt:lpstr>JANUARY</vt:lpstr>
      <vt:lpstr>FEBUARY</vt:lpstr>
      <vt:lpstr>MARCH</vt:lpstr>
      <vt:lpstr>MAY</vt:lpstr>
      <vt:lpstr>JUNE</vt:lpstr>
      <vt:lpstr>JULY</vt:lpstr>
      <vt:lpstr>AUG</vt:lpstr>
      <vt:lpstr>SEPT</vt:lpstr>
      <vt:lpstr>NOV</vt:lpstr>
      <vt:lpstr>DEC</vt:lpstr>
      <vt:lpstr>JAN</vt:lpstr>
      <vt:lpstr>MARCH 2013</vt:lpstr>
      <vt:lpstr>APRIL 2013</vt:lpstr>
      <vt:lpstr>MAY 2013</vt:lpstr>
      <vt:lpstr>AUG 2013</vt:lpstr>
      <vt:lpstr>SEPT 2013</vt:lpstr>
      <vt:lpstr>Sheet2</vt:lpstr>
      <vt:lpstr>OCT 2013</vt:lpstr>
      <vt:lpstr>NOV 2013</vt:lpstr>
      <vt:lpstr>DEC 2013</vt:lpstr>
      <vt:lpstr>JAN 2014</vt:lpstr>
      <vt:lpstr>MARCH 2014</vt:lpstr>
      <vt:lpstr>APRIL 2014</vt:lpstr>
      <vt:lpstr>MAY 2014</vt:lpstr>
      <vt:lpstr>JULY2014</vt:lpstr>
      <vt:lpstr>AUG 2014</vt:lpstr>
      <vt:lpstr>SEPT 2014</vt:lpstr>
      <vt:lpstr>NOV 2014</vt:lpstr>
      <vt:lpstr>JAN 2015</vt:lpstr>
      <vt:lpstr>APRIL 2015</vt:lpstr>
      <vt:lpstr>june 2015</vt:lpstr>
      <vt:lpstr>july 2015</vt:lpstr>
      <vt:lpstr>Sept 2015</vt:lpstr>
      <vt:lpstr>Oct 2015</vt:lpstr>
      <vt:lpstr>Dec 2015</vt:lpstr>
      <vt:lpstr>Jan 2016</vt:lpstr>
      <vt:lpstr>April 2016</vt:lpstr>
      <vt:lpstr>July 2016</vt:lpstr>
      <vt:lpstr>Sept 2016</vt:lpstr>
      <vt:lpstr>Oct 2016</vt:lpstr>
      <vt:lpstr>Jan 2017</vt:lpstr>
      <vt:lpstr>March 2017</vt:lpstr>
      <vt:lpstr>May 2017</vt:lpstr>
      <vt:lpstr>Jan 2024</vt:lpstr>
      <vt:lpstr>March 2024</vt:lpstr>
      <vt:lpstr>Jan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cp:lastPrinted>2014-05-23T08:45:41Z</cp:lastPrinted>
  <dcterms:created xsi:type="dcterms:W3CDTF">2012-01-17T08:05:18Z</dcterms:created>
  <dcterms:modified xsi:type="dcterms:W3CDTF">2026-01-30T19:04:22Z</dcterms:modified>
</cp:coreProperties>
</file>